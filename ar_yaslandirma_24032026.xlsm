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avairports-my.sharepoint.com/personal/tboz_tav_aero/Documents/Masaüstü/SUNUM/tahsilat_takibi/"/>
    </mc:Choice>
  </mc:AlternateContent>
  <xr:revisionPtr revIDLastSave="23713" documentId="13_ncr:1_{009AC84F-A42E-4F55-A540-891AE2AEC639}" xr6:coauthVersionLast="47" xr6:coauthVersionMax="47" xr10:uidLastSave="{89BFE951-0282-4D4E-B916-F76C53FF7D7A}"/>
  <bookViews>
    <workbookView xWindow="-110" yWindow="-110" windowWidth="19420" windowHeight="11500" activeTab="4" xr2:uid="{00000000-000D-0000-FFFF-FFFF00000000}"/>
  </bookViews>
  <sheets>
    <sheet name="OZET" sheetId="89" r:id="rId1"/>
    <sheet name="DETAY-yaslandırma" sheetId="62" r:id="rId2"/>
    <sheet name="DETAY" sheetId="75" r:id="rId3"/>
    <sheet name="Sheet1" sheetId="90" r:id="rId4"/>
    <sheet name="ham_data" sheetId="68" r:id="rId5"/>
  </sheets>
  <externalReferences>
    <externalReference r:id="rId6"/>
  </externalReferences>
  <definedNames>
    <definedName name="_xlnm._FilterDatabase" localSheetId="2" hidden="1">DETAY!$A$4:$H$115</definedName>
    <definedName name="_xlnm._FilterDatabase" localSheetId="1" hidden="1">'DETAY-yaslandırma'!$A$4:$BS$268</definedName>
    <definedName name="_xlnm._FilterDatabase" localSheetId="4" hidden="1">ham_data!$A$1:$BY$370</definedName>
    <definedName name="_xlpm.b" hidden="1" xlm="1">#NAME?</definedName>
    <definedName name="_xlpm.ba" hidden="1" xlm="1">#NAME?</definedName>
    <definedName name="_xlpm.bas" hidden="1" xlm="1">#NAME?</definedName>
    <definedName name="_xlpm.basl" hidden="1" xlm="1">#NAME?</definedName>
    <definedName name="_xlpm.basli" hidden="1" xlm="1">#NAME?</definedName>
    <definedName name="_xlpm.baslik" hidden="1" xlm="1">#NAME?</definedName>
    <definedName name="_xlpm.col" hidden="1" xlm="1">#NAME?</definedName>
    <definedName name="_xlpm.secim" hidden="1" xlm="1">#NAME?</definedName>
    <definedName name="_xlpm.tutar" hidden="1" xlm="1">#NAME?</definedName>
    <definedName name="_xlpm.veri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5" l="1"/>
  <c r="F2" i="75" s="1"/>
  <c r="D2" i="75"/>
  <c r="C2" i="75"/>
  <c r="BW369" i="68"/>
  <c r="BY369" i="68" s="1"/>
  <c r="BW368" i="68"/>
  <c r="BY368" i="68" s="1"/>
  <c r="BW367" i="68"/>
  <c r="BY367" i="68" s="1"/>
  <c r="BW366" i="68"/>
  <c r="BY366" i="68" s="1"/>
  <c r="BW365" i="68"/>
  <c r="BY365" i="68" s="1"/>
  <c r="BW364" i="68"/>
  <c r="BY364" i="68" s="1"/>
  <c r="BW363" i="68"/>
  <c r="BY363" i="68" s="1"/>
  <c r="BW362" i="68"/>
  <c r="BY362" i="68" s="1"/>
  <c r="BW361" i="68"/>
  <c r="BY361" i="68" s="1"/>
  <c r="BW360" i="68"/>
  <c r="BY360" i="68" s="1"/>
  <c r="BW359" i="68"/>
  <c r="BY359" i="68" s="1"/>
  <c r="BW358" i="68"/>
  <c r="BY358" i="68" s="1"/>
  <c r="BW357" i="68"/>
  <c r="BY357" i="68" s="1"/>
  <c r="BW356" i="68"/>
  <c r="BY356" i="68" s="1"/>
  <c r="BW355" i="68"/>
  <c r="BY355" i="68" s="1"/>
  <c r="BW354" i="68"/>
  <c r="BY354" i="68" s="1"/>
  <c r="BW353" i="68"/>
  <c r="BY353" i="68" s="1"/>
  <c r="BW352" i="68"/>
  <c r="BY352" i="68" s="1"/>
  <c r="BW351" i="68"/>
  <c r="BY351" i="68" s="1"/>
  <c r="BW350" i="68"/>
  <c r="BY350" i="68" s="1"/>
  <c r="BW349" i="68"/>
  <c r="BY349" i="68" s="1"/>
  <c r="BW348" i="68"/>
  <c r="BY348" i="68" s="1"/>
  <c r="BW347" i="68"/>
  <c r="BY347" i="68" s="1"/>
  <c r="BW346" i="68"/>
  <c r="BY346" i="68" s="1"/>
  <c r="BW345" i="68"/>
  <c r="BY345" i="68" s="1"/>
  <c r="BW344" i="68"/>
  <c r="BY344" i="68" s="1"/>
  <c r="BW343" i="68"/>
  <c r="BY343" i="68" s="1"/>
  <c r="BW342" i="68"/>
  <c r="BY342" i="68" s="1"/>
  <c r="BW341" i="68"/>
  <c r="BY341" i="68" s="1"/>
  <c r="BW340" i="68"/>
  <c r="BY340" i="68" s="1"/>
  <c r="BW339" i="68"/>
  <c r="BY339" i="68" s="1"/>
  <c r="BW338" i="68"/>
  <c r="BY338" i="68" s="1"/>
  <c r="BW337" i="68"/>
  <c r="BY337" i="68" s="1"/>
  <c r="BW336" i="68"/>
  <c r="BY336" i="68" s="1"/>
  <c r="BW335" i="68"/>
  <c r="BY335" i="68" s="1"/>
  <c r="BW334" i="68"/>
  <c r="BY334" i="68" s="1"/>
  <c r="BW333" i="68"/>
  <c r="BY333" i="68" s="1"/>
  <c r="BW332" i="68"/>
  <c r="BY332" i="68" s="1"/>
  <c r="BW331" i="68"/>
  <c r="BY331" i="68" s="1"/>
  <c r="BW330" i="68"/>
  <c r="BY330" i="68" s="1"/>
  <c r="BW329" i="68"/>
  <c r="BY329" i="68" s="1"/>
  <c r="BW328" i="68"/>
  <c r="BY328" i="68" s="1"/>
  <c r="BW327" i="68"/>
  <c r="BY327" i="68" s="1"/>
  <c r="BW326" i="68"/>
  <c r="BY326" i="68" s="1"/>
  <c r="BW325" i="68"/>
  <c r="BY325" i="68" s="1"/>
  <c r="BW324" i="68"/>
  <c r="BY324" i="68" s="1"/>
  <c r="BW323" i="68"/>
  <c r="BY323" i="68" s="1"/>
  <c r="BW322" i="68"/>
  <c r="BY322" i="68" s="1"/>
  <c r="BW321" i="68"/>
  <c r="BY321" i="68" s="1"/>
  <c r="BW320" i="68"/>
  <c r="BY320" i="68" s="1"/>
  <c r="BW319" i="68"/>
  <c r="BY319" i="68" s="1"/>
  <c r="BW318" i="68"/>
  <c r="BY318" i="68" s="1"/>
  <c r="BW317" i="68"/>
  <c r="BY317" i="68" s="1"/>
  <c r="BW316" i="68"/>
  <c r="BY316" i="68" s="1"/>
  <c r="BW315" i="68"/>
  <c r="BY315" i="68" s="1"/>
  <c r="BW314" i="68"/>
  <c r="BY314" i="68" s="1"/>
  <c r="BW313" i="68"/>
  <c r="BY313" i="68" s="1"/>
  <c r="BW312" i="68"/>
  <c r="BY312" i="68" s="1"/>
  <c r="BW311" i="68"/>
  <c r="BY311" i="68" s="1"/>
  <c r="BW310" i="68"/>
  <c r="BY310" i="68" s="1"/>
  <c r="BW309" i="68"/>
  <c r="BY309" i="68" s="1"/>
  <c r="BW308" i="68"/>
  <c r="BY308" i="68" s="1"/>
  <c r="BW307" i="68"/>
  <c r="BY307" i="68" s="1"/>
  <c r="BW306" i="68"/>
  <c r="BY306" i="68" s="1"/>
  <c r="BW305" i="68"/>
  <c r="BY305" i="68" s="1"/>
  <c r="BW304" i="68"/>
  <c r="BY304" i="68" s="1"/>
  <c r="BW303" i="68"/>
  <c r="BY303" i="68" s="1"/>
  <c r="BW302" i="68"/>
  <c r="BY302" i="68" s="1"/>
  <c r="BW301" i="68"/>
  <c r="BY301" i="68" s="1"/>
  <c r="BW300" i="68"/>
  <c r="BY300" i="68" s="1"/>
  <c r="BW299" i="68"/>
  <c r="BY299" i="68" s="1"/>
  <c r="BW298" i="68"/>
  <c r="BY298" i="68" s="1"/>
  <c r="BW297" i="68"/>
  <c r="BY297" i="68" s="1"/>
  <c r="BW296" i="68"/>
  <c r="BY296" i="68" s="1"/>
  <c r="BW295" i="68"/>
  <c r="BY295" i="68" s="1"/>
  <c r="BW294" i="68"/>
  <c r="BY294" i="68" s="1"/>
  <c r="BW293" i="68"/>
  <c r="BY293" i="68" s="1"/>
  <c r="BW292" i="68"/>
  <c r="BY292" i="68" s="1"/>
  <c r="BW291" i="68"/>
  <c r="BY291" i="68" s="1"/>
  <c r="BW290" i="68"/>
  <c r="BY290" i="68" s="1"/>
  <c r="BW289" i="68"/>
  <c r="BY289" i="68" s="1"/>
  <c r="BW288" i="68"/>
  <c r="BY288" i="68" s="1"/>
  <c r="BW287" i="68"/>
  <c r="BY287" i="68" s="1"/>
  <c r="BW286" i="68"/>
  <c r="BY286" i="68" s="1"/>
  <c r="BW285" i="68"/>
  <c r="BY285" i="68" s="1"/>
  <c r="BW284" i="68"/>
  <c r="BY284" i="68" s="1"/>
  <c r="BW283" i="68"/>
  <c r="BY283" i="68" s="1"/>
  <c r="BW282" i="68"/>
  <c r="BY282" i="68" s="1"/>
  <c r="BW281" i="68"/>
  <c r="BY281" i="68" s="1"/>
  <c r="BW280" i="68"/>
  <c r="BY280" i="68" s="1"/>
  <c r="BW279" i="68"/>
  <c r="BY279" i="68" s="1"/>
  <c r="BW278" i="68"/>
  <c r="BY278" i="68" s="1"/>
  <c r="BW277" i="68"/>
  <c r="BY277" i="68" s="1"/>
  <c r="BW276" i="68"/>
  <c r="BY276" i="68" s="1"/>
  <c r="BW275" i="68"/>
  <c r="BY275" i="68" s="1"/>
  <c r="BW274" i="68"/>
  <c r="BY274" i="68" s="1"/>
  <c r="BW273" i="68"/>
  <c r="BY273" i="68" s="1"/>
  <c r="BW272" i="68"/>
  <c r="BY272" i="68" s="1"/>
  <c r="BW271" i="68"/>
  <c r="BY271" i="68" s="1"/>
  <c r="BW270" i="68"/>
  <c r="BY270" i="68" s="1"/>
  <c r="BW269" i="68"/>
  <c r="BY269" i="68" s="1"/>
  <c r="BW268" i="68"/>
  <c r="BY268" i="68" s="1"/>
  <c r="BW267" i="68"/>
  <c r="BY267" i="68" s="1"/>
  <c r="BW266" i="68"/>
  <c r="BY266" i="68" s="1"/>
  <c r="BW265" i="68"/>
  <c r="BY265" i="68" s="1"/>
  <c r="BW264" i="68"/>
  <c r="BY264" i="68" s="1"/>
  <c r="BW263" i="68"/>
  <c r="BY263" i="68" s="1"/>
  <c r="BW262" i="68"/>
  <c r="BY262" i="68" s="1"/>
  <c r="BW261" i="68"/>
  <c r="BY261" i="68" s="1"/>
  <c r="BW260" i="68"/>
  <c r="BY260" i="68" s="1"/>
  <c r="BW259" i="68"/>
  <c r="BY259" i="68" s="1"/>
  <c r="BW258" i="68"/>
  <c r="BY258" i="68" s="1"/>
  <c r="BW257" i="68"/>
  <c r="BY257" i="68" s="1"/>
  <c r="BW256" i="68"/>
  <c r="BY256" i="68" s="1"/>
  <c r="BW255" i="68"/>
  <c r="BY255" i="68" s="1"/>
  <c r="BW254" i="68"/>
  <c r="BY254" i="68" s="1"/>
  <c r="BW253" i="68"/>
  <c r="BY253" i="68" s="1"/>
  <c r="BW252" i="68"/>
  <c r="BY252" i="68" s="1"/>
  <c r="BW251" i="68"/>
  <c r="BY251" i="68" s="1"/>
  <c r="BW250" i="68"/>
  <c r="BY250" i="68" s="1"/>
  <c r="BW249" i="68"/>
  <c r="BY249" i="68" s="1"/>
  <c r="BW248" i="68"/>
  <c r="BY248" i="68" s="1"/>
  <c r="BW247" i="68"/>
  <c r="BY247" i="68" s="1"/>
  <c r="BW246" i="68"/>
  <c r="BY246" i="68" s="1"/>
  <c r="BW245" i="68"/>
  <c r="BY245" i="68" s="1"/>
  <c r="BW244" i="68"/>
  <c r="BY244" i="68" s="1"/>
  <c r="BW243" i="68"/>
  <c r="BY243" i="68" s="1"/>
  <c r="BW242" i="68"/>
  <c r="BY242" i="68" s="1"/>
  <c r="BW241" i="68"/>
  <c r="BY241" i="68" s="1"/>
  <c r="BW240" i="68"/>
  <c r="BY240" i="68" s="1"/>
  <c r="BW239" i="68"/>
  <c r="BY239" i="68" s="1"/>
  <c r="BW238" i="68"/>
  <c r="BY238" i="68" s="1"/>
  <c r="BW237" i="68"/>
  <c r="BY237" i="68" s="1"/>
  <c r="BW236" i="68"/>
  <c r="BY236" i="68" s="1"/>
  <c r="BW235" i="68"/>
  <c r="BY235" i="68" s="1"/>
  <c r="BW234" i="68"/>
  <c r="BY234" i="68" s="1"/>
  <c r="BW233" i="68"/>
  <c r="BY233" i="68" s="1"/>
  <c r="BW232" i="68"/>
  <c r="BY232" i="68" s="1"/>
  <c r="BW231" i="68"/>
  <c r="BY231" i="68" s="1"/>
  <c r="BW230" i="68"/>
  <c r="BY230" i="68" s="1"/>
  <c r="BW229" i="68"/>
  <c r="BY229" i="68" s="1"/>
  <c r="BW228" i="68"/>
  <c r="BY228" i="68" s="1"/>
  <c r="BW227" i="68"/>
  <c r="BY227" i="68" s="1"/>
  <c r="BW226" i="68"/>
  <c r="BY226" i="68" s="1"/>
  <c r="BW225" i="68"/>
  <c r="BY225" i="68" s="1"/>
  <c r="BW224" i="68"/>
  <c r="BY224" i="68" s="1"/>
  <c r="BW223" i="68"/>
  <c r="BY223" i="68" s="1"/>
  <c r="BW222" i="68"/>
  <c r="BY222" i="68" s="1"/>
  <c r="BW221" i="68"/>
  <c r="BY221" i="68" s="1"/>
  <c r="BW220" i="68"/>
  <c r="BY220" i="68" s="1"/>
  <c r="BW219" i="68"/>
  <c r="BY219" i="68" s="1"/>
  <c r="BW218" i="68"/>
  <c r="BY218" i="68" s="1"/>
  <c r="BW217" i="68"/>
  <c r="BY217" i="68" s="1"/>
  <c r="BW216" i="68"/>
  <c r="BY216" i="68" s="1"/>
  <c r="BW215" i="68"/>
  <c r="BY215" i="68" s="1"/>
  <c r="BW214" i="68"/>
  <c r="BY214" i="68" s="1"/>
  <c r="BW213" i="68"/>
  <c r="BY213" i="68" s="1"/>
  <c r="BW212" i="68"/>
  <c r="BY212" i="68" s="1"/>
  <c r="BW211" i="68"/>
  <c r="BY211" i="68" s="1"/>
  <c r="BW210" i="68"/>
  <c r="BY210" i="68" s="1"/>
  <c r="BW209" i="68"/>
  <c r="BY209" i="68" s="1"/>
  <c r="BW208" i="68"/>
  <c r="BY208" i="68" s="1"/>
  <c r="BW207" i="68"/>
  <c r="BY207" i="68" s="1"/>
  <c r="BW206" i="68"/>
  <c r="BY206" i="68" s="1"/>
  <c r="BW205" i="68"/>
  <c r="BY205" i="68" s="1"/>
  <c r="BW204" i="68"/>
  <c r="BY204" i="68" s="1"/>
  <c r="BW203" i="68"/>
  <c r="BY203" i="68" s="1"/>
  <c r="BW202" i="68"/>
  <c r="BY202" i="68" s="1"/>
  <c r="BW201" i="68"/>
  <c r="BY201" i="68" s="1"/>
  <c r="BW200" i="68"/>
  <c r="BY200" i="68" s="1"/>
  <c r="BW199" i="68"/>
  <c r="BY199" i="68" s="1"/>
  <c r="BW198" i="68"/>
  <c r="BY198" i="68" s="1"/>
  <c r="BW197" i="68"/>
  <c r="BY197" i="68" s="1"/>
  <c r="BW196" i="68"/>
  <c r="BY196" i="68" s="1"/>
  <c r="BW195" i="68"/>
  <c r="BY195" i="68" s="1"/>
  <c r="BW194" i="68"/>
  <c r="BY194" i="68" s="1"/>
  <c r="BW193" i="68"/>
  <c r="BY193" i="68" s="1"/>
  <c r="BW192" i="68"/>
  <c r="BY192" i="68" s="1"/>
  <c r="BW191" i="68"/>
  <c r="BY191" i="68" s="1"/>
  <c r="BW190" i="68"/>
  <c r="BY190" i="68" s="1"/>
  <c r="BW189" i="68"/>
  <c r="BY189" i="68" s="1"/>
  <c r="BW188" i="68"/>
  <c r="BY188" i="68" s="1"/>
  <c r="BW187" i="68"/>
  <c r="BY187" i="68" s="1"/>
  <c r="BW186" i="68"/>
  <c r="BY186" i="68" s="1"/>
  <c r="BW185" i="68"/>
  <c r="BY185" i="68" s="1"/>
  <c r="BW184" i="68"/>
  <c r="BY184" i="68" s="1"/>
  <c r="BW183" i="68"/>
  <c r="BY183" i="68" s="1"/>
  <c r="BW182" i="68"/>
  <c r="BY182" i="68" s="1"/>
  <c r="BW181" i="68"/>
  <c r="BY181" i="68" s="1"/>
  <c r="BW180" i="68"/>
  <c r="BY180" i="68" s="1"/>
  <c r="BW179" i="68"/>
  <c r="BY179" i="68" s="1"/>
  <c r="BW178" i="68"/>
  <c r="BY178" i="68" s="1"/>
  <c r="BW177" i="68"/>
  <c r="BY177" i="68" s="1"/>
  <c r="BW176" i="68"/>
  <c r="BY176" i="68" s="1"/>
  <c r="BW175" i="68"/>
  <c r="BY175" i="68" s="1"/>
  <c r="BW174" i="68"/>
  <c r="BY174" i="68" s="1"/>
  <c r="BW173" i="68"/>
  <c r="BY173" i="68" s="1"/>
  <c r="BW172" i="68"/>
  <c r="BY172" i="68" s="1"/>
  <c r="BW171" i="68"/>
  <c r="BY171" i="68" s="1"/>
  <c r="BW170" i="68"/>
  <c r="BY170" i="68" s="1"/>
  <c r="BW169" i="68"/>
  <c r="BY169" i="68" s="1"/>
  <c r="BW168" i="68"/>
  <c r="BY168" i="68" s="1"/>
  <c r="BW167" i="68"/>
  <c r="BY167" i="68" s="1"/>
  <c r="BW166" i="68"/>
  <c r="BY166" i="68" s="1"/>
  <c r="BW165" i="68"/>
  <c r="BY165" i="68" s="1"/>
  <c r="BW164" i="68"/>
  <c r="BY164" i="68" s="1"/>
  <c r="BW163" i="68"/>
  <c r="BY163" i="68" s="1"/>
  <c r="BW162" i="68"/>
  <c r="BY162" i="68" s="1"/>
  <c r="BW161" i="68"/>
  <c r="BY161" i="68" s="1"/>
  <c r="BW160" i="68"/>
  <c r="BY160" i="68" s="1"/>
  <c r="BW159" i="68"/>
  <c r="BY159" i="68" s="1"/>
  <c r="BW158" i="68"/>
  <c r="BY158" i="68" s="1"/>
  <c r="BW157" i="68"/>
  <c r="BY157" i="68" s="1"/>
  <c r="BW156" i="68"/>
  <c r="BY156" i="68" s="1"/>
  <c r="BW155" i="68"/>
  <c r="BY155" i="68" s="1"/>
  <c r="BW154" i="68"/>
  <c r="BY154" i="68" s="1"/>
  <c r="BW153" i="68"/>
  <c r="BY153" i="68" s="1"/>
  <c r="BW152" i="68"/>
  <c r="BY152" i="68" s="1"/>
  <c r="BW151" i="68"/>
  <c r="BY151" i="68" s="1"/>
  <c r="BW150" i="68"/>
  <c r="BY150" i="68" s="1"/>
  <c r="BW149" i="68"/>
  <c r="BY149" i="68" s="1"/>
  <c r="BW148" i="68"/>
  <c r="BY148" i="68" s="1"/>
  <c r="BW147" i="68"/>
  <c r="BY147" i="68" s="1"/>
  <c r="BW146" i="68"/>
  <c r="BY146" i="68" s="1"/>
  <c r="BW145" i="68"/>
  <c r="BY145" i="68" s="1"/>
  <c r="BW144" i="68"/>
  <c r="BY144" i="68" s="1"/>
  <c r="BW143" i="68"/>
  <c r="BY143" i="68" s="1"/>
  <c r="BW142" i="68"/>
  <c r="BY142" i="68" s="1"/>
  <c r="BW141" i="68"/>
  <c r="BY141" i="68" s="1"/>
  <c r="BW140" i="68"/>
  <c r="BY140" i="68" s="1"/>
  <c r="BW139" i="68"/>
  <c r="BY139" i="68" s="1"/>
  <c r="BW138" i="68"/>
  <c r="BY138" i="68" s="1"/>
  <c r="BW137" i="68"/>
  <c r="BY137" i="68" s="1"/>
  <c r="BW136" i="68"/>
  <c r="BY136" i="68" s="1"/>
  <c r="BW135" i="68"/>
  <c r="BY135" i="68" s="1"/>
  <c r="BW134" i="68"/>
  <c r="BY134" i="68" s="1"/>
  <c r="BW133" i="68"/>
  <c r="BY133" i="68" s="1"/>
  <c r="BW132" i="68"/>
  <c r="BY132" i="68" s="1"/>
  <c r="BW131" i="68"/>
  <c r="BY131" i="68" s="1"/>
  <c r="BW130" i="68"/>
  <c r="BY130" i="68" s="1"/>
  <c r="BW129" i="68"/>
  <c r="BY129" i="68" s="1"/>
  <c r="BW128" i="68"/>
  <c r="BY128" i="68" s="1"/>
  <c r="BW127" i="68"/>
  <c r="BY127" i="68" s="1"/>
  <c r="BW126" i="68"/>
  <c r="BY126" i="68" s="1"/>
  <c r="BW125" i="68"/>
  <c r="BY125" i="68" s="1"/>
  <c r="BW124" i="68"/>
  <c r="BY124" i="68" s="1"/>
  <c r="BW123" i="68"/>
  <c r="BY123" i="68" s="1"/>
  <c r="BW122" i="68"/>
  <c r="BY122" i="68" s="1"/>
  <c r="BW121" i="68"/>
  <c r="BY121" i="68" s="1"/>
  <c r="BW120" i="68"/>
  <c r="BY120" i="68" s="1"/>
  <c r="BW119" i="68"/>
  <c r="BY119" i="68" s="1"/>
  <c r="BW118" i="68"/>
  <c r="BY118" i="68" s="1"/>
  <c r="BW117" i="68"/>
  <c r="BY117" i="68" s="1"/>
  <c r="BW116" i="68"/>
  <c r="BY116" i="68" s="1"/>
  <c r="BW115" i="68"/>
  <c r="BY115" i="68" s="1"/>
  <c r="BW114" i="68"/>
  <c r="BY114" i="68" s="1"/>
  <c r="BW113" i="68"/>
  <c r="BY113" i="68" s="1"/>
  <c r="BW112" i="68"/>
  <c r="BY112" i="68" s="1"/>
  <c r="BW111" i="68"/>
  <c r="BY111" i="68" s="1"/>
  <c r="BW110" i="68"/>
  <c r="BY110" i="68" s="1"/>
  <c r="BW109" i="68"/>
  <c r="BY109" i="68" s="1"/>
  <c r="BW108" i="68"/>
  <c r="BY108" i="68" s="1"/>
  <c r="BW107" i="68"/>
  <c r="BY107" i="68" s="1"/>
  <c r="BW106" i="68"/>
  <c r="BY106" i="68" s="1"/>
  <c r="BW105" i="68"/>
  <c r="BY105" i="68" s="1"/>
  <c r="BW104" i="68"/>
  <c r="BY104" i="68" s="1"/>
  <c r="BW103" i="68"/>
  <c r="BY103" i="68" s="1"/>
  <c r="BW102" i="68"/>
  <c r="BY102" i="68" s="1"/>
  <c r="BW101" i="68"/>
  <c r="BY101" i="68" s="1"/>
  <c r="BW100" i="68"/>
  <c r="BY100" i="68" s="1"/>
  <c r="BW99" i="68"/>
  <c r="BY99" i="68" s="1"/>
  <c r="BW98" i="68"/>
  <c r="BY98" i="68" s="1"/>
  <c r="BW97" i="68"/>
  <c r="BY97" i="68" s="1"/>
  <c r="BW96" i="68"/>
  <c r="BY96" i="68" s="1"/>
  <c r="BW95" i="68"/>
  <c r="BY95" i="68" s="1"/>
  <c r="BW94" i="68"/>
  <c r="BY94" i="68" s="1"/>
  <c r="BW93" i="68"/>
  <c r="BY93" i="68" s="1"/>
  <c r="BW92" i="68"/>
  <c r="BY92" i="68" s="1"/>
  <c r="BW91" i="68"/>
  <c r="BY91" i="68" s="1"/>
  <c r="BW90" i="68"/>
  <c r="BY90" i="68" s="1"/>
  <c r="BW89" i="68"/>
  <c r="BY89" i="68" s="1"/>
  <c r="BW88" i="68"/>
  <c r="BY88" i="68" s="1"/>
  <c r="BW87" i="68"/>
  <c r="BY87" i="68" s="1"/>
  <c r="BW86" i="68"/>
  <c r="BY86" i="68" s="1"/>
  <c r="BW85" i="68"/>
  <c r="BY85" i="68" s="1"/>
  <c r="BW84" i="68"/>
  <c r="BY84" i="68" s="1"/>
  <c r="BW83" i="68"/>
  <c r="BY83" i="68" s="1"/>
  <c r="BW82" i="68"/>
  <c r="BY82" i="68" s="1"/>
  <c r="BW81" i="68"/>
  <c r="BY81" i="68" s="1"/>
  <c r="BW80" i="68"/>
  <c r="BY80" i="68" s="1"/>
  <c r="BW79" i="68"/>
  <c r="BY79" i="68" s="1"/>
  <c r="BW78" i="68"/>
  <c r="BY78" i="68" s="1"/>
  <c r="BW77" i="68"/>
  <c r="BY77" i="68" s="1"/>
  <c r="BW76" i="68"/>
  <c r="BY76" i="68" s="1"/>
  <c r="BW75" i="68"/>
  <c r="BY75" i="68" s="1"/>
  <c r="BW74" i="68"/>
  <c r="BY74" i="68" s="1"/>
  <c r="BW73" i="68"/>
  <c r="BY73" i="68" s="1"/>
  <c r="BW72" i="68"/>
  <c r="BY72" i="68" s="1"/>
  <c r="BW71" i="68"/>
  <c r="BY71" i="68" s="1"/>
  <c r="BW70" i="68"/>
  <c r="BY70" i="68" s="1"/>
  <c r="BW69" i="68"/>
  <c r="BY69" i="68" s="1"/>
  <c r="BW68" i="68"/>
  <c r="BY68" i="68" s="1"/>
  <c r="BW67" i="68"/>
  <c r="BY67" i="68" s="1"/>
  <c r="BW66" i="68"/>
  <c r="BY66" i="68" s="1"/>
  <c r="BW65" i="68"/>
  <c r="BY65" i="68" s="1"/>
  <c r="BW64" i="68"/>
  <c r="BY64" i="68" s="1"/>
  <c r="BW63" i="68"/>
  <c r="BY63" i="68" s="1"/>
  <c r="BW62" i="68"/>
  <c r="BY62" i="68" s="1"/>
  <c r="BW61" i="68"/>
  <c r="BY61" i="68" s="1"/>
  <c r="BW60" i="68"/>
  <c r="BY60" i="68" s="1"/>
  <c r="BW59" i="68"/>
  <c r="BY59" i="68" s="1"/>
  <c r="BW58" i="68"/>
  <c r="BY58" i="68" s="1"/>
  <c r="BW57" i="68"/>
  <c r="BY57" i="68" s="1"/>
  <c r="BW56" i="68"/>
  <c r="BY56" i="68" s="1"/>
  <c r="BW55" i="68"/>
  <c r="BY55" i="68" s="1"/>
  <c r="BW54" i="68"/>
  <c r="BY54" i="68" s="1"/>
  <c r="BW53" i="68"/>
  <c r="BY53" i="68" s="1"/>
  <c r="BW52" i="68"/>
  <c r="BY52" i="68" s="1"/>
  <c r="BW51" i="68"/>
  <c r="BY51" i="68" s="1"/>
  <c r="BW50" i="68"/>
  <c r="BY50" i="68" s="1"/>
  <c r="BW49" i="68"/>
  <c r="BY49" i="68" s="1"/>
  <c r="BW48" i="68"/>
  <c r="BY48" i="68" s="1"/>
  <c r="BW47" i="68"/>
  <c r="BY47" i="68" s="1"/>
  <c r="BW46" i="68"/>
  <c r="BY46" i="68" s="1"/>
  <c r="BW45" i="68"/>
  <c r="BY45" i="68" s="1"/>
  <c r="BW44" i="68"/>
  <c r="BY44" i="68" s="1"/>
  <c r="BW43" i="68"/>
  <c r="BY43" i="68" s="1"/>
  <c r="BW42" i="68"/>
  <c r="BY42" i="68" s="1"/>
  <c r="BW41" i="68"/>
  <c r="BY41" i="68" s="1"/>
  <c r="BW40" i="68"/>
  <c r="BY40" i="68" s="1"/>
  <c r="BW39" i="68"/>
  <c r="BY39" i="68" s="1"/>
  <c r="BW38" i="68"/>
  <c r="BY38" i="68" s="1"/>
  <c r="BW37" i="68"/>
  <c r="BY37" i="68" s="1"/>
  <c r="BW36" i="68"/>
  <c r="BY36" i="68" s="1"/>
  <c r="BW35" i="68"/>
  <c r="BY35" i="68" s="1"/>
  <c r="BW34" i="68"/>
  <c r="BY34" i="68" s="1"/>
  <c r="BW33" i="68"/>
  <c r="BY33" i="68" s="1"/>
  <c r="BW32" i="68"/>
  <c r="BY32" i="68" s="1"/>
  <c r="BW31" i="68"/>
  <c r="BY31" i="68" s="1"/>
  <c r="BW30" i="68"/>
  <c r="BY30" i="68" s="1"/>
  <c r="BW29" i="68"/>
  <c r="BY29" i="68" s="1"/>
  <c r="BW28" i="68"/>
  <c r="BY28" i="68" s="1"/>
  <c r="BW27" i="68"/>
  <c r="BY27" i="68" s="1"/>
  <c r="BW26" i="68"/>
  <c r="BY26" i="68" s="1"/>
  <c r="BW25" i="68"/>
  <c r="BY25" i="68" s="1"/>
  <c r="BW24" i="68"/>
  <c r="BY24" i="68" s="1"/>
  <c r="BW23" i="68"/>
  <c r="BY23" i="68" s="1"/>
  <c r="BW22" i="68"/>
  <c r="BY22" i="68" s="1"/>
  <c r="BW21" i="68"/>
  <c r="BY21" i="68" s="1"/>
  <c r="BW20" i="68"/>
  <c r="BY20" i="68" s="1"/>
  <c r="BW19" i="68"/>
  <c r="BY19" i="68" s="1"/>
  <c r="BW18" i="68"/>
  <c r="BY18" i="68" s="1"/>
  <c r="BW17" i="68"/>
  <c r="BY17" i="68" s="1"/>
  <c r="BW16" i="68"/>
  <c r="BY16" i="68" s="1"/>
  <c r="BW15" i="68"/>
  <c r="BY15" i="68" s="1"/>
  <c r="BW14" i="68"/>
  <c r="BY14" i="68" s="1"/>
  <c r="BW13" i="68"/>
  <c r="BY13" i="68" s="1"/>
  <c r="BW12" i="68"/>
  <c r="BY12" i="68" s="1"/>
  <c r="BW11" i="68"/>
  <c r="BY11" i="68" s="1"/>
  <c r="BW10" i="68"/>
  <c r="BY10" i="68" s="1"/>
  <c r="BW9" i="68"/>
  <c r="BY9" i="68" s="1"/>
  <c r="BW8" i="68"/>
  <c r="BY8" i="68" s="1"/>
  <c r="BW7" i="68"/>
  <c r="BY7" i="68" s="1"/>
  <c r="BW6" i="68"/>
  <c r="BY6" i="68" s="1"/>
  <c r="BW5" i="68"/>
  <c r="BY5" i="68" s="1"/>
  <c r="BW4" i="68"/>
  <c r="BY4" i="68" s="1"/>
  <c r="BW3" i="68"/>
  <c r="BY3" i="68" s="1"/>
  <c r="BV369" i="68"/>
  <c r="BV368" i="68"/>
  <c r="BV367" i="68"/>
  <c r="BV366" i="68"/>
  <c r="BV365" i="68"/>
  <c r="BV364" i="68"/>
  <c r="BV363" i="68"/>
  <c r="BV362" i="68"/>
  <c r="BV361" i="68"/>
  <c r="BV360" i="68"/>
  <c r="BV359" i="68"/>
  <c r="BV358" i="68"/>
  <c r="BV357" i="68"/>
  <c r="BV356" i="68"/>
  <c r="BV355" i="68"/>
  <c r="BV354" i="68"/>
  <c r="BV353" i="68"/>
  <c r="BV352" i="68"/>
  <c r="BV351" i="68"/>
  <c r="BV350" i="68"/>
  <c r="BV349" i="68"/>
  <c r="BV348" i="68"/>
  <c r="BV347" i="68"/>
  <c r="BV346" i="68"/>
  <c r="BV345" i="68"/>
  <c r="BV344" i="68"/>
  <c r="BV343" i="68"/>
  <c r="BV342" i="68"/>
  <c r="BV341" i="68"/>
  <c r="BV340" i="68"/>
  <c r="BV339" i="68"/>
  <c r="BV338" i="68"/>
  <c r="BV337" i="68"/>
  <c r="BV336" i="68"/>
  <c r="BV335" i="68"/>
  <c r="BV334" i="68"/>
  <c r="BV333" i="68"/>
  <c r="BV332" i="68"/>
  <c r="BV331" i="68"/>
  <c r="BV330" i="68"/>
  <c r="BV329" i="68"/>
  <c r="BV328" i="68"/>
  <c r="BV327" i="68"/>
  <c r="BV326" i="68"/>
  <c r="BV325" i="68"/>
  <c r="BV324" i="68"/>
  <c r="BV323" i="68"/>
  <c r="BV322" i="68"/>
  <c r="BV321" i="68"/>
  <c r="BV320" i="68"/>
  <c r="BV319" i="68"/>
  <c r="BV318" i="68"/>
  <c r="BV317" i="68"/>
  <c r="BV316" i="68"/>
  <c r="BV315" i="68"/>
  <c r="BV314" i="68"/>
  <c r="BV313" i="68"/>
  <c r="BV312" i="68"/>
  <c r="BV311" i="68"/>
  <c r="BV310" i="68"/>
  <c r="BV309" i="68"/>
  <c r="BV308" i="68"/>
  <c r="BV307" i="68"/>
  <c r="BV306" i="68"/>
  <c r="BV305" i="68"/>
  <c r="BV304" i="68"/>
  <c r="BV303" i="68"/>
  <c r="BV302" i="68"/>
  <c r="BV301" i="68"/>
  <c r="BV300" i="68"/>
  <c r="BV299" i="68"/>
  <c r="BV298" i="68"/>
  <c r="BV297" i="68"/>
  <c r="BV296" i="68"/>
  <c r="BV295" i="68"/>
  <c r="BV294" i="68"/>
  <c r="BV293" i="68"/>
  <c r="BV292" i="68"/>
  <c r="BV291" i="68"/>
  <c r="BV290" i="68"/>
  <c r="BV289" i="68"/>
  <c r="BV288" i="68"/>
  <c r="BV287" i="68"/>
  <c r="BV286" i="68"/>
  <c r="BV285" i="68"/>
  <c r="BV284" i="68"/>
  <c r="BV283" i="68"/>
  <c r="BV282" i="68"/>
  <c r="BV281" i="68"/>
  <c r="BV280" i="68"/>
  <c r="BV279" i="68"/>
  <c r="BV278" i="68"/>
  <c r="BV277" i="68"/>
  <c r="BV276" i="68"/>
  <c r="BV275" i="68"/>
  <c r="BV274" i="68"/>
  <c r="BV273" i="68"/>
  <c r="BV272" i="68"/>
  <c r="BV271" i="68"/>
  <c r="BV270" i="68"/>
  <c r="BV269" i="68"/>
  <c r="BV268" i="68"/>
  <c r="BV267" i="68"/>
  <c r="BV266" i="68"/>
  <c r="BV265" i="68"/>
  <c r="BV264" i="68"/>
  <c r="BV263" i="68"/>
  <c r="BV262" i="68"/>
  <c r="BV261" i="68"/>
  <c r="BV260" i="68"/>
  <c r="BV259" i="68"/>
  <c r="BV258" i="68"/>
  <c r="BV257" i="68"/>
  <c r="BV256" i="68"/>
  <c r="BV255" i="68"/>
  <c r="BV254" i="68"/>
  <c r="BV253" i="68"/>
  <c r="BV252" i="68"/>
  <c r="BV251" i="68"/>
  <c r="BV250" i="68"/>
  <c r="BV249" i="68"/>
  <c r="BV248" i="68"/>
  <c r="BV247" i="68"/>
  <c r="BV246" i="68"/>
  <c r="BV245" i="68"/>
  <c r="BV244" i="68"/>
  <c r="BV243" i="68"/>
  <c r="BV242" i="68"/>
  <c r="BV241" i="68"/>
  <c r="BV240" i="68"/>
  <c r="BV239" i="68"/>
  <c r="BV238" i="68"/>
  <c r="BV237" i="68"/>
  <c r="BV236" i="68"/>
  <c r="BV235" i="68"/>
  <c r="BV234" i="68"/>
  <c r="BV233" i="68"/>
  <c r="BV232" i="68"/>
  <c r="BV231" i="68"/>
  <c r="BV230" i="68"/>
  <c r="BV229" i="68"/>
  <c r="BV228" i="68"/>
  <c r="BV227" i="68"/>
  <c r="BV226" i="68"/>
  <c r="BV225" i="68"/>
  <c r="BV224" i="68"/>
  <c r="BV223" i="68"/>
  <c r="BV222" i="68"/>
  <c r="BV221" i="68"/>
  <c r="BV220" i="68"/>
  <c r="BV219" i="68"/>
  <c r="BV218" i="68"/>
  <c r="BV217" i="68"/>
  <c r="BV216" i="68"/>
  <c r="BV215" i="68"/>
  <c r="BV214" i="68"/>
  <c r="BV213" i="68"/>
  <c r="BV212" i="68"/>
  <c r="BV211" i="68"/>
  <c r="BV210" i="68"/>
  <c r="BV209" i="68"/>
  <c r="BV208" i="68"/>
  <c r="BV207" i="68"/>
  <c r="BV206" i="68"/>
  <c r="BV205" i="68"/>
  <c r="BV204" i="68"/>
  <c r="BV203" i="68"/>
  <c r="BV202" i="68"/>
  <c r="BV201" i="68"/>
  <c r="BV200" i="68"/>
  <c r="BV199" i="68"/>
  <c r="BV198" i="68"/>
  <c r="BV197" i="68"/>
  <c r="BV196" i="68"/>
  <c r="BV195" i="68"/>
  <c r="BV194" i="68"/>
  <c r="BV193" i="68"/>
  <c r="BV192" i="68"/>
  <c r="BV191" i="68"/>
  <c r="BV190" i="68"/>
  <c r="BV189" i="68"/>
  <c r="BV188" i="68"/>
  <c r="BV187" i="68"/>
  <c r="BV186" i="68"/>
  <c r="BV185" i="68"/>
  <c r="BV184" i="68"/>
  <c r="BV183" i="68"/>
  <c r="BV182" i="68"/>
  <c r="BV181" i="68"/>
  <c r="BV180" i="68"/>
  <c r="BV179" i="68"/>
  <c r="BV178" i="68"/>
  <c r="BV177" i="68"/>
  <c r="BV176" i="68"/>
  <c r="BV175" i="68"/>
  <c r="BV174" i="68"/>
  <c r="BV173" i="68"/>
  <c r="BV172" i="68"/>
  <c r="BV171" i="68"/>
  <c r="BV170" i="68"/>
  <c r="BV169" i="68"/>
  <c r="BV168" i="68"/>
  <c r="BV167" i="68"/>
  <c r="BV166" i="68"/>
  <c r="BV165" i="68"/>
  <c r="BV164" i="68"/>
  <c r="BV163" i="68"/>
  <c r="BV162" i="68"/>
  <c r="BV161" i="68"/>
  <c r="BV160" i="68"/>
  <c r="BV159" i="68"/>
  <c r="BV158" i="68"/>
  <c r="BV157" i="68"/>
  <c r="BV156" i="68"/>
  <c r="BV155" i="68"/>
  <c r="BV154" i="68"/>
  <c r="BV153" i="68"/>
  <c r="BV152" i="68"/>
  <c r="BV151" i="68"/>
  <c r="BV150" i="68"/>
  <c r="BV149" i="68"/>
  <c r="BV148" i="68"/>
  <c r="BV147" i="68"/>
  <c r="BV146" i="68"/>
  <c r="BV145" i="68"/>
  <c r="BV144" i="68"/>
  <c r="BV143" i="68"/>
  <c r="BV142" i="68"/>
  <c r="BV141" i="68"/>
  <c r="BV140" i="68"/>
  <c r="BV139" i="68"/>
  <c r="BV138" i="68"/>
  <c r="BV137" i="68"/>
  <c r="BV136" i="68"/>
  <c r="BV135" i="68"/>
  <c r="BV134" i="68"/>
  <c r="BV133" i="68"/>
  <c r="BV132" i="68"/>
  <c r="BV131" i="68"/>
  <c r="BV130" i="68"/>
  <c r="BV129" i="68"/>
  <c r="BV128" i="68"/>
  <c r="BV127" i="68"/>
  <c r="BV126" i="68"/>
  <c r="BV125" i="68"/>
  <c r="BV124" i="68"/>
  <c r="BV123" i="68"/>
  <c r="BV122" i="68"/>
  <c r="BV121" i="68"/>
  <c r="BV120" i="68"/>
  <c r="BV119" i="68"/>
  <c r="BV118" i="68"/>
  <c r="BV117" i="68"/>
  <c r="BV116" i="68"/>
  <c r="BV115" i="68"/>
  <c r="BV114" i="68"/>
  <c r="BV113" i="68"/>
  <c r="BV112" i="68"/>
  <c r="BV111" i="68"/>
  <c r="BV110" i="68"/>
  <c r="BV109" i="68"/>
  <c r="BV108" i="68"/>
  <c r="BV107" i="68"/>
  <c r="BV106" i="68"/>
  <c r="BV105" i="68"/>
  <c r="BV104" i="68"/>
  <c r="BV103" i="68"/>
  <c r="BV102" i="68"/>
  <c r="BV101" i="68"/>
  <c r="BV100" i="68"/>
  <c r="BV99" i="68"/>
  <c r="BV98" i="68"/>
  <c r="BV97" i="68"/>
  <c r="BV96" i="68"/>
  <c r="BV95" i="68"/>
  <c r="BV94" i="68"/>
  <c r="BV93" i="68"/>
  <c r="BV92" i="68"/>
  <c r="BV91" i="68"/>
  <c r="BV90" i="68"/>
  <c r="BV89" i="68"/>
  <c r="BV88" i="68"/>
  <c r="BV87" i="68"/>
  <c r="BV86" i="68"/>
  <c r="BV85" i="68"/>
  <c r="BV84" i="68"/>
  <c r="BV83" i="68"/>
  <c r="BV82" i="68"/>
  <c r="BV81" i="68"/>
  <c r="BV80" i="68"/>
  <c r="BV79" i="68"/>
  <c r="BV78" i="68"/>
  <c r="BV77" i="68"/>
  <c r="BV76" i="68"/>
  <c r="BV75" i="68"/>
  <c r="BV74" i="68"/>
  <c r="BV73" i="68"/>
  <c r="BV72" i="68"/>
  <c r="BV71" i="68"/>
  <c r="BV70" i="68"/>
  <c r="BV69" i="68"/>
  <c r="BV68" i="68"/>
  <c r="BV67" i="68"/>
  <c r="BV66" i="68"/>
  <c r="BV65" i="68"/>
  <c r="BV64" i="68"/>
  <c r="BV63" i="68"/>
  <c r="BV62" i="68"/>
  <c r="BV61" i="68"/>
  <c r="BV60" i="68"/>
  <c r="BV59" i="68"/>
  <c r="BV58" i="68"/>
  <c r="BV57" i="68"/>
  <c r="BV56" i="68"/>
  <c r="BV55" i="68"/>
  <c r="BV54" i="68"/>
  <c r="BV53" i="68"/>
  <c r="BV52" i="68"/>
  <c r="BV51" i="68"/>
  <c r="BV50" i="68"/>
  <c r="BV49" i="68"/>
  <c r="BV48" i="68"/>
  <c r="BV47" i="68"/>
  <c r="BV46" i="68"/>
  <c r="BV45" i="68"/>
  <c r="BV44" i="68"/>
  <c r="BV43" i="68"/>
  <c r="BV42" i="68"/>
  <c r="BV41" i="68"/>
  <c r="BV40" i="68"/>
  <c r="BV39" i="68"/>
  <c r="BV38" i="68"/>
  <c r="BV37" i="68"/>
  <c r="BV36" i="68"/>
  <c r="BV35" i="68"/>
  <c r="BV34" i="68"/>
  <c r="BV33" i="68"/>
  <c r="BV32" i="68"/>
  <c r="BV31" i="68"/>
  <c r="BV30" i="68"/>
  <c r="BV29" i="68"/>
  <c r="BV28" i="68"/>
  <c r="BV27" i="68"/>
  <c r="BV26" i="68"/>
  <c r="BV25" i="68"/>
  <c r="BV24" i="68"/>
  <c r="BV23" i="68"/>
  <c r="BV22" i="68"/>
  <c r="BV21" i="68"/>
  <c r="BV20" i="68"/>
  <c r="BV19" i="68"/>
  <c r="BV18" i="68"/>
  <c r="BV17" i="68"/>
  <c r="BV16" i="68"/>
  <c r="BV15" i="68"/>
  <c r="BV14" i="68"/>
  <c r="BV13" i="68"/>
  <c r="BV12" i="68"/>
  <c r="BV11" i="68"/>
  <c r="BV10" i="68"/>
  <c r="BV9" i="68"/>
  <c r="BV8" i="68"/>
  <c r="BV7" i="68"/>
  <c r="BV6" i="68"/>
  <c r="BV5" i="68"/>
  <c r="BV4" i="68"/>
  <c r="BV3" i="68"/>
  <c r="BU369" i="68"/>
  <c r="BU368" i="68"/>
  <c r="BU367" i="68"/>
  <c r="BU366" i="68"/>
  <c r="BU365" i="68"/>
  <c r="BU364" i="68"/>
  <c r="BU363" i="68"/>
  <c r="BU362" i="68"/>
  <c r="BU361" i="68"/>
  <c r="BU360" i="68"/>
  <c r="BU359" i="68"/>
  <c r="BU358" i="68"/>
  <c r="BU357" i="68"/>
  <c r="BU356" i="68"/>
  <c r="BU355" i="68"/>
  <c r="BU354" i="68"/>
  <c r="BU353" i="68"/>
  <c r="BU352" i="68"/>
  <c r="BU351" i="68"/>
  <c r="BU350" i="68"/>
  <c r="BU349" i="68"/>
  <c r="BU348" i="68"/>
  <c r="BU347" i="68"/>
  <c r="BU346" i="68"/>
  <c r="BU345" i="68"/>
  <c r="BU344" i="68"/>
  <c r="BU343" i="68"/>
  <c r="BU342" i="68"/>
  <c r="BU341" i="68"/>
  <c r="BU340" i="68"/>
  <c r="BU339" i="68"/>
  <c r="BU338" i="68"/>
  <c r="BU337" i="68"/>
  <c r="BU336" i="68"/>
  <c r="BU335" i="68"/>
  <c r="BU334" i="68"/>
  <c r="BU333" i="68"/>
  <c r="BU332" i="68"/>
  <c r="BU331" i="68"/>
  <c r="BU330" i="68"/>
  <c r="BU329" i="68"/>
  <c r="BU328" i="68"/>
  <c r="BU327" i="68"/>
  <c r="BU326" i="68"/>
  <c r="BU325" i="68"/>
  <c r="BU324" i="68"/>
  <c r="BU323" i="68"/>
  <c r="BU322" i="68"/>
  <c r="BU321" i="68"/>
  <c r="BU320" i="68"/>
  <c r="BU319" i="68"/>
  <c r="BU318" i="68"/>
  <c r="BU317" i="68"/>
  <c r="BU316" i="68"/>
  <c r="BU315" i="68"/>
  <c r="BU314" i="68"/>
  <c r="BU313" i="68"/>
  <c r="BU312" i="68"/>
  <c r="BU311" i="68"/>
  <c r="BU310" i="68"/>
  <c r="BU309" i="68"/>
  <c r="BU308" i="68"/>
  <c r="BU307" i="68"/>
  <c r="BU306" i="68"/>
  <c r="BU305" i="68"/>
  <c r="BU304" i="68"/>
  <c r="BU303" i="68"/>
  <c r="BU302" i="68"/>
  <c r="BU301" i="68"/>
  <c r="BU300" i="68"/>
  <c r="BU299" i="68"/>
  <c r="BU298" i="68"/>
  <c r="BU297" i="68"/>
  <c r="BU296" i="68"/>
  <c r="BU295" i="68"/>
  <c r="BU294" i="68"/>
  <c r="BU293" i="68"/>
  <c r="BU292" i="68"/>
  <c r="BU291" i="68"/>
  <c r="BU290" i="68"/>
  <c r="BU289" i="68"/>
  <c r="BU288" i="68"/>
  <c r="BU287" i="68"/>
  <c r="BU286" i="68"/>
  <c r="BU285" i="68"/>
  <c r="BU284" i="68"/>
  <c r="BU283" i="68"/>
  <c r="BU282" i="68"/>
  <c r="BU281" i="68"/>
  <c r="BU280" i="68"/>
  <c r="BU279" i="68"/>
  <c r="BU278" i="68"/>
  <c r="BU277" i="68"/>
  <c r="BU276" i="68"/>
  <c r="BU275" i="68"/>
  <c r="BU274" i="68"/>
  <c r="BU273" i="68"/>
  <c r="BU272" i="68"/>
  <c r="BU271" i="68"/>
  <c r="BU270" i="68"/>
  <c r="BU269" i="68"/>
  <c r="BU268" i="68"/>
  <c r="BU267" i="68"/>
  <c r="BU266" i="68"/>
  <c r="BU265" i="68"/>
  <c r="BU264" i="68"/>
  <c r="BU263" i="68"/>
  <c r="BU262" i="68"/>
  <c r="BU261" i="68"/>
  <c r="BU260" i="68"/>
  <c r="BU259" i="68"/>
  <c r="BU258" i="68"/>
  <c r="BU257" i="68"/>
  <c r="BU256" i="68"/>
  <c r="BU255" i="68"/>
  <c r="BU254" i="68"/>
  <c r="BU253" i="68"/>
  <c r="BU252" i="68"/>
  <c r="BU251" i="68"/>
  <c r="BU250" i="68"/>
  <c r="BU249" i="68"/>
  <c r="BU248" i="68"/>
  <c r="BU247" i="68"/>
  <c r="BU246" i="68"/>
  <c r="BU245" i="68"/>
  <c r="BU244" i="68"/>
  <c r="BU243" i="68"/>
  <c r="BU242" i="68"/>
  <c r="BU241" i="68"/>
  <c r="BU240" i="68"/>
  <c r="BU239" i="68"/>
  <c r="BU238" i="68"/>
  <c r="BU237" i="68"/>
  <c r="BU236" i="68"/>
  <c r="BU235" i="68"/>
  <c r="BU234" i="68"/>
  <c r="BU233" i="68"/>
  <c r="BU232" i="68"/>
  <c r="BU231" i="68"/>
  <c r="BU230" i="68"/>
  <c r="BU229" i="68"/>
  <c r="BU228" i="68"/>
  <c r="BU227" i="68"/>
  <c r="BU226" i="68"/>
  <c r="BU225" i="68"/>
  <c r="BU224" i="68"/>
  <c r="BU223" i="68"/>
  <c r="BU222" i="68"/>
  <c r="BU221" i="68"/>
  <c r="BU220" i="68"/>
  <c r="BU219" i="68"/>
  <c r="BU218" i="68"/>
  <c r="BU217" i="68"/>
  <c r="BU216" i="68"/>
  <c r="BU215" i="68"/>
  <c r="BU214" i="68"/>
  <c r="BU213" i="68"/>
  <c r="BU212" i="68"/>
  <c r="BU211" i="68"/>
  <c r="BU210" i="68"/>
  <c r="BU209" i="68"/>
  <c r="BU208" i="68"/>
  <c r="BU207" i="68"/>
  <c r="BU206" i="68"/>
  <c r="BU205" i="68"/>
  <c r="BU204" i="68"/>
  <c r="BU203" i="68"/>
  <c r="BU202" i="68"/>
  <c r="BU201" i="68"/>
  <c r="BU200" i="68"/>
  <c r="BU199" i="68"/>
  <c r="BU198" i="68"/>
  <c r="BU197" i="68"/>
  <c r="BU196" i="68"/>
  <c r="BU195" i="68"/>
  <c r="BU194" i="68"/>
  <c r="BU193" i="68"/>
  <c r="BU192" i="68"/>
  <c r="BU191" i="68"/>
  <c r="BU190" i="68"/>
  <c r="BU189" i="68"/>
  <c r="BU188" i="68"/>
  <c r="BU187" i="68"/>
  <c r="BU186" i="68"/>
  <c r="BU185" i="68"/>
  <c r="BU184" i="68"/>
  <c r="BU183" i="68"/>
  <c r="BU182" i="68"/>
  <c r="BU181" i="68"/>
  <c r="BU180" i="68"/>
  <c r="BU179" i="68"/>
  <c r="BU178" i="68"/>
  <c r="BU177" i="68"/>
  <c r="BU176" i="68"/>
  <c r="BU175" i="68"/>
  <c r="BU174" i="68"/>
  <c r="BU173" i="68"/>
  <c r="BU172" i="68"/>
  <c r="BU171" i="68"/>
  <c r="BU170" i="68"/>
  <c r="BU169" i="68"/>
  <c r="BU168" i="68"/>
  <c r="BU167" i="68"/>
  <c r="BU166" i="68"/>
  <c r="BU165" i="68"/>
  <c r="BU164" i="68"/>
  <c r="BU163" i="68"/>
  <c r="BU162" i="68"/>
  <c r="BU161" i="68"/>
  <c r="BU160" i="68"/>
  <c r="BU159" i="68"/>
  <c r="BU158" i="68"/>
  <c r="BU157" i="68"/>
  <c r="BU156" i="68"/>
  <c r="BU155" i="68"/>
  <c r="BU154" i="68"/>
  <c r="BU153" i="68"/>
  <c r="BU152" i="68"/>
  <c r="BU151" i="68"/>
  <c r="BU150" i="68"/>
  <c r="BU149" i="68"/>
  <c r="BU148" i="68"/>
  <c r="BU147" i="68"/>
  <c r="BU146" i="68"/>
  <c r="BU145" i="68"/>
  <c r="BU144" i="68"/>
  <c r="BU143" i="68"/>
  <c r="BU142" i="68"/>
  <c r="BU141" i="68"/>
  <c r="BU140" i="68"/>
  <c r="BU139" i="68"/>
  <c r="BU138" i="68"/>
  <c r="BU137" i="68"/>
  <c r="BU136" i="68"/>
  <c r="BU135" i="68"/>
  <c r="BU134" i="68"/>
  <c r="BU133" i="68"/>
  <c r="BU132" i="68"/>
  <c r="BU131" i="68"/>
  <c r="BU130" i="68"/>
  <c r="BU129" i="68"/>
  <c r="BU128" i="68"/>
  <c r="BU127" i="68"/>
  <c r="BU126" i="68"/>
  <c r="BU125" i="68"/>
  <c r="BU124" i="68"/>
  <c r="BU123" i="68"/>
  <c r="BU122" i="68"/>
  <c r="BU121" i="68"/>
  <c r="BU120" i="68"/>
  <c r="BU119" i="68"/>
  <c r="BU118" i="68"/>
  <c r="BU117" i="68"/>
  <c r="BU116" i="68"/>
  <c r="BU115" i="68"/>
  <c r="BU114" i="68"/>
  <c r="BU113" i="68"/>
  <c r="BU112" i="68"/>
  <c r="BU111" i="68"/>
  <c r="BU110" i="68"/>
  <c r="BU109" i="68"/>
  <c r="BU108" i="68"/>
  <c r="BU107" i="68"/>
  <c r="BU106" i="68"/>
  <c r="BU105" i="68"/>
  <c r="BU104" i="68"/>
  <c r="BU103" i="68"/>
  <c r="BU102" i="68"/>
  <c r="BU101" i="68"/>
  <c r="BU100" i="68"/>
  <c r="BU99" i="68"/>
  <c r="BU98" i="68"/>
  <c r="BU97" i="68"/>
  <c r="BU96" i="68"/>
  <c r="BU95" i="68"/>
  <c r="BU94" i="68"/>
  <c r="BU93" i="68"/>
  <c r="BU92" i="68"/>
  <c r="BU91" i="68"/>
  <c r="BU90" i="68"/>
  <c r="BU89" i="68"/>
  <c r="BU88" i="68"/>
  <c r="BU87" i="68"/>
  <c r="BU86" i="68"/>
  <c r="BU85" i="68"/>
  <c r="BU84" i="68"/>
  <c r="BU83" i="68"/>
  <c r="BU82" i="68"/>
  <c r="BU81" i="68"/>
  <c r="BU80" i="68"/>
  <c r="BU79" i="68"/>
  <c r="BU78" i="68"/>
  <c r="BU77" i="68"/>
  <c r="BU76" i="68"/>
  <c r="BU75" i="68"/>
  <c r="BU74" i="68"/>
  <c r="BU73" i="68"/>
  <c r="BU72" i="68"/>
  <c r="BU71" i="68"/>
  <c r="BU70" i="68"/>
  <c r="BU69" i="68"/>
  <c r="BU68" i="68"/>
  <c r="BU67" i="68"/>
  <c r="BU66" i="68"/>
  <c r="BU65" i="68"/>
  <c r="BU64" i="68"/>
  <c r="BU63" i="68"/>
  <c r="BU62" i="68"/>
  <c r="BU61" i="68"/>
  <c r="BU60" i="68"/>
  <c r="BU59" i="68"/>
  <c r="BU58" i="68"/>
  <c r="BU57" i="68"/>
  <c r="BU56" i="68"/>
  <c r="BU55" i="68"/>
  <c r="BU54" i="68"/>
  <c r="BU53" i="68"/>
  <c r="BU52" i="68"/>
  <c r="BU51" i="68"/>
  <c r="BU50" i="68"/>
  <c r="BU49" i="68"/>
  <c r="BU48" i="68"/>
  <c r="BU47" i="68"/>
  <c r="BU46" i="68"/>
  <c r="BU45" i="68"/>
  <c r="BU44" i="68"/>
  <c r="BU43" i="68"/>
  <c r="BU42" i="68"/>
  <c r="BU41" i="68"/>
  <c r="BU40" i="68"/>
  <c r="BU39" i="68"/>
  <c r="BU38" i="68"/>
  <c r="BU37" i="68"/>
  <c r="BU36" i="68"/>
  <c r="BU35" i="68"/>
  <c r="BU34" i="68"/>
  <c r="BU33" i="68"/>
  <c r="BU32" i="68"/>
  <c r="BU31" i="68"/>
  <c r="BU30" i="68"/>
  <c r="BU29" i="68"/>
  <c r="BU28" i="68"/>
  <c r="BU27" i="68"/>
  <c r="BU26" i="68"/>
  <c r="BU25" i="68"/>
  <c r="BU24" i="68"/>
  <c r="BU23" i="68"/>
  <c r="BU22" i="68"/>
  <c r="BU21" i="68"/>
  <c r="BU20" i="68"/>
  <c r="BU19" i="68"/>
  <c r="BU18" i="68"/>
  <c r="BU17" i="68"/>
  <c r="BU16" i="68"/>
  <c r="BU15" i="68"/>
  <c r="BU14" i="68"/>
  <c r="BU13" i="68"/>
  <c r="BU12" i="68"/>
  <c r="BU11" i="68"/>
  <c r="BU10" i="68"/>
  <c r="BU9" i="68"/>
  <c r="BU8" i="68"/>
  <c r="BU7" i="68"/>
  <c r="BU6" i="68"/>
  <c r="BU5" i="68"/>
  <c r="BU4" i="68"/>
  <c r="BU3" i="68"/>
  <c r="BT369" i="68"/>
  <c r="BT368" i="68"/>
  <c r="BT367" i="68"/>
  <c r="BT366" i="68"/>
  <c r="BT365" i="68"/>
  <c r="BT364" i="68"/>
  <c r="BT363" i="68"/>
  <c r="BT362" i="68"/>
  <c r="BT361" i="68"/>
  <c r="BT360" i="68"/>
  <c r="BT359" i="68"/>
  <c r="BT358" i="68"/>
  <c r="BT357" i="68"/>
  <c r="BT356" i="68"/>
  <c r="BT355" i="68"/>
  <c r="BT354" i="68"/>
  <c r="BT353" i="68"/>
  <c r="BT352" i="68"/>
  <c r="BT351" i="68"/>
  <c r="BT350" i="68"/>
  <c r="BT349" i="68"/>
  <c r="BT348" i="68"/>
  <c r="BT347" i="68"/>
  <c r="BT346" i="68"/>
  <c r="BT345" i="68"/>
  <c r="BT344" i="68"/>
  <c r="BT343" i="68"/>
  <c r="BT342" i="68"/>
  <c r="BT341" i="68"/>
  <c r="BT340" i="68"/>
  <c r="BT339" i="68"/>
  <c r="BT338" i="68"/>
  <c r="BT337" i="68"/>
  <c r="BT336" i="68"/>
  <c r="BT335" i="68"/>
  <c r="BT334" i="68"/>
  <c r="BT333" i="68"/>
  <c r="BT332" i="68"/>
  <c r="BT331" i="68"/>
  <c r="BT330" i="68"/>
  <c r="BT329" i="68"/>
  <c r="BT328" i="68"/>
  <c r="BT327" i="68"/>
  <c r="BT326" i="68"/>
  <c r="BT325" i="68"/>
  <c r="BT324" i="68"/>
  <c r="BT323" i="68"/>
  <c r="BT322" i="68"/>
  <c r="BT321" i="68"/>
  <c r="BT320" i="68"/>
  <c r="BT319" i="68"/>
  <c r="BT318" i="68"/>
  <c r="BT317" i="68"/>
  <c r="BT316" i="68"/>
  <c r="BT315" i="68"/>
  <c r="BT314" i="68"/>
  <c r="BT313" i="68"/>
  <c r="BT312" i="68"/>
  <c r="BT311" i="68"/>
  <c r="BT310" i="68"/>
  <c r="BT309" i="68"/>
  <c r="BT308" i="68"/>
  <c r="BT307" i="68"/>
  <c r="BT306" i="68"/>
  <c r="BT305" i="68"/>
  <c r="BT304" i="68"/>
  <c r="BT303" i="68"/>
  <c r="BT302" i="68"/>
  <c r="BT301" i="68"/>
  <c r="BT300" i="68"/>
  <c r="BT299" i="68"/>
  <c r="BT298" i="68"/>
  <c r="BT297" i="68"/>
  <c r="BT296" i="68"/>
  <c r="BT295" i="68"/>
  <c r="BT294" i="68"/>
  <c r="BT293" i="68"/>
  <c r="BT292" i="68"/>
  <c r="BT291" i="68"/>
  <c r="BT290" i="68"/>
  <c r="BT289" i="68"/>
  <c r="BT288" i="68"/>
  <c r="BT287" i="68"/>
  <c r="BT286" i="68"/>
  <c r="BT285" i="68"/>
  <c r="BT284" i="68"/>
  <c r="BT283" i="68"/>
  <c r="BT282" i="68"/>
  <c r="BT281" i="68"/>
  <c r="BT280" i="68"/>
  <c r="BT279" i="68"/>
  <c r="BT278" i="68"/>
  <c r="BT277" i="68"/>
  <c r="BT276" i="68"/>
  <c r="BT275" i="68"/>
  <c r="BT274" i="68"/>
  <c r="BT273" i="68"/>
  <c r="BT272" i="68"/>
  <c r="BT271" i="68"/>
  <c r="BT270" i="68"/>
  <c r="BT269" i="68"/>
  <c r="BT268" i="68"/>
  <c r="BT267" i="68"/>
  <c r="BT266" i="68"/>
  <c r="BT265" i="68"/>
  <c r="BT264" i="68"/>
  <c r="BT263" i="68"/>
  <c r="BT262" i="68"/>
  <c r="BT261" i="68"/>
  <c r="BT260" i="68"/>
  <c r="BT259" i="68"/>
  <c r="BT258" i="68"/>
  <c r="BT257" i="68"/>
  <c r="BT256" i="68"/>
  <c r="BT255" i="68"/>
  <c r="BT254" i="68"/>
  <c r="BT253" i="68"/>
  <c r="BT252" i="68"/>
  <c r="BT251" i="68"/>
  <c r="BT250" i="68"/>
  <c r="BT249" i="68"/>
  <c r="BT248" i="68"/>
  <c r="BT247" i="68"/>
  <c r="BT246" i="68"/>
  <c r="BT245" i="68"/>
  <c r="BT244" i="68"/>
  <c r="BT243" i="68"/>
  <c r="BT242" i="68"/>
  <c r="BT241" i="68"/>
  <c r="BT240" i="68"/>
  <c r="BT239" i="68"/>
  <c r="BT238" i="68"/>
  <c r="BT237" i="68"/>
  <c r="BT236" i="68"/>
  <c r="BT235" i="68"/>
  <c r="BT234" i="68"/>
  <c r="BT233" i="68"/>
  <c r="BT232" i="68"/>
  <c r="BT231" i="68"/>
  <c r="BT230" i="68"/>
  <c r="BT229" i="68"/>
  <c r="BT228" i="68"/>
  <c r="BT227" i="68"/>
  <c r="BT226" i="68"/>
  <c r="BT225" i="68"/>
  <c r="BT224" i="68"/>
  <c r="BT223" i="68"/>
  <c r="BT222" i="68"/>
  <c r="BT221" i="68"/>
  <c r="BT220" i="68"/>
  <c r="BT219" i="68"/>
  <c r="BT218" i="68"/>
  <c r="BT217" i="68"/>
  <c r="BT216" i="68"/>
  <c r="BT215" i="68"/>
  <c r="BT214" i="68"/>
  <c r="BT213" i="68"/>
  <c r="BT212" i="68"/>
  <c r="BT211" i="68"/>
  <c r="BT210" i="68"/>
  <c r="BT209" i="68"/>
  <c r="BT208" i="68"/>
  <c r="BT207" i="68"/>
  <c r="BT206" i="68"/>
  <c r="BT205" i="68"/>
  <c r="BT204" i="68"/>
  <c r="BT203" i="68"/>
  <c r="BT202" i="68"/>
  <c r="BT201" i="68"/>
  <c r="BT200" i="68"/>
  <c r="BT199" i="68"/>
  <c r="BT198" i="68"/>
  <c r="BT197" i="68"/>
  <c r="BT196" i="68"/>
  <c r="BT195" i="68"/>
  <c r="BT194" i="68"/>
  <c r="BT193" i="68"/>
  <c r="BT192" i="68"/>
  <c r="BT191" i="68"/>
  <c r="BT190" i="68"/>
  <c r="BT189" i="68"/>
  <c r="BT188" i="68"/>
  <c r="BT187" i="68"/>
  <c r="BT186" i="68"/>
  <c r="BT185" i="68"/>
  <c r="BT184" i="68"/>
  <c r="BT183" i="68"/>
  <c r="BT182" i="68"/>
  <c r="BT181" i="68"/>
  <c r="BT180" i="68"/>
  <c r="BT179" i="68"/>
  <c r="BT178" i="68"/>
  <c r="BT177" i="68"/>
  <c r="BT176" i="68"/>
  <c r="BT175" i="68"/>
  <c r="BT174" i="68"/>
  <c r="BT173" i="68"/>
  <c r="BT172" i="68"/>
  <c r="BT171" i="68"/>
  <c r="BT170" i="68"/>
  <c r="BT169" i="68"/>
  <c r="BT168" i="68"/>
  <c r="BT167" i="68"/>
  <c r="BT166" i="68"/>
  <c r="BT165" i="68"/>
  <c r="BT164" i="68"/>
  <c r="BT163" i="68"/>
  <c r="BT162" i="68"/>
  <c r="BT161" i="68"/>
  <c r="BT160" i="68"/>
  <c r="BT159" i="68"/>
  <c r="BT158" i="68"/>
  <c r="BT157" i="68"/>
  <c r="BT156" i="68"/>
  <c r="BT155" i="68"/>
  <c r="BT154" i="68"/>
  <c r="BT153" i="68"/>
  <c r="BT152" i="68"/>
  <c r="BT151" i="68"/>
  <c r="BT150" i="68"/>
  <c r="BT149" i="68"/>
  <c r="BT148" i="68"/>
  <c r="BT147" i="68"/>
  <c r="BT146" i="68"/>
  <c r="BT145" i="68"/>
  <c r="BT144" i="68"/>
  <c r="BT143" i="68"/>
  <c r="BT142" i="68"/>
  <c r="BT141" i="68"/>
  <c r="BT140" i="68"/>
  <c r="BT139" i="68"/>
  <c r="BT138" i="68"/>
  <c r="BT137" i="68"/>
  <c r="BT136" i="68"/>
  <c r="BT135" i="68"/>
  <c r="BT134" i="68"/>
  <c r="BT133" i="68"/>
  <c r="BT132" i="68"/>
  <c r="BT131" i="68"/>
  <c r="BT130" i="68"/>
  <c r="BT129" i="68"/>
  <c r="BT128" i="68"/>
  <c r="BT127" i="68"/>
  <c r="BT126" i="68"/>
  <c r="BT125" i="68"/>
  <c r="BT124" i="68"/>
  <c r="BT123" i="68"/>
  <c r="BT122" i="68"/>
  <c r="BT121" i="68"/>
  <c r="BT120" i="68"/>
  <c r="BT119" i="68"/>
  <c r="BT118" i="68"/>
  <c r="BT117" i="68"/>
  <c r="BT116" i="68"/>
  <c r="BT115" i="68"/>
  <c r="BT114" i="68"/>
  <c r="BT113" i="68"/>
  <c r="BT112" i="68"/>
  <c r="BT111" i="68"/>
  <c r="BT110" i="68"/>
  <c r="BT109" i="68"/>
  <c r="BT108" i="68"/>
  <c r="BT107" i="68"/>
  <c r="BT106" i="68"/>
  <c r="BT105" i="68"/>
  <c r="BT104" i="68"/>
  <c r="BT103" i="68"/>
  <c r="BT102" i="68"/>
  <c r="BT101" i="68"/>
  <c r="BT100" i="68"/>
  <c r="BT99" i="68"/>
  <c r="BT98" i="68"/>
  <c r="BT97" i="68"/>
  <c r="BT96" i="68"/>
  <c r="BT95" i="68"/>
  <c r="BT94" i="68"/>
  <c r="BT93" i="68"/>
  <c r="BT92" i="68"/>
  <c r="BT91" i="68"/>
  <c r="BT90" i="68"/>
  <c r="BT89" i="68"/>
  <c r="BT88" i="68"/>
  <c r="BT87" i="68"/>
  <c r="BT86" i="68"/>
  <c r="BT85" i="68"/>
  <c r="BT84" i="68"/>
  <c r="BT83" i="68"/>
  <c r="BT82" i="68"/>
  <c r="BT81" i="68"/>
  <c r="BT80" i="68"/>
  <c r="BT79" i="68"/>
  <c r="BT78" i="68"/>
  <c r="BT77" i="68"/>
  <c r="BT76" i="68"/>
  <c r="BT75" i="68"/>
  <c r="BT74" i="68"/>
  <c r="BT73" i="68"/>
  <c r="BT72" i="68"/>
  <c r="BT71" i="68"/>
  <c r="BT70" i="68"/>
  <c r="BT69" i="68"/>
  <c r="BT68" i="68"/>
  <c r="BT67" i="68"/>
  <c r="BT66" i="68"/>
  <c r="BT65" i="68"/>
  <c r="BT64" i="68"/>
  <c r="BT63" i="68"/>
  <c r="BT62" i="68"/>
  <c r="BT61" i="68"/>
  <c r="BT60" i="68"/>
  <c r="BT59" i="68"/>
  <c r="BT58" i="68"/>
  <c r="BT57" i="68"/>
  <c r="BT56" i="68"/>
  <c r="BT55" i="68"/>
  <c r="BT54" i="68"/>
  <c r="BT53" i="68"/>
  <c r="BT52" i="68"/>
  <c r="BT51" i="68"/>
  <c r="BT50" i="68"/>
  <c r="BT49" i="68"/>
  <c r="BT48" i="68"/>
  <c r="BT47" i="68"/>
  <c r="BT46" i="68"/>
  <c r="BT45" i="68"/>
  <c r="BT44" i="68"/>
  <c r="BT43" i="68"/>
  <c r="BT42" i="68"/>
  <c r="BT41" i="68"/>
  <c r="BT40" i="68"/>
  <c r="BT39" i="68"/>
  <c r="BT38" i="68"/>
  <c r="BT37" i="68"/>
  <c r="BT36" i="68"/>
  <c r="BT35" i="68"/>
  <c r="BT34" i="68"/>
  <c r="BT33" i="68"/>
  <c r="BT32" i="68"/>
  <c r="BT31" i="68"/>
  <c r="BT30" i="68"/>
  <c r="BT29" i="68"/>
  <c r="BT28" i="68"/>
  <c r="BT27" i="68"/>
  <c r="BT26" i="68"/>
  <c r="BT25" i="68"/>
  <c r="BT24" i="68"/>
  <c r="BT23" i="68"/>
  <c r="BT22" i="68"/>
  <c r="BT21" i="68"/>
  <c r="BT20" i="68"/>
  <c r="BT19" i="68"/>
  <c r="BT18" i="68"/>
  <c r="BT17" i="68"/>
  <c r="BT16" i="68"/>
  <c r="BT15" i="68"/>
  <c r="BT14" i="68"/>
  <c r="BT13" i="68"/>
  <c r="BT12" i="68"/>
  <c r="BT11" i="68"/>
  <c r="BT10" i="68"/>
  <c r="BT9" i="68"/>
  <c r="BT8" i="68"/>
  <c r="BT7" i="68"/>
  <c r="BT6" i="68"/>
  <c r="BT5" i="68"/>
  <c r="BT4" i="68"/>
  <c r="BT3" i="68"/>
  <c r="F2" i="90"/>
  <c r="E2" i="90"/>
  <c r="D2" i="90"/>
  <c r="C2" i="90"/>
  <c r="BT2" i="68"/>
  <c r="S268" i="62"/>
  <c r="R268" i="62"/>
  <c r="Q268" i="62"/>
  <c r="P268" i="62"/>
  <c r="O268" i="62"/>
  <c r="N268" i="62"/>
  <c r="M268" i="62"/>
  <c r="L268" i="62"/>
  <c r="K268" i="62"/>
  <c r="J268" i="62"/>
  <c r="I268" i="62"/>
  <c r="H268" i="62"/>
  <c r="G268" i="62"/>
  <c r="F268" i="62"/>
  <c r="E268" i="62"/>
  <c r="D268" i="62"/>
  <c r="C268" i="62"/>
  <c r="S267" i="62"/>
  <c r="S266" i="62"/>
  <c r="S265" i="62"/>
  <c r="S264" i="62"/>
  <c r="S263" i="62"/>
  <c r="R267" i="62"/>
  <c r="Q267" i="62"/>
  <c r="P267" i="62"/>
  <c r="O267" i="62"/>
  <c r="N267" i="62"/>
  <c r="M267" i="62"/>
  <c r="L267" i="62"/>
  <c r="K267" i="62"/>
  <c r="R266" i="62"/>
  <c r="Q266" i="62"/>
  <c r="P266" i="62"/>
  <c r="O266" i="62"/>
  <c r="N266" i="62"/>
  <c r="M266" i="62"/>
  <c r="L266" i="62"/>
  <c r="K266" i="62"/>
  <c r="R265" i="62"/>
  <c r="Q265" i="62"/>
  <c r="P265" i="62"/>
  <c r="O265" i="62"/>
  <c r="N265" i="62"/>
  <c r="M265" i="62"/>
  <c r="L265" i="62"/>
  <c r="K265" i="62"/>
  <c r="R264" i="62"/>
  <c r="Q264" i="62"/>
  <c r="P264" i="62"/>
  <c r="O264" i="62"/>
  <c r="N264" i="62"/>
  <c r="M264" i="62"/>
  <c r="L264" i="62"/>
  <c r="K264" i="62"/>
  <c r="R263" i="62"/>
  <c r="Q263" i="62"/>
  <c r="P263" i="62"/>
  <c r="O263" i="62"/>
  <c r="N263" i="62"/>
  <c r="M263" i="62"/>
  <c r="L263" i="62"/>
  <c r="K263" i="62"/>
  <c r="J267" i="62"/>
  <c r="I267" i="62"/>
  <c r="H267" i="62"/>
  <c r="G267" i="62"/>
  <c r="F267" i="62"/>
  <c r="E267" i="62"/>
  <c r="D267" i="62"/>
  <c r="C267" i="62"/>
  <c r="J266" i="62"/>
  <c r="I266" i="62"/>
  <c r="H266" i="62"/>
  <c r="G266" i="62"/>
  <c r="F266" i="62"/>
  <c r="E266" i="62"/>
  <c r="D266" i="62"/>
  <c r="C266" i="62"/>
  <c r="J265" i="62"/>
  <c r="I265" i="62"/>
  <c r="H265" i="62"/>
  <c r="G265" i="62"/>
  <c r="F265" i="62"/>
  <c r="E265" i="62"/>
  <c r="D265" i="62"/>
  <c r="C265" i="62"/>
  <c r="J264" i="62"/>
  <c r="I264" i="62"/>
  <c r="H264" i="62"/>
  <c r="G264" i="62"/>
  <c r="F264" i="62"/>
  <c r="E264" i="62"/>
  <c r="D264" i="62"/>
  <c r="C264" i="62"/>
  <c r="J263" i="62"/>
  <c r="I263" i="62"/>
  <c r="H263" i="62"/>
  <c r="G263" i="62"/>
  <c r="F263" i="62"/>
  <c r="E263" i="62"/>
  <c r="D263" i="62"/>
  <c r="C263" i="62"/>
  <c r="U268" i="62" l="1"/>
  <c r="T268" i="62"/>
  <c r="T263" i="62"/>
  <c r="T265" i="62"/>
  <c r="T267" i="62"/>
  <c r="U263" i="62"/>
  <c r="U265" i="62"/>
  <c r="U267" i="62"/>
  <c r="T264" i="62"/>
  <c r="T266" i="62"/>
  <c r="U264" i="62"/>
  <c r="U266" i="62"/>
  <c r="S262" i="62"/>
  <c r="R262" i="62"/>
  <c r="Q262" i="62"/>
  <c r="P262" i="62"/>
  <c r="O262" i="62"/>
  <c r="N262" i="62"/>
  <c r="M262" i="62"/>
  <c r="L262" i="62"/>
  <c r="K262" i="62"/>
  <c r="J262" i="62"/>
  <c r="I262" i="62"/>
  <c r="H262" i="62"/>
  <c r="G262" i="62"/>
  <c r="F262" i="62"/>
  <c r="E262" i="62"/>
  <c r="D262" i="62"/>
  <c r="C262" i="62"/>
  <c r="BW2" i="68"/>
  <c r="BY2" i="68" s="1"/>
  <c r="U262" i="62" l="1"/>
  <c r="T262" i="62"/>
  <c r="S261" i="62"/>
  <c r="S260" i="62"/>
  <c r="S259" i="62"/>
  <c r="S258" i="62"/>
  <c r="S257" i="62"/>
  <c r="S256" i="62"/>
  <c r="S255" i="62"/>
  <c r="R261" i="62"/>
  <c r="Q261" i="62"/>
  <c r="P261" i="62"/>
  <c r="O261" i="62"/>
  <c r="N261" i="62"/>
  <c r="M261" i="62"/>
  <c r="L261" i="62"/>
  <c r="K261" i="62"/>
  <c r="R260" i="62"/>
  <c r="Q260" i="62"/>
  <c r="P260" i="62"/>
  <c r="O260" i="62"/>
  <c r="N260" i="62"/>
  <c r="M260" i="62"/>
  <c r="L260" i="62"/>
  <c r="K260" i="62"/>
  <c r="R259" i="62"/>
  <c r="Q259" i="62"/>
  <c r="P259" i="62"/>
  <c r="O259" i="62"/>
  <c r="N259" i="62"/>
  <c r="M259" i="62"/>
  <c r="L259" i="62"/>
  <c r="K259" i="62"/>
  <c r="R258" i="62"/>
  <c r="Q258" i="62"/>
  <c r="P258" i="62"/>
  <c r="O258" i="62"/>
  <c r="N258" i="62"/>
  <c r="M258" i="62"/>
  <c r="L258" i="62"/>
  <c r="K258" i="62"/>
  <c r="R257" i="62"/>
  <c r="Q257" i="62"/>
  <c r="P257" i="62"/>
  <c r="O257" i="62"/>
  <c r="N257" i="62"/>
  <c r="M257" i="62"/>
  <c r="L257" i="62"/>
  <c r="K257" i="62"/>
  <c r="R256" i="62"/>
  <c r="Q256" i="62"/>
  <c r="P256" i="62"/>
  <c r="O256" i="62"/>
  <c r="N256" i="62"/>
  <c r="M256" i="62"/>
  <c r="L256" i="62"/>
  <c r="K256" i="62"/>
  <c r="R255" i="62"/>
  <c r="Q255" i="62"/>
  <c r="P255" i="62"/>
  <c r="O255" i="62"/>
  <c r="N255" i="62"/>
  <c r="M255" i="62"/>
  <c r="L255" i="62"/>
  <c r="K255" i="62"/>
  <c r="J261" i="62"/>
  <c r="I261" i="62"/>
  <c r="H261" i="62"/>
  <c r="G261" i="62"/>
  <c r="F261" i="62"/>
  <c r="E261" i="62"/>
  <c r="D261" i="62"/>
  <c r="C261" i="62"/>
  <c r="J260" i="62"/>
  <c r="I260" i="62"/>
  <c r="H260" i="62"/>
  <c r="G260" i="62"/>
  <c r="F260" i="62"/>
  <c r="E260" i="62"/>
  <c r="D260" i="62"/>
  <c r="C260" i="62"/>
  <c r="J259" i="62"/>
  <c r="I259" i="62"/>
  <c r="H259" i="62"/>
  <c r="G259" i="62"/>
  <c r="F259" i="62"/>
  <c r="E259" i="62"/>
  <c r="D259" i="62"/>
  <c r="C259" i="62"/>
  <c r="J258" i="62"/>
  <c r="I258" i="62"/>
  <c r="H258" i="62"/>
  <c r="G258" i="62"/>
  <c r="F258" i="62"/>
  <c r="E258" i="62"/>
  <c r="D258" i="62"/>
  <c r="C258" i="62"/>
  <c r="J257" i="62"/>
  <c r="I257" i="62"/>
  <c r="H257" i="62"/>
  <c r="G257" i="62"/>
  <c r="F257" i="62"/>
  <c r="E257" i="62"/>
  <c r="D257" i="62"/>
  <c r="C257" i="62"/>
  <c r="J256" i="62"/>
  <c r="I256" i="62"/>
  <c r="H256" i="62"/>
  <c r="G256" i="62"/>
  <c r="F256" i="62"/>
  <c r="E256" i="62"/>
  <c r="D256" i="62"/>
  <c r="C256" i="62"/>
  <c r="J255" i="62"/>
  <c r="I255" i="62"/>
  <c r="H255" i="62"/>
  <c r="G255" i="62"/>
  <c r="F255" i="62"/>
  <c r="E255" i="62"/>
  <c r="D255" i="62"/>
  <c r="C255" i="62"/>
  <c r="BU2" i="68"/>
  <c r="BV2" i="68"/>
  <c r="S254" i="62"/>
  <c r="R254" i="62"/>
  <c r="Q254" i="62"/>
  <c r="P254" i="62"/>
  <c r="O254" i="62"/>
  <c r="N254" i="62"/>
  <c r="M254" i="62"/>
  <c r="L254" i="62"/>
  <c r="K254" i="62"/>
  <c r="J254" i="62"/>
  <c r="I254" i="62"/>
  <c r="H254" i="62"/>
  <c r="G254" i="62"/>
  <c r="F254" i="62"/>
  <c r="E254" i="62"/>
  <c r="D254" i="62"/>
  <c r="C254" i="62"/>
  <c r="S253" i="62"/>
  <c r="S252" i="62"/>
  <c r="S251" i="62"/>
  <c r="S250" i="62"/>
  <c r="R253" i="62"/>
  <c r="Q253" i="62"/>
  <c r="P253" i="62"/>
  <c r="O253" i="62"/>
  <c r="N253" i="62"/>
  <c r="M253" i="62"/>
  <c r="L253" i="62"/>
  <c r="K253" i="62"/>
  <c r="R252" i="62"/>
  <c r="Q252" i="62"/>
  <c r="P252" i="62"/>
  <c r="O252" i="62"/>
  <c r="N252" i="62"/>
  <c r="M252" i="62"/>
  <c r="L252" i="62"/>
  <c r="K252" i="62"/>
  <c r="R251" i="62"/>
  <c r="Q251" i="62"/>
  <c r="P251" i="62"/>
  <c r="O251" i="62"/>
  <c r="N251" i="62"/>
  <c r="M251" i="62"/>
  <c r="L251" i="62"/>
  <c r="K251" i="62"/>
  <c r="R250" i="62"/>
  <c r="Q250" i="62"/>
  <c r="P250" i="62"/>
  <c r="O250" i="62"/>
  <c r="N250" i="62"/>
  <c r="M250" i="62"/>
  <c r="L250" i="62"/>
  <c r="K250" i="62"/>
  <c r="J253" i="62"/>
  <c r="I253" i="62"/>
  <c r="H253" i="62"/>
  <c r="G253" i="62"/>
  <c r="F253" i="62"/>
  <c r="E253" i="62"/>
  <c r="D253" i="62"/>
  <c r="C253" i="62"/>
  <c r="J252" i="62"/>
  <c r="I252" i="62"/>
  <c r="H252" i="62"/>
  <c r="G252" i="62"/>
  <c r="F252" i="62"/>
  <c r="E252" i="62"/>
  <c r="D252" i="62"/>
  <c r="C252" i="62"/>
  <c r="J251" i="62"/>
  <c r="I251" i="62"/>
  <c r="H251" i="62"/>
  <c r="G251" i="62"/>
  <c r="F251" i="62"/>
  <c r="E251" i="62"/>
  <c r="D251" i="62"/>
  <c r="C251" i="62"/>
  <c r="J250" i="62"/>
  <c r="I250" i="62"/>
  <c r="H250" i="62"/>
  <c r="G250" i="62"/>
  <c r="F250" i="62"/>
  <c r="E250" i="62"/>
  <c r="D250" i="62"/>
  <c r="C250" i="62"/>
  <c r="T260" i="62" l="1"/>
  <c r="U255" i="62"/>
  <c r="U259" i="62"/>
  <c r="U261" i="62"/>
  <c r="T255" i="62"/>
  <c r="T257" i="62"/>
  <c r="T259" i="62"/>
  <c r="T261" i="62"/>
  <c r="U256" i="62"/>
  <c r="U258" i="62"/>
  <c r="U260" i="62"/>
  <c r="T256" i="62"/>
  <c r="T258" i="62"/>
  <c r="U257" i="62"/>
  <c r="T250" i="62"/>
  <c r="T252" i="62"/>
  <c r="T251" i="62"/>
  <c r="T254" i="62"/>
  <c r="U251" i="62"/>
  <c r="U253" i="62"/>
  <c r="T253" i="62"/>
  <c r="U254" i="62"/>
  <c r="U250" i="62"/>
  <c r="U252" i="62"/>
  <c r="S249" i="62"/>
  <c r="R249" i="62"/>
  <c r="Q249" i="62"/>
  <c r="P249" i="62"/>
  <c r="O249" i="62"/>
  <c r="N249" i="62"/>
  <c r="M249" i="62"/>
  <c r="L249" i="62"/>
  <c r="K249" i="62"/>
  <c r="J249" i="62"/>
  <c r="I249" i="62"/>
  <c r="H249" i="62"/>
  <c r="G249" i="62"/>
  <c r="F249" i="62"/>
  <c r="E249" i="62"/>
  <c r="D249" i="62"/>
  <c r="C249" i="62"/>
  <c r="T249" i="62" l="1"/>
  <c r="U249" i="62"/>
  <c r="S248" i="62"/>
  <c r="S247" i="62"/>
  <c r="R248" i="62"/>
  <c r="Q248" i="62"/>
  <c r="P248" i="62"/>
  <c r="O248" i="62"/>
  <c r="N248" i="62"/>
  <c r="M248" i="62"/>
  <c r="L248" i="62"/>
  <c r="K248" i="62"/>
  <c r="R247" i="62"/>
  <c r="Q247" i="62"/>
  <c r="P247" i="62"/>
  <c r="O247" i="62"/>
  <c r="N247" i="62"/>
  <c r="M247" i="62"/>
  <c r="L247" i="62"/>
  <c r="K247" i="62"/>
  <c r="J248" i="62"/>
  <c r="I248" i="62"/>
  <c r="H248" i="62"/>
  <c r="G248" i="62"/>
  <c r="F248" i="62"/>
  <c r="E248" i="62"/>
  <c r="D248" i="62"/>
  <c r="C248" i="62"/>
  <c r="J247" i="62"/>
  <c r="I247" i="62"/>
  <c r="H247" i="62"/>
  <c r="G247" i="62"/>
  <c r="F247" i="62"/>
  <c r="E247" i="62"/>
  <c r="D247" i="62"/>
  <c r="C247" i="62"/>
  <c r="S246" i="62"/>
  <c r="S245" i="62"/>
  <c r="S244" i="62"/>
  <c r="S243" i="62"/>
  <c r="S242" i="62"/>
  <c r="S241" i="62"/>
  <c r="S240" i="62"/>
  <c r="R246" i="62"/>
  <c r="Q246" i="62"/>
  <c r="P246" i="62"/>
  <c r="O246" i="62"/>
  <c r="N246" i="62"/>
  <c r="M246" i="62"/>
  <c r="L246" i="62"/>
  <c r="K246" i="62"/>
  <c r="R245" i="62"/>
  <c r="Q245" i="62"/>
  <c r="P245" i="62"/>
  <c r="O245" i="62"/>
  <c r="N245" i="62"/>
  <c r="M245" i="62"/>
  <c r="L245" i="62"/>
  <c r="K245" i="62"/>
  <c r="R244" i="62"/>
  <c r="Q244" i="62"/>
  <c r="P244" i="62"/>
  <c r="O244" i="62"/>
  <c r="N244" i="62"/>
  <c r="M244" i="62"/>
  <c r="L244" i="62"/>
  <c r="K244" i="62"/>
  <c r="R243" i="62"/>
  <c r="Q243" i="62"/>
  <c r="P243" i="62"/>
  <c r="O243" i="62"/>
  <c r="N243" i="62"/>
  <c r="M243" i="62"/>
  <c r="L243" i="62"/>
  <c r="K243" i="62"/>
  <c r="R242" i="62"/>
  <c r="Q242" i="62"/>
  <c r="P242" i="62"/>
  <c r="O242" i="62"/>
  <c r="N242" i="62"/>
  <c r="M242" i="62"/>
  <c r="L242" i="62"/>
  <c r="K242" i="62"/>
  <c r="R241" i="62"/>
  <c r="Q241" i="62"/>
  <c r="P241" i="62"/>
  <c r="O241" i="62"/>
  <c r="N241" i="62"/>
  <c r="M241" i="62"/>
  <c r="L241" i="62"/>
  <c r="K241" i="62"/>
  <c r="R240" i="62"/>
  <c r="Q240" i="62"/>
  <c r="P240" i="62"/>
  <c r="O240" i="62"/>
  <c r="N240" i="62"/>
  <c r="M240" i="62"/>
  <c r="L240" i="62"/>
  <c r="K240" i="62"/>
  <c r="J246" i="62"/>
  <c r="I246" i="62"/>
  <c r="H246" i="62"/>
  <c r="G246" i="62"/>
  <c r="F246" i="62"/>
  <c r="E246" i="62"/>
  <c r="D246" i="62"/>
  <c r="C246" i="62"/>
  <c r="J245" i="62"/>
  <c r="I245" i="62"/>
  <c r="H245" i="62"/>
  <c r="G245" i="62"/>
  <c r="F245" i="62"/>
  <c r="E245" i="62"/>
  <c r="D245" i="62"/>
  <c r="C245" i="62"/>
  <c r="J244" i="62"/>
  <c r="I244" i="62"/>
  <c r="H244" i="62"/>
  <c r="G244" i="62"/>
  <c r="F244" i="62"/>
  <c r="E244" i="62"/>
  <c r="D244" i="62"/>
  <c r="C244" i="62"/>
  <c r="J243" i="62"/>
  <c r="I243" i="62"/>
  <c r="H243" i="62"/>
  <c r="G243" i="62"/>
  <c r="F243" i="62"/>
  <c r="E243" i="62"/>
  <c r="D243" i="62"/>
  <c r="C243" i="62"/>
  <c r="J242" i="62"/>
  <c r="I242" i="62"/>
  <c r="H242" i="62"/>
  <c r="G242" i="62"/>
  <c r="F242" i="62"/>
  <c r="E242" i="62"/>
  <c r="D242" i="62"/>
  <c r="C242" i="62"/>
  <c r="J241" i="62"/>
  <c r="I241" i="62"/>
  <c r="H241" i="62"/>
  <c r="G241" i="62"/>
  <c r="F241" i="62"/>
  <c r="E241" i="62"/>
  <c r="D241" i="62"/>
  <c r="C241" i="62"/>
  <c r="J240" i="62"/>
  <c r="I240" i="62"/>
  <c r="H240" i="62"/>
  <c r="G240" i="62"/>
  <c r="F240" i="62"/>
  <c r="E240" i="62"/>
  <c r="D240" i="62"/>
  <c r="C240" i="62"/>
  <c r="T248" i="62" l="1"/>
  <c r="U248" i="62"/>
  <c r="T247" i="62"/>
  <c r="U247" i="62"/>
  <c r="T242" i="62"/>
  <c r="T240" i="62"/>
  <c r="U245" i="62"/>
  <c r="T246" i="62"/>
  <c r="T244" i="62"/>
  <c r="T241" i="62"/>
  <c r="T243" i="62"/>
  <c r="T245" i="62"/>
  <c r="U240" i="62"/>
  <c r="U242" i="62"/>
  <c r="U244" i="62"/>
  <c r="U246" i="62"/>
  <c r="U243" i="62"/>
  <c r="U241" i="62"/>
  <c r="S239" i="62" l="1"/>
  <c r="S238" i="62"/>
  <c r="S237" i="62"/>
  <c r="R239" i="62"/>
  <c r="Q239" i="62"/>
  <c r="P239" i="62"/>
  <c r="O239" i="62"/>
  <c r="N239" i="62"/>
  <c r="M239" i="62"/>
  <c r="L239" i="62"/>
  <c r="K239" i="62"/>
  <c r="R238" i="62"/>
  <c r="Q238" i="62"/>
  <c r="P238" i="62"/>
  <c r="O238" i="62"/>
  <c r="N238" i="62"/>
  <c r="M238" i="62"/>
  <c r="L238" i="62"/>
  <c r="K238" i="62"/>
  <c r="R237" i="62"/>
  <c r="Q237" i="62"/>
  <c r="P237" i="62"/>
  <c r="O237" i="62"/>
  <c r="N237" i="62"/>
  <c r="M237" i="62"/>
  <c r="L237" i="62"/>
  <c r="K237" i="62"/>
  <c r="J239" i="62"/>
  <c r="I239" i="62"/>
  <c r="H239" i="62"/>
  <c r="G239" i="62"/>
  <c r="F239" i="62"/>
  <c r="E239" i="62"/>
  <c r="D239" i="62"/>
  <c r="C239" i="62"/>
  <c r="J238" i="62"/>
  <c r="I238" i="62"/>
  <c r="H238" i="62"/>
  <c r="G238" i="62"/>
  <c r="F238" i="62"/>
  <c r="E238" i="62"/>
  <c r="D238" i="62"/>
  <c r="C238" i="62"/>
  <c r="J237" i="62"/>
  <c r="I237" i="62"/>
  <c r="H237" i="62"/>
  <c r="G237" i="62"/>
  <c r="F237" i="62"/>
  <c r="E237" i="62"/>
  <c r="D237" i="62"/>
  <c r="C237" i="62"/>
  <c r="U237" i="62" l="1"/>
  <c r="T238" i="62"/>
  <c r="U239" i="62"/>
  <c r="T237" i="62"/>
  <c r="T239" i="62"/>
  <c r="U238" i="62"/>
  <c r="BS1" i="62"/>
  <c r="BS2" i="62"/>
  <c r="BS3" i="62"/>
  <c r="BS4" i="62"/>
  <c r="S236" i="62" l="1"/>
  <c r="S235" i="62"/>
  <c r="S234" i="62"/>
  <c r="S233" i="62"/>
  <c r="S232" i="62"/>
  <c r="R236" i="62"/>
  <c r="Q236" i="62"/>
  <c r="P236" i="62"/>
  <c r="O236" i="62"/>
  <c r="N236" i="62"/>
  <c r="M236" i="62"/>
  <c r="L236" i="62"/>
  <c r="K236" i="62"/>
  <c r="R235" i="62"/>
  <c r="Q235" i="62"/>
  <c r="P235" i="62"/>
  <c r="O235" i="62"/>
  <c r="N235" i="62"/>
  <c r="M235" i="62"/>
  <c r="L235" i="62"/>
  <c r="K235" i="62"/>
  <c r="R234" i="62"/>
  <c r="Q234" i="62"/>
  <c r="P234" i="62"/>
  <c r="O234" i="62"/>
  <c r="N234" i="62"/>
  <c r="M234" i="62"/>
  <c r="L234" i="62"/>
  <c r="K234" i="62"/>
  <c r="R233" i="62"/>
  <c r="Q233" i="62"/>
  <c r="P233" i="62"/>
  <c r="O233" i="62"/>
  <c r="N233" i="62"/>
  <c r="M233" i="62"/>
  <c r="L233" i="62"/>
  <c r="K233" i="62"/>
  <c r="J236" i="62"/>
  <c r="I236" i="62"/>
  <c r="H236" i="62"/>
  <c r="G236" i="62"/>
  <c r="F236" i="62"/>
  <c r="E236" i="62"/>
  <c r="D236" i="62"/>
  <c r="C236" i="62"/>
  <c r="J235" i="62"/>
  <c r="I235" i="62"/>
  <c r="H235" i="62"/>
  <c r="G235" i="62"/>
  <c r="F235" i="62"/>
  <c r="E235" i="62"/>
  <c r="D235" i="62"/>
  <c r="C235" i="62"/>
  <c r="J234" i="62"/>
  <c r="I234" i="62"/>
  <c r="H234" i="62"/>
  <c r="G234" i="62"/>
  <c r="F234" i="62"/>
  <c r="E234" i="62"/>
  <c r="D234" i="62"/>
  <c r="C234" i="62"/>
  <c r="J233" i="62"/>
  <c r="I233" i="62"/>
  <c r="H233" i="62"/>
  <c r="G233" i="62"/>
  <c r="F233" i="62"/>
  <c r="E233" i="62"/>
  <c r="D233" i="62"/>
  <c r="C233" i="62"/>
  <c r="R232" i="62"/>
  <c r="Q232" i="62"/>
  <c r="P232" i="62"/>
  <c r="O232" i="62"/>
  <c r="N232" i="62"/>
  <c r="M232" i="62"/>
  <c r="L232" i="62"/>
  <c r="K232" i="62"/>
  <c r="J232" i="62"/>
  <c r="I232" i="62"/>
  <c r="H232" i="62"/>
  <c r="G232" i="62"/>
  <c r="F232" i="62"/>
  <c r="E232" i="62"/>
  <c r="D232" i="62"/>
  <c r="C232" i="62"/>
  <c r="S231" i="62"/>
  <c r="S230" i="62"/>
  <c r="S229" i="62"/>
  <c r="R231" i="62"/>
  <c r="Q231" i="62"/>
  <c r="P231" i="62"/>
  <c r="O231" i="62"/>
  <c r="N231" i="62"/>
  <c r="M231" i="62"/>
  <c r="L231" i="62"/>
  <c r="K231" i="62"/>
  <c r="R230" i="62"/>
  <c r="Q230" i="62"/>
  <c r="P230" i="62"/>
  <c r="O230" i="62"/>
  <c r="N230" i="62"/>
  <c r="M230" i="62"/>
  <c r="L230" i="62"/>
  <c r="K230" i="62"/>
  <c r="R229" i="62"/>
  <c r="Q229" i="62"/>
  <c r="P229" i="62"/>
  <c r="O229" i="62"/>
  <c r="N229" i="62"/>
  <c r="M229" i="62"/>
  <c r="L229" i="62"/>
  <c r="K229" i="62"/>
  <c r="J231" i="62"/>
  <c r="I231" i="62"/>
  <c r="H231" i="62"/>
  <c r="G231" i="62"/>
  <c r="F231" i="62"/>
  <c r="E231" i="62"/>
  <c r="D231" i="62"/>
  <c r="C231" i="62"/>
  <c r="J230" i="62"/>
  <c r="I230" i="62"/>
  <c r="H230" i="62"/>
  <c r="G230" i="62"/>
  <c r="F230" i="62"/>
  <c r="E230" i="62"/>
  <c r="D230" i="62"/>
  <c r="C230" i="62"/>
  <c r="J229" i="62"/>
  <c r="I229" i="62"/>
  <c r="H229" i="62"/>
  <c r="G229" i="62"/>
  <c r="F229" i="62"/>
  <c r="E229" i="62"/>
  <c r="D229" i="62"/>
  <c r="C229" i="62"/>
  <c r="S228" i="62"/>
  <c r="S227" i="62"/>
  <c r="S226" i="62"/>
  <c r="R228" i="62"/>
  <c r="Q228" i="62"/>
  <c r="P228" i="62"/>
  <c r="O228" i="62"/>
  <c r="N228" i="62"/>
  <c r="M228" i="62"/>
  <c r="L228" i="62"/>
  <c r="K228" i="62"/>
  <c r="R227" i="62"/>
  <c r="Q227" i="62"/>
  <c r="P227" i="62"/>
  <c r="O227" i="62"/>
  <c r="N227" i="62"/>
  <c r="M227" i="62"/>
  <c r="L227" i="62"/>
  <c r="K227" i="62"/>
  <c r="R226" i="62"/>
  <c r="Q226" i="62"/>
  <c r="P226" i="62"/>
  <c r="O226" i="62"/>
  <c r="N226" i="62"/>
  <c r="M226" i="62"/>
  <c r="L226" i="62"/>
  <c r="K226" i="62"/>
  <c r="J228" i="62"/>
  <c r="I228" i="62"/>
  <c r="H228" i="62"/>
  <c r="G228" i="62"/>
  <c r="F228" i="62"/>
  <c r="E228" i="62"/>
  <c r="D228" i="62"/>
  <c r="C228" i="62"/>
  <c r="J227" i="62"/>
  <c r="I227" i="62"/>
  <c r="H227" i="62"/>
  <c r="G227" i="62"/>
  <c r="F227" i="62"/>
  <c r="E227" i="62"/>
  <c r="D227" i="62"/>
  <c r="C227" i="62"/>
  <c r="J226" i="62"/>
  <c r="I226" i="62"/>
  <c r="H226" i="62"/>
  <c r="G226" i="62"/>
  <c r="F226" i="62"/>
  <c r="E226" i="62"/>
  <c r="D226" i="62"/>
  <c r="C226" i="62"/>
  <c r="R225" i="62"/>
  <c r="Q225" i="62"/>
  <c r="P225" i="62"/>
  <c r="O225" i="62"/>
  <c r="N225" i="62"/>
  <c r="M225" i="62"/>
  <c r="L225" i="62"/>
  <c r="R224" i="62"/>
  <c r="Q224" i="62"/>
  <c r="P224" i="62"/>
  <c r="O224" i="62"/>
  <c r="N224" i="62"/>
  <c r="M224" i="62"/>
  <c r="L224" i="62"/>
  <c r="R223" i="62"/>
  <c r="Q223" i="62"/>
  <c r="P223" i="62"/>
  <c r="O223" i="62"/>
  <c r="N223" i="62"/>
  <c r="M223" i="62"/>
  <c r="L223" i="62"/>
  <c r="R222" i="62"/>
  <c r="Q222" i="62"/>
  <c r="P222" i="62"/>
  <c r="O222" i="62"/>
  <c r="N222" i="62"/>
  <c r="M222" i="62"/>
  <c r="L222" i="62"/>
  <c r="R221" i="62"/>
  <c r="Q221" i="62"/>
  <c r="P221" i="62"/>
  <c r="O221" i="62"/>
  <c r="N221" i="62"/>
  <c r="M221" i="62"/>
  <c r="L221" i="62"/>
  <c r="R220" i="62"/>
  <c r="Q220" i="62"/>
  <c r="P220" i="62"/>
  <c r="O220" i="62"/>
  <c r="N220" i="62"/>
  <c r="M220" i="62"/>
  <c r="L220" i="62"/>
  <c r="R219" i="62"/>
  <c r="Q219" i="62"/>
  <c r="P219" i="62"/>
  <c r="O219" i="62"/>
  <c r="N219" i="62"/>
  <c r="M219" i="62"/>
  <c r="L219" i="62"/>
  <c r="R218" i="62"/>
  <c r="Q218" i="62"/>
  <c r="P218" i="62"/>
  <c r="O218" i="62"/>
  <c r="N218" i="62"/>
  <c r="M218" i="62"/>
  <c r="L218" i="62"/>
  <c r="R217" i="62"/>
  <c r="Q217" i="62"/>
  <c r="P217" i="62"/>
  <c r="O217" i="62"/>
  <c r="N217" i="62"/>
  <c r="M217" i="62"/>
  <c r="L217" i="62"/>
  <c r="R216" i="62"/>
  <c r="Q216" i="62"/>
  <c r="P216" i="62"/>
  <c r="O216" i="62"/>
  <c r="N216" i="62"/>
  <c r="M216" i="62"/>
  <c r="L216" i="62"/>
  <c r="R215" i="62"/>
  <c r="Q215" i="62"/>
  <c r="P215" i="62"/>
  <c r="O215" i="62"/>
  <c r="N215" i="62"/>
  <c r="M215" i="62"/>
  <c r="L215" i="62"/>
  <c r="R214" i="62"/>
  <c r="Q214" i="62"/>
  <c r="P214" i="62"/>
  <c r="O214" i="62"/>
  <c r="N214" i="62"/>
  <c r="M214" i="62"/>
  <c r="L214" i="62"/>
  <c r="R213" i="62"/>
  <c r="Q213" i="62"/>
  <c r="P213" i="62"/>
  <c r="O213" i="62"/>
  <c r="N213" i="62"/>
  <c r="M213" i="62"/>
  <c r="L213" i="62"/>
  <c r="R212" i="62"/>
  <c r="Q212" i="62"/>
  <c r="P212" i="62"/>
  <c r="O212" i="62"/>
  <c r="N212" i="62"/>
  <c r="M212" i="62"/>
  <c r="L212" i="62"/>
  <c r="R211" i="62"/>
  <c r="Q211" i="62"/>
  <c r="P211" i="62"/>
  <c r="O211" i="62"/>
  <c r="N211" i="62"/>
  <c r="M211" i="62"/>
  <c r="L211" i="62"/>
  <c r="R210" i="62"/>
  <c r="Q210" i="62"/>
  <c r="P210" i="62"/>
  <c r="O210" i="62"/>
  <c r="N210" i="62"/>
  <c r="M210" i="62"/>
  <c r="L210" i="62"/>
  <c r="R209" i="62"/>
  <c r="Q209" i="62"/>
  <c r="P209" i="62"/>
  <c r="O209" i="62"/>
  <c r="N209" i="62"/>
  <c r="M209" i="62"/>
  <c r="L209" i="62"/>
  <c r="R208" i="62"/>
  <c r="Q208" i="62"/>
  <c r="P208" i="62"/>
  <c r="O208" i="62"/>
  <c r="N208" i="62"/>
  <c r="M208" i="62"/>
  <c r="L208" i="62"/>
  <c r="R207" i="62"/>
  <c r="Q207" i="62"/>
  <c r="P207" i="62"/>
  <c r="O207" i="62"/>
  <c r="N207" i="62"/>
  <c r="M207" i="62"/>
  <c r="L207" i="62"/>
  <c r="R206" i="62"/>
  <c r="Q206" i="62"/>
  <c r="P206" i="62"/>
  <c r="O206" i="62"/>
  <c r="N206" i="62"/>
  <c r="M206" i="62"/>
  <c r="L206" i="62"/>
  <c r="R205" i="62"/>
  <c r="Q205" i="62"/>
  <c r="P205" i="62"/>
  <c r="O205" i="62"/>
  <c r="N205" i="62"/>
  <c r="M205" i="62"/>
  <c r="L205" i="62"/>
  <c r="R204" i="62"/>
  <c r="Q204" i="62"/>
  <c r="P204" i="62"/>
  <c r="O204" i="62"/>
  <c r="N204" i="62"/>
  <c r="M204" i="62"/>
  <c r="L204" i="62"/>
  <c r="R203" i="62"/>
  <c r="Q203" i="62"/>
  <c r="P203" i="62"/>
  <c r="O203" i="62"/>
  <c r="N203" i="62"/>
  <c r="M203" i="62"/>
  <c r="L203" i="62"/>
  <c r="R202" i="62"/>
  <c r="Q202" i="62"/>
  <c r="P202" i="62"/>
  <c r="O202" i="62"/>
  <c r="N202" i="62"/>
  <c r="M202" i="62"/>
  <c r="L202" i="62"/>
  <c r="R201" i="62"/>
  <c r="Q201" i="62"/>
  <c r="P201" i="62"/>
  <c r="O201" i="62"/>
  <c r="N201" i="62"/>
  <c r="M201" i="62"/>
  <c r="L201" i="62"/>
  <c r="R200" i="62"/>
  <c r="Q200" i="62"/>
  <c r="P200" i="62"/>
  <c r="O200" i="62"/>
  <c r="N200" i="62"/>
  <c r="M200" i="62"/>
  <c r="L200" i="62"/>
  <c r="R199" i="62"/>
  <c r="Q199" i="62"/>
  <c r="P199" i="62"/>
  <c r="O199" i="62"/>
  <c r="N199" i="62"/>
  <c r="M199" i="62"/>
  <c r="L199" i="62"/>
  <c r="R198" i="62"/>
  <c r="Q198" i="62"/>
  <c r="P198" i="62"/>
  <c r="O198" i="62"/>
  <c r="N198" i="62"/>
  <c r="M198" i="62"/>
  <c r="L198" i="62"/>
  <c r="R197" i="62"/>
  <c r="Q197" i="62"/>
  <c r="P197" i="62"/>
  <c r="O197" i="62"/>
  <c r="N197" i="62"/>
  <c r="M197" i="62"/>
  <c r="L197" i="62"/>
  <c r="R196" i="62"/>
  <c r="Q196" i="62"/>
  <c r="P196" i="62"/>
  <c r="O196" i="62"/>
  <c r="N196" i="62"/>
  <c r="M196" i="62"/>
  <c r="L196" i="62"/>
  <c r="R195" i="62"/>
  <c r="Q195" i="62"/>
  <c r="P195" i="62"/>
  <c r="O195" i="62"/>
  <c r="N195" i="62"/>
  <c r="M195" i="62"/>
  <c r="L195" i="62"/>
  <c r="R194" i="62"/>
  <c r="Q194" i="62"/>
  <c r="P194" i="62"/>
  <c r="O194" i="62"/>
  <c r="N194" i="62"/>
  <c r="M194" i="62"/>
  <c r="L194" i="62"/>
  <c r="R193" i="62"/>
  <c r="Q193" i="62"/>
  <c r="P193" i="62"/>
  <c r="O193" i="62"/>
  <c r="N193" i="62"/>
  <c r="M193" i="62"/>
  <c r="L193" i="62"/>
  <c r="R192" i="62"/>
  <c r="Q192" i="62"/>
  <c r="P192" i="62"/>
  <c r="O192" i="62"/>
  <c r="N192" i="62"/>
  <c r="M192" i="62"/>
  <c r="L192" i="62"/>
  <c r="R191" i="62"/>
  <c r="Q191" i="62"/>
  <c r="P191" i="62"/>
  <c r="O191" i="62"/>
  <c r="N191" i="62"/>
  <c r="M191" i="62"/>
  <c r="L191" i="62"/>
  <c r="R190" i="62"/>
  <c r="Q190" i="62"/>
  <c r="P190" i="62"/>
  <c r="O190" i="62"/>
  <c r="N190" i="62"/>
  <c r="M190" i="62"/>
  <c r="L190" i="62"/>
  <c r="R189" i="62"/>
  <c r="Q189" i="62"/>
  <c r="P189" i="62"/>
  <c r="O189" i="62"/>
  <c r="N189" i="62"/>
  <c r="M189" i="62"/>
  <c r="L189" i="62"/>
  <c r="R188" i="62"/>
  <c r="Q188" i="62"/>
  <c r="P188" i="62"/>
  <c r="O188" i="62"/>
  <c r="N188" i="62"/>
  <c r="M188" i="62"/>
  <c r="L188" i="62"/>
  <c r="R187" i="62"/>
  <c r="Q187" i="62"/>
  <c r="P187" i="62"/>
  <c r="O187" i="62"/>
  <c r="N187" i="62"/>
  <c r="M187" i="62"/>
  <c r="L187" i="62"/>
  <c r="R186" i="62"/>
  <c r="Q186" i="62"/>
  <c r="P186" i="62"/>
  <c r="O186" i="62"/>
  <c r="N186" i="62"/>
  <c r="M186" i="62"/>
  <c r="L186" i="62"/>
  <c r="R185" i="62"/>
  <c r="Q185" i="62"/>
  <c r="P185" i="62"/>
  <c r="O185" i="62"/>
  <c r="N185" i="62"/>
  <c r="M185" i="62"/>
  <c r="L185" i="62"/>
  <c r="R184" i="62"/>
  <c r="Q184" i="62"/>
  <c r="P184" i="62"/>
  <c r="O184" i="62"/>
  <c r="N184" i="62"/>
  <c r="M184" i="62"/>
  <c r="L184" i="62"/>
  <c r="R183" i="62"/>
  <c r="Q183" i="62"/>
  <c r="P183" i="62"/>
  <c r="O183" i="62"/>
  <c r="N183" i="62"/>
  <c r="M183" i="62"/>
  <c r="L183" i="62"/>
  <c r="R182" i="62"/>
  <c r="Q182" i="62"/>
  <c r="P182" i="62"/>
  <c r="O182" i="62"/>
  <c r="N182" i="62"/>
  <c r="M182" i="62"/>
  <c r="L182" i="62"/>
  <c r="R181" i="62"/>
  <c r="Q181" i="62"/>
  <c r="P181" i="62"/>
  <c r="O181" i="62"/>
  <c r="N181" i="62"/>
  <c r="M181" i="62"/>
  <c r="L181" i="62"/>
  <c r="R180" i="62"/>
  <c r="Q180" i="62"/>
  <c r="P180" i="62"/>
  <c r="O180" i="62"/>
  <c r="N180" i="62"/>
  <c r="M180" i="62"/>
  <c r="L180" i="62"/>
  <c r="R179" i="62"/>
  <c r="Q179" i="62"/>
  <c r="P179" i="62"/>
  <c r="O179" i="62"/>
  <c r="N179" i="62"/>
  <c r="M179" i="62"/>
  <c r="L179" i="62"/>
  <c r="R178" i="62"/>
  <c r="Q178" i="62"/>
  <c r="P178" i="62"/>
  <c r="O178" i="62"/>
  <c r="N178" i="62"/>
  <c r="M178" i="62"/>
  <c r="L178" i="62"/>
  <c r="R177" i="62"/>
  <c r="Q177" i="62"/>
  <c r="P177" i="62"/>
  <c r="O177" i="62"/>
  <c r="N177" i="62"/>
  <c r="M177" i="62"/>
  <c r="L177" i="62"/>
  <c r="R176" i="62"/>
  <c r="Q176" i="62"/>
  <c r="P176" i="62"/>
  <c r="O176" i="62"/>
  <c r="N176" i="62"/>
  <c r="M176" i="62"/>
  <c r="L176" i="62"/>
  <c r="R175" i="62"/>
  <c r="Q175" i="62"/>
  <c r="P175" i="62"/>
  <c r="O175" i="62"/>
  <c r="N175" i="62"/>
  <c r="M175" i="62"/>
  <c r="L175" i="62"/>
  <c r="R174" i="62"/>
  <c r="Q174" i="62"/>
  <c r="P174" i="62"/>
  <c r="O174" i="62"/>
  <c r="N174" i="62"/>
  <c r="M174" i="62"/>
  <c r="L174" i="62"/>
  <c r="R173" i="62"/>
  <c r="Q173" i="62"/>
  <c r="P173" i="62"/>
  <c r="O173" i="62"/>
  <c r="N173" i="62"/>
  <c r="M173" i="62"/>
  <c r="L173" i="62"/>
  <c r="R172" i="62"/>
  <c r="Q172" i="62"/>
  <c r="P172" i="62"/>
  <c r="O172" i="62"/>
  <c r="N172" i="62"/>
  <c r="M172" i="62"/>
  <c r="L172" i="62"/>
  <c r="R171" i="62"/>
  <c r="Q171" i="62"/>
  <c r="P171" i="62"/>
  <c r="O171" i="62"/>
  <c r="N171" i="62"/>
  <c r="M171" i="62"/>
  <c r="L171" i="62"/>
  <c r="R170" i="62"/>
  <c r="Q170" i="62"/>
  <c r="P170" i="62"/>
  <c r="O170" i="62"/>
  <c r="N170" i="62"/>
  <c r="M170" i="62"/>
  <c r="L170" i="62"/>
  <c r="R169" i="62"/>
  <c r="Q169" i="62"/>
  <c r="P169" i="62"/>
  <c r="O169" i="62"/>
  <c r="N169" i="62"/>
  <c r="M169" i="62"/>
  <c r="L169" i="62"/>
  <c r="R168" i="62"/>
  <c r="Q168" i="62"/>
  <c r="P168" i="62"/>
  <c r="O168" i="62"/>
  <c r="N168" i="62"/>
  <c r="M168" i="62"/>
  <c r="L168" i="62"/>
  <c r="R167" i="62"/>
  <c r="Q167" i="62"/>
  <c r="P167" i="62"/>
  <c r="O167" i="62"/>
  <c r="N167" i="62"/>
  <c r="M167" i="62"/>
  <c r="L167" i="62"/>
  <c r="R166" i="62"/>
  <c r="Q166" i="62"/>
  <c r="P166" i="62"/>
  <c r="O166" i="62"/>
  <c r="N166" i="62"/>
  <c r="M166" i="62"/>
  <c r="L166" i="62"/>
  <c r="R165" i="62"/>
  <c r="Q165" i="62"/>
  <c r="P165" i="62"/>
  <c r="O165" i="62"/>
  <c r="N165" i="62"/>
  <c r="M165" i="62"/>
  <c r="L165" i="62"/>
  <c r="R164" i="62"/>
  <c r="Q164" i="62"/>
  <c r="P164" i="62"/>
  <c r="O164" i="62"/>
  <c r="N164" i="62"/>
  <c r="M164" i="62"/>
  <c r="L164" i="62"/>
  <c r="R163" i="62"/>
  <c r="Q163" i="62"/>
  <c r="P163" i="62"/>
  <c r="O163" i="62"/>
  <c r="N163" i="62"/>
  <c r="M163" i="62"/>
  <c r="L163" i="62"/>
  <c r="R162" i="62"/>
  <c r="Q162" i="62"/>
  <c r="P162" i="62"/>
  <c r="O162" i="62"/>
  <c r="N162" i="62"/>
  <c r="M162" i="62"/>
  <c r="L162" i="62"/>
  <c r="R161" i="62"/>
  <c r="Q161" i="62"/>
  <c r="P161" i="62"/>
  <c r="O161" i="62"/>
  <c r="N161" i="62"/>
  <c r="M161" i="62"/>
  <c r="L161" i="62"/>
  <c r="R160" i="62"/>
  <c r="Q160" i="62"/>
  <c r="P160" i="62"/>
  <c r="O160" i="62"/>
  <c r="N160" i="62"/>
  <c r="M160" i="62"/>
  <c r="L160" i="62"/>
  <c r="R159" i="62"/>
  <c r="Q159" i="62"/>
  <c r="P159" i="62"/>
  <c r="O159" i="62"/>
  <c r="N159" i="62"/>
  <c r="M159" i="62"/>
  <c r="L159" i="62"/>
  <c r="R158" i="62"/>
  <c r="Q158" i="62"/>
  <c r="P158" i="62"/>
  <c r="O158" i="62"/>
  <c r="N158" i="62"/>
  <c r="M158" i="62"/>
  <c r="L158" i="62"/>
  <c r="R157" i="62"/>
  <c r="Q157" i="62"/>
  <c r="P157" i="62"/>
  <c r="O157" i="62"/>
  <c r="N157" i="62"/>
  <c r="M157" i="62"/>
  <c r="L157" i="62"/>
  <c r="R156" i="62"/>
  <c r="Q156" i="62"/>
  <c r="P156" i="62"/>
  <c r="O156" i="62"/>
  <c r="N156" i="62"/>
  <c r="M156" i="62"/>
  <c r="L156" i="62"/>
  <c r="R155" i="62"/>
  <c r="Q155" i="62"/>
  <c r="P155" i="62"/>
  <c r="O155" i="62"/>
  <c r="N155" i="62"/>
  <c r="M155" i="62"/>
  <c r="L155" i="62"/>
  <c r="R154" i="62"/>
  <c r="Q154" i="62"/>
  <c r="P154" i="62"/>
  <c r="O154" i="62"/>
  <c r="N154" i="62"/>
  <c r="M154" i="62"/>
  <c r="L154" i="62"/>
  <c r="R153" i="62"/>
  <c r="Q153" i="62"/>
  <c r="P153" i="62"/>
  <c r="O153" i="62"/>
  <c r="N153" i="62"/>
  <c r="M153" i="62"/>
  <c r="L153" i="62"/>
  <c r="R152" i="62"/>
  <c r="Q152" i="62"/>
  <c r="P152" i="62"/>
  <c r="O152" i="62"/>
  <c r="N152" i="62"/>
  <c r="M152" i="62"/>
  <c r="L152" i="62"/>
  <c r="R151" i="62"/>
  <c r="Q151" i="62"/>
  <c r="P151" i="62"/>
  <c r="O151" i="62"/>
  <c r="N151" i="62"/>
  <c r="M151" i="62"/>
  <c r="L151" i="62"/>
  <c r="R150" i="62"/>
  <c r="Q150" i="62"/>
  <c r="P150" i="62"/>
  <c r="O150" i="62"/>
  <c r="N150" i="62"/>
  <c r="M150" i="62"/>
  <c r="L150" i="62"/>
  <c r="R149" i="62"/>
  <c r="Q149" i="62"/>
  <c r="P149" i="62"/>
  <c r="O149" i="62"/>
  <c r="N149" i="62"/>
  <c r="M149" i="62"/>
  <c r="L149" i="62"/>
  <c r="R148" i="62"/>
  <c r="Q148" i="62"/>
  <c r="P148" i="62"/>
  <c r="O148" i="62"/>
  <c r="N148" i="62"/>
  <c r="M148" i="62"/>
  <c r="L148" i="62"/>
  <c r="R147" i="62"/>
  <c r="Q147" i="62"/>
  <c r="P147" i="62"/>
  <c r="O147" i="62"/>
  <c r="N147" i="62"/>
  <c r="M147" i="62"/>
  <c r="L147" i="62"/>
  <c r="R146" i="62"/>
  <c r="Q146" i="62"/>
  <c r="P146" i="62"/>
  <c r="O146" i="62"/>
  <c r="N146" i="62"/>
  <c r="M146" i="62"/>
  <c r="L146" i="62"/>
  <c r="R145" i="62"/>
  <c r="Q145" i="62"/>
  <c r="P145" i="62"/>
  <c r="O145" i="62"/>
  <c r="N145" i="62"/>
  <c r="M145" i="62"/>
  <c r="L145" i="62"/>
  <c r="R144" i="62"/>
  <c r="Q144" i="62"/>
  <c r="P144" i="62"/>
  <c r="O144" i="62"/>
  <c r="N144" i="62"/>
  <c r="M144" i="62"/>
  <c r="L144" i="62"/>
  <c r="R143" i="62"/>
  <c r="Q143" i="62"/>
  <c r="P143" i="62"/>
  <c r="O143" i="62"/>
  <c r="N143" i="62"/>
  <c r="M143" i="62"/>
  <c r="L143" i="62"/>
  <c r="R142" i="62"/>
  <c r="Q142" i="62"/>
  <c r="P142" i="62"/>
  <c r="O142" i="62"/>
  <c r="N142" i="62"/>
  <c r="M142" i="62"/>
  <c r="L142" i="62"/>
  <c r="R141" i="62"/>
  <c r="Q141" i="62"/>
  <c r="P141" i="62"/>
  <c r="O141" i="62"/>
  <c r="N141" i="62"/>
  <c r="M141" i="62"/>
  <c r="L141" i="62"/>
  <c r="R140" i="62"/>
  <c r="Q140" i="62"/>
  <c r="P140" i="62"/>
  <c r="O140" i="62"/>
  <c r="N140" i="62"/>
  <c r="M140" i="62"/>
  <c r="L140" i="62"/>
  <c r="R139" i="62"/>
  <c r="Q139" i="62"/>
  <c r="P139" i="62"/>
  <c r="O139" i="62"/>
  <c r="N139" i="62"/>
  <c r="M139" i="62"/>
  <c r="L139" i="62"/>
  <c r="R138" i="62"/>
  <c r="Q138" i="62"/>
  <c r="P138" i="62"/>
  <c r="O138" i="62"/>
  <c r="N138" i="62"/>
  <c r="M138" i="62"/>
  <c r="L138" i="62"/>
  <c r="R137" i="62"/>
  <c r="Q137" i="62"/>
  <c r="P137" i="62"/>
  <c r="O137" i="62"/>
  <c r="N137" i="62"/>
  <c r="M137" i="62"/>
  <c r="L137" i="62"/>
  <c r="R136" i="62"/>
  <c r="Q136" i="62"/>
  <c r="P136" i="62"/>
  <c r="O136" i="62"/>
  <c r="N136" i="62"/>
  <c r="M136" i="62"/>
  <c r="L136" i="62"/>
  <c r="R135" i="62"/>
  <c r="Q135" i="62"/>
  <c r="P135" i="62"/>
  <c r="O135" i="62"/>
  <c r="N135" i="62"/>
  <c r="M135" i="62"/>
  <c r="L135" i="62"/>
  <c r="R134" i="62"/>
  <c r="Q134" i="62"/>
  <c r="P134" i="62"/>
  <c r="O134" i="62"/>
  <c r="N134" i="62"/>
  <c r="M134" i="62"/>
  <c r="L134" i="62"/>
  <c r="R133" i="62"/>
  <c r="Q133" i="62"/>
  <c r="P133" i="62"/>
  <c r="O133" i="62"/>
  <c r="N133" i="62"/>
  <c r="M133" i="62"/>
  <c r="L133" i="62"/>
  <c r="R132" i="62"/>
  <c r="Q132" i="62"/>
  <c r="P132" i="62"/>
  <c r="O132" i="62"/>
  <c r="N132" i="62"/>
  <c r="M132" i="62"/>
  <c r="L132" i="62"/>
  <c r="R131" i="62"/>
  <c r="Q131" i="62"/>
  <c r="P131" i="62"/>
  <c r="O131" i="62"/>
  <c r="N131" i="62"/>
  <c r="M131" i="62"/>
  <c r="L131" i="62"/>
  <c r="R130" i="62"/>
  <c r="Q130" i="62"/>
  <c r="P130" i="62"/>
  <c r="O130" i="62"/>
  <c r="N130" i="62"/>
  <c r="M130" i="62"/>
  <c r="L130" i="62"/>
  <c r="R129" i="62"/>
  <c r="Q129" i="62"/>
  <c r="P129" i="62"/>
  <c r="O129" i="62"/>
  <c r="N129" i="62"/>
  <c r="M129" i="62"/>
  <c r="L129" i="62"/>
  <c r="R128" i="62"/>
  <c r="Q128" i="62"/>
  <c r="P128" i="62"/>
  <c r="O128" i="62"/>
  <c r="N128" i="62"/>
  <c r="M128" i="62"/>
  <c r="L128" i="62"/>
  <c r="R127" i="62"/>
  <c r="Q127" i="62"/>
  <c r="P127" i="62"/>
  <c r="O127" i="62"/>
  <c r="N127" i="62"/>
  <c r="M127" i="62"/>
  <c r="L127" i="62"/>
  <c r="R126" i="62"/>
  <c r="Q126" i="62"/>
  <c r="P126" i="62"/>
  <c r="O126" i="62"/>
  <c r="N126" i="62"/>
  <c r="M126" i="62"/>
  <c r="L126" i="62"/>
  <c r="R125" i="62"/>
  <c r="Q125" i="62"/>
  <c r="P125" i="62"/>
  <c r="O125" i="62"/>
  <c r="N125" i="62"/>
  <c r="M125" i="62"/>
  <c r="L125" i="62"/>
  <c r="R124" i="62"/>
  <c r="Q124" i="62"/>
  <c r="P124" i="62"/>
  <c r="O124" i="62"/>
  <c r="N124" i="62"/>
  <c r="M124" i="62"/>
  <c r="L124" i="62"/>
  <c r="R123" i="62"/>
  <c r="Q123" i="62"/>
  <c r="P123" i="62"/>
  <c r="O123" i="62"/>
  <c r="N123" i="62"/>
  <c r="M123" i="62"/>
  <c r="L123" i="62"/>
  <c r="R122" i="62"/>
  <c r="Q122" i="62"/>
  <c r="P122" i="62"/>
  <c r="O122" i="62"/>
  <c r="N122" i="62"/>
  <c r="M122" i="62"/>
  <c r="L122" i="62"/>
  <c r="R121" i="62"/>
  <c r="Q121" i="62"/>
  <c r="P121" i="62"/>
  <c r="O121" i="62"/>
  <c r="N121" i="62"/>
  <c r="M121" i="62"/>
  <c r="L121" i="62"/>
  <c r="R120" i="62"/>
  <c r="Q120" i="62"/>
  <c r="P120" i="62"/>
  <c r="O120" i="62"/>
  <c r="N120" i="62"/>
  <c r="M120" i="62"/>
  <c r="L120" i="62"/>
  <c r="R119" i="62"/>
  <c r="Q119" i="62"/>
  <c r="P119" i="62"/>
  <c r="O119" i="62"/>
  <c r="N119" i="62"/>
  <c r="M119" i="62"/>
  <c r="L119" i="62"/>
  <c r="R118" i="62"/>
  <c r="Q118" i="62"/>
  <c r="P118" i="62"/>
  <c r="O118" i="62"/>
  <c r="N118" i="62"/>
  <c r="M118" i="62"/>
  <c r="L118" i="62"/>
  <c r="R117" i="62"/>
  <c r="Q117" i="62"/>
  <c r="P117" i="62"/>
  <c r="O117" i="62"/>
  <c r="N117" i="62"/>
  <c r="M117" i="62"/>
  <c r="L117" i="62"/>
  <c r="R116" i="62"/>
  <c r="Q116" i="62"/>
  <c r="P116" i="62"/>
  <c r="O116" i="62"/>
  <c r="N116" i="62"/>
  <c r="M116" i="62"/>
  <c r="L116" i="62"/>
  <c r="R115" i="62"/>
  <c r="Q115" i="62"/>
  <c r="P115" i="62"/>
  <c r="O115" i="62"/>
  <c r="N115" i="62"/>
  <c r="M115" i="62"/>
  <c r="L115" i="62"/>
  <c r="R114" i="62"/>
  <c r="Q114" i="62"/>
  <c r="P114" i="62"/>
  <c r="O114" i="62"/>
  <c r="N114" i="62"/>
  <c r="M114" i="62"/>
  <c r="L114" i="62"/>
  <c r="R113" i="62"/>
  <c r="Q113" i="62"/>
  <c r="P113" i="62"/>
  <c r="O113" i="62"/>
  <c r="N113" i="62"/>
  <c r="M113" i="62"/>
  <c r="L113" i="62"/>
  <c r="R112" i="62"/>
  <c r="Q112" i="62"/>
  <c r="P112" i="62"/>
  <c r="O112" i="62"/>
  <c r="N112" i="62"/>
  <c r="M112" i="62"/>
  <c r="L112" i="62"/>
  <c r="R111" i="62"/>
  <c r="Q111" i="62"/>
  <c r="P111" i="62"/>
  <c r="O111" i="62"/>
  <c r="N111" i="62"/>
  <c r="M111" i="62"/>
  <c r="L111" i="62"/>
  <c r="R110" i="62"/>
  <c r="Q110" i="62"/>
  <c r="P110" i="62"/>
  <c r="O110" i="62"/>
  <c r="N110" i="62"/>
  <c r="M110" i="62"/>
  <c r="L110" i="62"/>
  <c r="R109" i="62"/>
  <c r="Q109" i="62"/>
  <c r="P109" i="62"/>
  <c r="O109" i="62"/>
  <c r="N109" i="62"/>
  <c r="M109" i="62"/>
  <c r="L109" i="62"/>
  <c r="R108" i="62"/>
  <c r="Q108" i="62"/>
  <c r="P108" i="62"/>
  <c r="O108" i="62"/>
  <c r="N108" i="62"/>
  <c r="M108" i="62"/>
  <c r="L108" i="62"/>
  <c r="R107" i="62"/>
  <c r="Q107" i="62"/>
  <c r="P107" i="62"/>
  <c r="O107" i="62"/>
  <c r="N107" i="62"/>
  <c r="M107" i="62"/>
  <c r="L107" i="62"/>
  <c r="R106" i="62"/>
  <c r="Q106" i="62"/>
  <c r="P106" i="62"/>
  <c r="O106" i="62"/>
  <c r="N106" i="62"/>
  <c r="M106" i="62"/>
  <c r="L106" i="62"/>
  <c r="R105" i="62"/>
  <c r="Q105" i="62"/>
  <c r="P105" i="62"/>
  <c r="O105" i="62"/>
  <c r="N105" i="62"/>
  <c r="M105" i="62"/>
  <c r="L105" i="62"/>
  <c r="R104" i="62"/>
  <c r="Q104" i="62"/>
  <c r="P104" i="62"/>
  <c r="O104" i="62"/>
  <c r="N104" i="62"/>
  <c r="M104" i="62"/>
  <c r="L104" i="62"/>
  <c r="R103" i="62"/>
  <c r="Q103" i="62"/>
  <c r="P103" i="62"/>
  <c r="O103" i="62"/>
  <c r="N103" i="62"/>
  <c r="M103" i="62"/>
  <c r="L103" i="62"/>
  <c r="R102" i="62"/>
  <c r="Q102" i="62"/>
  <c r="P102" i="62"/>
  <c r="O102" i="62"/>
  <c r="N102" i="62"/>
  <c r="M102" i="62"/>
  <c r="L102" i="62"/>
  <c r="R101" i="62"/>
  <c r="Q101" i="62"/>
  <c r="P101" i="62"/>
  <c r="O101" i="62"/>
  <c r="N101" i="62"/>
  <c r="M101" i="62"/>
  <c r="L101" i="62"/>
  <c r="R100" i="62"/>
  <c r="Q100" i="62"/>
  <c r="P100" i="62"/>
  <c r="O100" i="62"/>
  <c r="N100" i="62"/>
  <c r="M100" i="62"/>
  <c r="L100" i="62"/>
  <c r="R99" i="62"/>
  <c r="Q99" i="62"/>
  <c r="P99" i="62"/>
  <c r="O99" i="62"/>
  <c r="N99" i="62"/>
  <c r="M99" i="62"/>
  <c r="L99" i="62"/>
  <c r="R98" i="62"/>
  <c r="Q98" i="62"/>
  <c r="P98" i="62"/>
  <c r="O98" i="62"/>
  <c r="N98" i="62"/>
  <c r="M98" i="62"/>
  <c r="L98" i="62"/>
  <c r="R97" i="62"/>
  <c r="Q97" i="62"/>
  <c r="P97" i="62"/>
  <c r="O97" i="62"/>
  <c r="N97" i="62"/>
  <c r="M97" i="62"/>
  <c r="L97" i="62"/>
  <c r="R96" i="62"/>
  <c r="Q96" i="62"/>
  <c r="P96" i="62"/>
  <c r="O96" i="62"/>
  <c r="N96" i="62"/>
  <c r="M96" i="62"/>
  <c r="L96" i="62"/>
  <c r="R95" i="62"/>
  <c r="Q95" i="62"/>
  <c r="P95" i="62"/>
  <c r="O95" i="62"/>
  <c r="N95" i="62"/>
  <c r="M95" i="62"/>
  <c r="L95" i="62"/>
  <c r="R94" i="62"/>
  <c r="Q94" i="62"/>
  <c r="P94" i="62"/>
  <c r="O94" i="62"/>
  <c r="N94" i="62"/>
  <c r="M94" i="62"/>
  <c r="L94" i="62"/>
  <c r="R93" i="62"/>
  <c r="Q93" i="62"/>
  <c r="P93" i="62"/>
  <c r="O93" i="62"/>
  <c r="N93" i="62"/>
  <c r="M93" i="62"/>
  <c r="L93" i="62"/>
  <c r="R92" i="62"/>
  <c r="Q92" i="62"/>
  <c r="P92" i="62"/>
  <c r="O92" i="62"/>
  <c r="N92" i="62"/>
  <c r="M92" i="62"/>
  <c r="L92" i="62"/>
  <c r="R91" i="62"/>
  <c r="Q91" i="62"/>
  <c r="P91" i="62"/>
  <c r="O91" i="62"/>
  <c r="N91" i="62"/>
  <c r="M91" i="62"/>
  <c r="L91" i="62"/>
  <c r="R90" i="62"/>
  <c r="Q90" i="62"/>
  <c r="P90" i="62"/>
  <c r="O90" i="62"/>
  <c r="N90" i="62"/>
  <c r="M90" i="62"/>
  <c r="L90" i="62"/>
  <c r="R89" i="62"/>
  <c r="Q89" i="62"/>
  <c r="P89" i="62"/>
  <c r="O89" i="62"/>
  <c r="N89" i="62"/>
  <c r="M89" i="62"/>
  <c r="L89" i="62"/>
  <c r="R88" i="62"/>
  <c r="Q88" i="62"/>
  <c r="P88" i="62"/>
  <c r="O88" i="62"/>
  <c r="N88" i="62"/>
  <c r="M88" i="62"/>
  <c r="L88" i="62"/>
  <c r="R87" i="62"/>
  <c r="Q87" i="62"/>
  <c r="P87" i="62"/>
  <c r="O87" i="62"/>
  <c r="N87" i="62"/>
  <c r="M87" i="62"/>
  <c r="L87" i="62"/>
  <c r="R86" i="62"/>
  <c r="Q86" i="62"/>
  <c r="P86" i="62"/>
  <c r="O86" i="62"/>
  <c r="N86" i="62"/>
  <c r="M86" i="62"/>
  <c r="L86" i="62"/>
  <c r="R85" i="62"/>
  <c r="Q85" i="62"/>
  <c r="P85" i="62"/>
  <c r="O85" i="62"/>
  <c r="N85" i="62"/>
  <c r="M85" i="62"/>
  <c r="L85" i="62"/>
  <c r="R84" i="62"/>
  <c r="Q84" i="62"/>
  <c r="P84" i="62"/>
  <c r="O84" i="62"/>
  <c r="N84" i="62"/>
  <c r="M84" i="62"/>
  <c r="L84" i="62"/>
  <c r="R83" i="62"/>
  <c r="Q83" i="62"/>
  <c r="P83" i="62"/>
  <c r="O83" i="62"/>
  <c r="N83" i="62"/>
  <c r="M83" i="62"/>
  <c r="L83" i="62"/>
  <c r="R82" i="62"/>
  <c r="Q82" i="62"/>
  <c r="P82" i="62"/>
  <c r="O82" i="62"/>
  <c r="N82" i="62"/>
  <c r="M82" i="62"/>
  <c r="L82" i="62"/>
  <c r="R81" i="62"/>
  <c r="Q81" i="62"/>
  <c r="P81" i="62"/>
  <c r="O81" i="62"/>
  <c r="N81" i="62"/>
  <c r="M81" i="62"/>
  <c r="L81" i="62"/>
  <c r="R80" i="62"/>
  <c r="Q80" i="62"/>
  <c r="P80" i="62"/>
  <c r="O80" i="62"/>
  <c r="N80" i="62"/>
  <c r="M80" i="62"/>
  <c r="L80" i="62"/>
  <c r="R79" i="62"/>
  <c r="Q79" i="62"/>
  <c r="P79" i="62"/>
  <c r="O79" i="62"/>
  <c r="N79" i="62"/>
  <c r="M79" i="62"/>
  <c r="L79" i="62"/>
  <c r="R78" i="62"/>
  <c r="Q78" i="62"/>
  <c r="P78" i="62"/>
  <c r="O78" i="62"/>
  <c r="N78" i="62"/>
  <c r="M78" i="62"/>
  <c r="L78" i="62"/>
  <c r="R77" i="62"/>
  <c r="Q77" i="62"/>
  <c r="P77" i="62"/>
  <c r="O77" i="62"/>
  <c r="N77" i="62"/>
  <c r="M77" i="62"/>
  <c r="L77" i="62"/>
  <c r="R76" i="62"/>
  <c r="Q76" i="62"/>
  <c r="P76" i="62"/>
  <c r="O76" i="62"/>
  <c r="N76" i="62"/>
  <c r="M76" i="62"/>
  <c r="L76" i="62"/>
  <c r="R75" i="62"/>
  <c r="Q75" i="62"/>
  <c r="P75" i="62"/>
  <c r="O75" i="62"/>
  <c r="N75" i="62"/>
  <c r="M75" i="62"/>
  <c r="L75" i="62"/>
  <c r="R74" i="62"/>
  <c r="Q74" i="62"/>
  <c r="P74" i="62"/>
  <c r="O74" i="62"/>
  <c r="N74" i="62"/>
  <c r="M74" i="62"/>
  <c r="L74" i="62"/>
  <c r="R73" i="62"/>
  <c r="Q73" i="62"/>
  <c r="P73" i="62"/>
  <c r="O73" i="62"/>
  <c r="N73" i="62"/>
  <c r="M73" i="62"/>
  <c r="L73" i="62"/>
  <c r="R72" i="62"/>
  <c r="Q72" i="62"/>
  <c r="P72" i="62"/>
  <c r="O72" i="62"/>
  <c r="N72" i="62"/>
  <c r="M72" i="62"/>
  <c r="L72" i="62"/>
  <c r="R71" i="62"/>
  <c r="Q71" i="62"/>
  <c r="P71" i="62"/>
  <c r="O71" i="62"/>
  <c r="N71" i="62"/>
  <c r="M71" i="62"/>
  <c r="L71" i="62"/>
  <c r="R70" i="62"/>
  <c r="Q70" i="62"/>
  <c r="P70" i="62"/>
  <c r="O70" i="62"/>
  <c r="N70" i="62"/>
  <c r="M70" i="62"/>
  <c r="L70" i="62"/>
  <c r="R69" i="62"/>
  <c r="Q69" i="62"/>
  <c r="P69" i="62"/>
  <c r="O69" i="62"/>
  <c r="N69" i="62"/>
  <c r="M69" i="62"/>
  <c r="L69" i="62"/>
  <c r="R68" i="62"/>
  <c r="Q68" i="62"/>
  <c r="P68" i="62"/>
  <c r="O68" i="62"/>
  <c r="N68" i="62"/>
  <c r="M68" i="62"/>
  <c r="L68" i="62"/>
  <c r="R67" i="62"/>
  <c r="Q67" i="62"/>
  <c r="P67" i="62"/>
  <c r="O67" i="62"/>
  <c r="N67" i="62"/>
  <c r="M67" i="62"/>
  <c r="L67" i="62"/>
  <c r="R66" i="62"/>
  <c r="Q66" i="62"/>
  <c r="P66" i="62"/>
  <c r="O66" i="62"/>
  <c r="N66" i="62"/>
  <c r="M66" i="62"/>
  <c r="L66" i="62"/>
  <c r="R65" i="62"/>
  <c r="Q65" i="62"/>
  <c r="P65" i="62"/>
  <c r="O65" i="62"/>
  <c r="N65" i="62"/>
  <c r="M65" i="62"/>
  <c r="L65" i="62"/>
  <c r="R64" i="62"/>
  <c r="Q64" i="62"/>
  <c r="P64" i="62"/>
  <c r="O64" i="62"/>
  <c r="N64" i="62"/>
  <c r="M64" i="62"/>
  <c r="L64" i="62"/>
  <c r="R63" i="62"/>
  <c r="Q63" i="62"/>
  <c r="P63" i="62"/>
  <c r="O63" i="62"/>
  <c r="N63" i="62"/>
  <c r="M63" i="62"/>
  <c r="L63" i="62"/>
  <c r="R62" i="62"/>
  <c r="Q62" i="62"/>
  <c r="P62" i="62"/>
  <c r="O62" i="62"/>
  <c r="N62" i="62"/>
  <c r="M62" i="62"/>
  <c r="L62" i="62"/>
  <c r="R61" i="62"/>
  <c r="Q61" i="62"/>
  <c r="P61" i="62"/>
  <c r="O61" i="62"/>
  <c r="N61" i="62"/>
  <c r="M61" i="62"/>
  <c r="L61" i="62"/>
  <c r="R60" i="62"/>
  <c r="Q60" i="62"/>
  <c r="P60" i="62"/>
  <c r="O60" i="62"/>
  <c r="N60" i="62"/>
  <c r="M60" i="62"/>
  <c r="L60" i="62"/>
  <c r="R59" i="62"/>
  <c r="Q59" i="62"/>
  <c r="P59" i="62"/>
  <c r="O59" i="62"/>
  <c r="N59" i="62"/>
  <c r="M59" i="62"/>
  <c r="L59" i="62"/>
  <c r="R58" i="62"/>
  <c r="Q58" i="62"/>
  <c r="P58" i="62"/>
  <c r="O58" i="62"/>
  <c r="N58" i="62"/>
  <c r="M58" i="62"/>
  <c r="L58" i="62"/>
  <c r="R57" i="62"/>
  <c r="Q57" i="62"/>
  <c r="P57" i="62"/>
  <c r="O57" i="62"/>
  <c r="N57" i="62"/>
  <c r="M57" i="62"/>
  <c r="L57" i="62"/>
  <c r="R56" i="62"/>
  <c r="Q56" i="62"/>
  <c r="P56" i="62"/>
  <c r="O56" i="62"/>
  <c r="N56" i="62"/>
  <c r="M56" i="62"/>
  <c r="L56" i="62"/>
  <c r="R55" i="62"/>
  <c r="Q55" i="62"/>
  <c r="P55" i="62"/>
  <c r="O55" i="62"/>
  <c r="N55" i="62"/>
  <c r="M55" i="62"/>
  <c r="L55" i="62"/>
  <c r="R54" i="62"/>
  <c r="Q54" i="62"/>
  <c r="P54" i="62"/>
  <c r="O54" i="62"/>
  <c r="N54" i="62"/>
  <c r="M54" i="62"/>
  <c r="L54" i="62"/>
  <c r="R53" i="62"/>
  <c r="Q53" i="62"/>
  <c r="P53" i="62"/>
  <c r="O53" i="62"/>
  <c r="N53" i="62"/>
  <c r="M53" i="62"/>
  <c r="L53" i="62"/>
  <c r="R52" i="62"/>
  <c r="Q52" i="62"/>
  <c r="P52" i="62"/>
  <c r="O52" i="62"/>
  <c r="N52" i="62"/>
  <c r="M52" i="62"/>
  <c r="L52" i="62"/>
  <c r="R51" i="62"/>
  <c r="Q51" i="62"/>
  <c r="P51" i="62"/>
  <c r="O51" i="62"/>
  <c r="N51" i="62"/>
  <c r="M51" i="62"/>
  <c r="L51" i="62"/>
  <c r="R50" i="62"/>
  <c r="Q50" i="62"/>
  <c r="P50" i="62"/>
  <c r="O50" i="62"/>
  <c r="N50" i="62"/>
  <c r="M50" i="62"/>
  <c r="L50" i="62"/>
  <c r="R49" i="62"/>
  <c r="Q49" i="62"/>
  <c r="P49" i="62"/>
  <c r="O49" i="62"/>
  <c r="N49" i="62"/>
  <c r="M49" i="62"/>
  <c r="L49" i="62"/>
  <c r="R48" i="62"/>
  <c r="Q48" i="62"/>
  <c r="P48" i="62"/>
  <c r="O48" i="62"/>
  <c r="N48" i="62"/>
  <c r="M48" i="62"/>
  <c r="L48" i="62"/>
  <c r="R47" i="62"/>
  <c r="Q47" i="62"/>
  <c r="P47" i="62"/>
  <c r="O47" i="62"/>
  <c r="N47" i="62"/>
  <c r="M47" i="62"/>
  <c r="L47" i="62"/>
  <c r="R46" i="62"/>
  <c r="Q46" i="62"/>
  <c r="P46" i="62"/>
  <c r="O46" i="62"/>
  <c r="N46" i="62"/>
  <c r="M46" i="62"/>
  <c r="L46" i="62"/>
  <c r="R45" i="62"/>
  <c r="Q45" i="62"/>
  <c r="P45" i="62"/>
  <c r="O45" i="62"/>
  <c r="N45" i="62"/>
  <c r="M45" i="62"/>
  <c r="L45" i="62"/>
  <c r="R44" i="62"/>
  <c r="Q44" i="62"/>
  <c r="P44" i="62"/>
  <c r="O44" i="62"/>
  <c r="N44" i="62"/>
  <c r="M44" i="62"/>
  <c r="L44" i="62"/>
  <c r="R43" i="62"/>
  <c r="Q43" i="62"/>
  <c r="P43" i="62"/>
  <c r="O43" i="62"/>
  <c r="N43" i="62"/>
  <c r="M43" i="62"/>
  <c r="L43" i="62"/>
  <c r="R42" i="62"/>
  <c r="Q42" i="62"/>
  <c r="P42" i="62"/>
  <c r="O42" i="62"/>
  <c r="N42" i="62"/>
  <c r="M42" i="62"/>
  <c r="L42" i="62"/>
  <c r="R41" i="62"/>
  <c r="Q41" i="62"/>
  <c r="P41" i="62"/>
  <c r="O41" i="62"/>
  <c r="N41" i="62"/>
  <c r="M41" i="62"/>
  <c r="L41" i="62"/>
  <c r="R40" i="62"/>
  <c r="Q40" i="62"/>
  <c r="P40" i="62"/>
  <c r="O40" i="62"/>
  <c r="N40" i="62"/>
  <c r="M40" i="62"/>
  <c r="L40" i="62"/>
  <c r="R39" i="62"/>
  <c r="Q39" i="62"/>
  <c r="P39" i="62"/>
  <c r="O39" i="62"/>
  <c r="N39" i="62"/>
  <c r="M39" i="62"/>
  <c r="L39" i="62"/>
  <c r="R38" i="62"/>
  <c r="Q38" i="62"/>
  <c r="P38" i="62"/>
  <c r="O38" i="62"/>
  <c r="N38" i="62"/>
  <c r="M38" i="62"/>
  <c r="L38" i="62"/>
  <c r="R37" i="62"/>
  <c r="Q37" i="62"/>
  <c r="P37" i="62"/>
  <c r="O37" i="62"/>
  <c r="N37" i="62"/>
  <c r="M37" i="62"/>
  <c r="L37" i="62"/>
  <c r="R36" i="62"/>
  <c r="Q36" i="62"/>
  <c r="P36" i="62"/>
  <c r="O36" i="62"/>
  <c r="N36" i="62"/>
  <c r="M36" i="62"/>
  <c r="L36" i="62"/>
  <c r="R35" i="62"/>
  <c r="Q35" i="62"/>
  <c r="P35" i="62"/>
  <c r="O35" i="62"/>
  <c r="N35" i="62"/>
  <c r="M35" i="62"/>
  <c r="L35" i="62"/>
  <c r="R34" i="62"/>
  <c r="Q34" i="62"/>
  <c r="P34" i="62"/>
  <c r="O34" i="62"/>
  <c r="N34" i="62"/>
  <c r="M34" i="62"/>
  <c r="L34" i="62"/>
  <c r="R33" i="62"/>
  <c r="Q33" i="62"/>
  <c r="P33" i="62"/>
  <c r="O33" i="62"/>
  <c r="N33" i="62"/>
  <c r="M33" i="62"/>
  <c r="L33" i="62"/>
  <c r="R32" i="62"/>
  <c r="Q32" i="62"/>
  <c r="P32" i="62"/>
  <c r="O32" i="62"/>
  <c r="N32" i="62"/>
  <c r="M32" i="62"/>
  <c r="L32" i="62"/>
  <c r="R31" i="62"/>
  <c r="Q31" i="62"/>
  <c r="P31" i="62"/>
  <c r="O31" i="62"/>
  <c r="N31" i="62"/>
  <c r="M31" i="62"/>
  <c r="L31" i="62"/>
  <c r="R30" i="62"/>
  <c r="Q30" i="62"/>
  <c r="P30" i="62"/>
  <c r="O30" i="62"/>
  <c r="N30" i="62"/>
  <c r="M30" i="62"/>
  <c r="L30" i="62"/>
  <c r="R29" i="62"/>
  <c r="Q29" i="62"/>
  <c r="P29" i="62"/>
  <c r="O29" i="62"/>
  <c r="N29" i="62"/>
  <c r="M29" i="62"/>
  <c r="L29" i="62"/>
  <c r="R28" i="62"/>
  <c r="Q28" i="62"/>
  <c r="P28" i="62"/>
  <c r="O28" i="62"/>
  <c r="N28" i="62"/>
  <c r="M28" i="62"/>
  <c r="L28" i="62"/>
  <c r="R27" i="62"/>
  <c r="Q27" i="62"/>
  <c r="P27" i="62"/>
  <c r="O27" i="62"/>
  <c r="N27" i="62"/>
  <c r="M27" i="62"/>
  <c r="L27" i="62"/>
  <c r="R26" i="62"/>
  <c r="Q26" i="62"/>
  <c r="P26" i="62"/>
  <c r="O26" i="62"/>
  <c r="N26" i="62"/>
  <c r="M26" i="62"/>
  <c r="L26" i="62"/>
  <c r="R25" i="62"/>
  <c r="Q25" i="62"/>
  <c r="P25" i="62"/>
  <c r="O25" i="62"/>
  <c r="N25" i="62"/>
  <c r="M25" i="62"/>
  <c r="L25" i="62"/>
  <c r="R24" i="62"/>
  <c r="Q24" i="62"/>
  <c r="P24" i="62"/>
  <c r="O24" i="62"/>
  <c r="N24" i="62"/>
  <c r="M24" i="62"/>
  <c r="L24" i="62"/>
  <c r="R23" i="62"/>
  <c r="Q23" i="62"/>
  <c r="P23" i="62"/>
  <c r="O23" i="62"/>
  <c r="N23" i="62"/>
  <c r="M23" i="62"/>
  <c r="L23" i="62"/>
  <c r="R22" i="62"/>
  <c r="Q22" i="62"/>
  <c r="P22" i="62"/>
  <c r="O22" i="62"/>
  <c r="N22" i="62"/>
  <c r="M22" i="62"/>
  <c r="L22" i="62"/>
  <c r="R21" i="62"/>
  <c r="Q21" i="62"/>
  <c r="P21" i="62"/>
  <c r="O21" i="62"/>
  <c r="N21" i="62"/>
  <c r="M21" i="62"/>
  <c r="L21" i="62"/>
  <c r="R20" i="62"/>
  <c r="Q20" i="62"/>
  <c r="P20" i="62"/>
  <c r="O20" i="62"/>
  <c r="N20" i="62"/>
  <c r="M20" i="62"/>
  <c r="L20" i="62"/>
  <c r="R19" i="62"/>
  <c r="Q19" i="62"/>
  <c r="P19" i="62"/>
  <c r="O19" i="62"/>
  <c r="N19" i="62"/>
  <c r="M19" i="62"/>
  <c r="L19" i="62"/>
  <c r="R18" i="62"/>
  <c r="Q18" i="62"/>
  <c r="P18" i="62"/>
  <c r="O18" i="62"/>
  <c r="N18" i="62"/>
  <c r="M18" i="62"/>
  <c r="L18" i="62"/>
  <c r="R17" i="62"/>
  <c r="Q17" i="62"/>
  <c r="P17" i="62"/>
  <c r="O17" i="62"/>
  <c r="N17" i="62"/>
  <c r="M17" i="62"/>
  <c r="L17" i="62"/>
  <c r="R16" i="62"/>
  <c r="Q16" i="62"/>
  <c r="P16" i="62"/>
  <c r="O16" i="62"/>
  <c r="N16" i="62"/>
  <c r="M16" i="62"/>
  <c r="L16" i="62"/>
  <c r="R15" i="62"/>
  <c r="Q15" i="62"/>
  <c r="P15" i="62"/>
  <c r="O15" i="62"/>
  <c r="N15" i="62"/>
  <c r="M15" i="62"/>
  <c r="L15" i="62"/>
  <c r="R14" i="62"/>
  <c r="Q14" i="62"/>
  <c r="P14" i="62"/>
  <c r="O14" i="62"/>
  <c r="N14" i="62"/>
  <c r="M14" i="62"/>
  <c r="L14" i="62"/>
  <c r="R13" i="62"/>
  <c r="Q13" i="62"/>
  <c r="P13" i="62"/>
  <c r="O13" i="62"/>
  <c r="N13" i="62"/>
  <c r="M13" i="62"/>
  <c r="L13" i="62"/>
  <c r="R12" i="62"/>
  <c r="Q12" i="62"/>
  <c r="P12" i="62"/>
  <c r="O12" i="62"/>
  <c r="N12" i="62"/>
  <c r="M12" i="62"/>
  <c r="L12" i="62"/>
  <c r="R11" i="62"/>
  <c r="Q11" i="62"/>
  <c r="P11" i="62"/>
  <c r="O11" i="62"/>
  <c r="N11" i="62"/>
  <c r="M11" i="62"/>
  <c r="L11" i="62"/>
  <c r="R10" i="62"/>
  <c r="Q10" i="62"/>
  <c r="P10" i="62"/>
  <c r="O10" i="62"/>
  <c r="N10" i="62"/>
  <c r="M10" i="62"/>
  <c r="L10" i="62"/>
  <c r="R9" i="62"/>
  <c r="Q9" i="62"/>
  <c r="P9" i="62"/>
  <c r="O9" i="62"/>
  <c r="N9" i="62"/>
  <c r="M9" i="62"/>
  <c r="L9" i="62"/>
  <c r="R8" i="62"/>
  <c r="Q8" i="62"/>
  <c r="P8" i="62"/>
  <c r="O8" i="62"/>
  <c r="N8" i="62"/>
  <c r="M8" i="62"/>
  <c r="L8" i="62"/>
  <c r="R7" i="62"/>
  <c r="Q7" i="62"/>
  <c r="P7" i="62"/>
  <c r="O7" i="62"/>
  <c r="N7" i="62"/>
  <c r="M7" i="62"/>
  <c r="L7" i="62"/>
  <c r="R6" i="62"/>
  <c r="Q6" i="62"/>
  <c r="P6" i="62"/>
  <c r="O6" i="62"/>
  <c r="N6" i="62"/>
  <c r="M6" i="62"/>
  <c r="L6" i="62"/>
  <c r="R5" i="62"/>
  <c r="Q5" i="62"/>
  <c r="P5" i="62"/>
  <c r="O5" i="62"/>
  <c r="N5" i="62"/>
  <c r="M5" i="62"/>
  <c r="L5" i="62"/>
  <c r="J225" i="62"/>
  <c r="I225" i="62"/>
  <c r="H225" i="62"/>
  <c r="G225" i="62"/>
  <c r="F225" i="62"/>
  <c r="E225" i="62"/>
  <c r="D225" i="62"/>
  <c r="J224" i="62"/>
  <c r="I224" i="62"/>
  <c r="H224" i="62"/>
  <c r="G224" i="62"/>
  <c r="F224" i="62"/>
  <c r="E224" i="62"/>
  <c r="D224" i="62"/>
  <c r="J223" i="62"/>
  <c r="I223" i="62"/>
  <c r="H223" i="62"/>
  <c r="G223" i="62"/>
  <c r="F223" i="62"/>
  <c r="E223" i="62"/>
  <c r="D223" i="62"/>
  <c r="J222" i="62"/>
  <c r="I222" i="62"/>
  <c r="H222" i="62"/>
  <c r="G222" i="62"/>
  <c r="F222" i="62"/>
  <c r="E222" i="62"/>
  <c r="D222" i="62"/>
  <c r="J221" i="62"/>
  <c r="I221" i="62"/>
  <c r="H221" i="62"/>
  <c r="G221" i="62"/>
  <c r="F221" i="62"/>
  <c r="E221" i="62"/>
  <c r="D221" i="62"/>
  <c r="J220" i="62"/>
  <c r="I220" i="62"/>
  <c r="H220" i="62"/>
  <c r="G220" i="62"/>
  <c r="F220" i="62"/>
  <c r="E220" i="62"/>
  <c r="D220" i="62"/>
  <c r="J219" i="62"/>
  <c r="I219" i="62"/>
  <c r="H219" i="62"/>
  <c r="G219" i="62"/>
  <c r="F219" i="62"/>
  <c r="E219" i="62"/>
  <c r="D219" i="62"/>
  <c r="J218" i="62"/>
  <c r="I218" i="62"/>
  <c r="H218" i="62"/>
  <c r="G218" i="62"/>
  <c r="F218" i="62"/>
  <c r="E218" i="62"/>
  <c r="D218" i="62"/>
  <c r="J217" i="62"/>
  <c r="I217" i="62"/>
  <c r="H217" i="62"/>
  <c r="G217" i="62"/>
  <c r="F217" i="62"/>
  <c r="E217" i="62"/>
  <c r="D217" i="62"/>
  <c r="J216" i="62"/>
  <c r="I216" i="62"/>
  <c r="H216" i="62"/>
  <c r="G216" i="62"/>
  <c r="F216" i="62"/>
  <c r="E216" i="62"/>
  <c r="D216" i="62"/>
  <c r="J215" i="62"/>
  <c r="I215" i="62"/>
  <c r="H215" i="62"/>
  <c r="G215" i="62"/>
  <c r="F215" i="62"/>
  <c r="E215" i="62"/>
  <c r="D215" i="62"/>
  <c r="J214" i="62"/>
  <c r="I214" i="62"/>
  <c r="H214" i="62"/>
  <c r="G214" i="62"/>
  <c r="F214" i="62"/>
  <c r="E214" i="62"/>
  <c r="D214" i="62"/>
  <c r="J213" i="62"/>
  <c r="I213" i="62"/>
  <c r="H213" i="62"/>
  <c r="G213" i="62"/>
  <c r="F213" i="62"/>
  <c r="E213" i="62"/>
  <c r="D213" i="62"/>
  <c r="J212" i="62"/>
  <c r="I212" i="62"/>
  <c r="H212" i="62"/>
  <c r="G212" i="62"/>
  <c r="F212" i="62"/>
  <c r="E212" i="62"/>
  <c r="D212" i="62"/>
  <c r="J211" i="62"/>
  <c r="I211" i="62"/>
  <c r="H211" i="62"/>
  <c r="G211" i="62"/>
  <c r="F211" i="62"/>
  <c r="E211" i="62"/>
  <c r="D211" i="62"/>
  <c r="J210" i="62"/>
  <c r="I210" i="62"/>
  <c r="H210" i="62"/>
  <c r="G210" i="62"/>
  <c r="F210" i="62"/>
  <c r="E210" i="62"/>
  <c r="D210" i="62"/>
  <c r="J209" i="62"/>
  <c r="I209" i="62"/>
  <c r="H209" i="62"/>
  <c r="G209" i="62"/>
  <c r="F209" i="62"/>
  <c r="E209" i="62"/>
  <c r="D209" i="62"/>
  <c r="J208" i="62"/>
  <c r="I208" i="62"/>
  <c r="H208" i="62"/>
  <c r="G208" i="62"/>
  <c r="F208" i="62"/>
  <c r="E208" i="62"/>
  <c r="D208" i="62"/>
  <c r="J207" i="62"/>
  <c r="I207" i="62"/>
  <c r="H207" i="62"/>
  <c r="G207" i="62"/>
  <c r="F207" i="62"/>
  <c r="E207" i="62"/>
  <c r="D207" i="62"/>
  <c r="J206" i="62"/>
  <c r="I206" i="62"/>
  <c r="H206" i="62"/>
  <c r="G206" i="62"/>
  <c r="F206" i="62"/>
  <c r="E206" i="62"/>
  <c r="D206" i="62"/>
  <c r="J205" i="62"/>
  <c r="I205" i="62"/>
  <c r="H205" i="62"/>
  <c r="G205" i="62"/>
  <c r="F205" i="62"/>
  <c r="E205" i="62"/>
  <c r="D205" i="62"/>
  <c r="J204" i="62"/>
  <c r="I204" i="62"/>
  <c r="H204" i="62"/>
  <c r="G204" i="62"/>
  <c r="F204" i="62"/>
  <c r="E204" i="62"/>
  <c r="D204" i="62"/>
  <c r="J203" i="62"/>
  <c r="I203" i="62"/>
  <c r="H203" i="62"/>
  <c r="G203" i="62"/>
  <c r="F203" i="62"/>
  <c r="E203" i="62"/>
  <c r="D203" i="62"/>
  <c r="J202" i="62"/>
  <c r="I202" i="62"/>
  <c r="H202" i="62"/>
  <c r="G202" i="62"/>
  <c r="F202" i="62"/>
  <c r="E202" i="62"/>
  <c r="D202" i="62"/>
  <c r="J201" i="62"/>
  <c r="I201" i="62"/>
  <c r="H201" i="62"/>
  <c r="G201" i="62"/>
  <c r="F201" i="62"/>
  <c r="E201" i="62"/>
  <c r="D201" i="62"/>
  <c r="J200" i="62"/>
  <c r="I200" i="62"/>
  <c r="H200" i="62"/>
  <c r="G200" i="62"/>
  <c r="F200" i="62"/>
  <c r="E200" i="62"/>
  <c r="D200" i="62"/>
  <c r="J199" i="62"/>
  <c r="I199" i="62"/>
  <c r="H199" i="62"/>
  <c r="G199" i="62"/>
  <c r="F199" i="62"/>
  <c r="E199" i="62"/>
  <c r="D199" i="62"/>
  <c r="J198" i="62"/>
  <c r="I198" i="62"/>
  <c r="H198" i="62"/>
  <c r="G198" i="62"/>
  <c r="F198" i="62"/>
  <c r="E198" i="62"/>
  <c r="D198" i="62"/>
  <c r="J197" i="62"/>
  <c r="I197" i="62"/>
  <c r="H197" i="62"/>
  <c r="G197" i="62"/>
  <c r="F197" i="62"/>
  <c r="E197" i="62"/>
  <c r="D197" i="62"/>
  <c r="J196" i="62"/>
  <c r="I196" i="62"/>
  <c r="H196" i="62"/>
  <c r="G196" i="62"/>
  <c r="F196" i="62"/>
  <c r="E196" i="62"/>
  <c r="D196" i="62"/>
  <c r="J195" i="62"/>
  <c r="I195" i="62"/>
  <c r="H195" i="62"/>
  <c r="G195" i="62"/>
  <c r="F195" i="62"/>
  <c r="E195" i="62"/>
  <c r="D195" i="62"/>
  <c r="J194" i="62"/>
  <c r="I194" i="62"/>
  <c r="H194" i="62"/>
  <c r="G194" i="62"/>
  <c r="F194" i="62"/>
  <c r="E194" i="62"/>
  <c r="D194" i="62"/>
  <c r="J193" i="62"/>
  <c r="I193" i="62"/>
  <c r="H193" i="62"/>
  <c r="G193" i="62"/>
  <c r="F193" i="62"/>
  <c r="E193" i="62"/>
  <c r="D193" i="62"/>
  <c r="J192" i="62"/>
  <c r="I192" i="62"/>
  <c r="H192" i="62"/>
  <c r="G192" i="62"/>
  <c r="F192" i="62"/>
  <c r="E192" i="62"/>
  <c r="D192" i="62"/>
  <c r="J191" i="62"/>
  <c r="I191" i="62"/>
  <c r="H191" i="62"/>
  <c r="G191" i="62"/>
  <c r="F191" i="62"/>
  <c r="E191" i="62"/>
  <c r="D191" i="62"/>
  <c r="J190" i="62"/>
  <c r="I190" i="62"/>
  <c r="H190" i="62"/>
  <c r="G190" i="62"/>
  <c r="F190" i="62"/>
  <c r="E190" i="62"/>
  <c r="D190" i="62"/>
  <c r="J189" i="62"/>
  <c r="I189" i="62"/>
  <c r="H189" i="62"/>
  <c r="G189" i="62"/>
  <c r="F189" i="62"/>
  <c r="E189" i="62"/>
  <c r="D189" i="62"/>
  <c r="J188" i="62"/>
  <c r="I188" i="62"/>
  <c r="H188" i="62"/>
  <c r="G188" i="62"/>
  <c r="F188" i="62"/>
  <c r="E188" i="62"/>
  <c r="D188" i="62"/>
  <c r="J187" i="62"/>
  <c r="I187" i="62"/>
  <c r="H187" i="62"/>
  <c r="G187" i="62"/>
  <c r="F187" i="62"/>
  <c r="E187" i="62"/>
  <c r="D187" i="62"/>
  <c r="J186" i="62"/>
  <c r="I186" i="62"/>
  <c r="H186" i="62"/>
  <c r="G186" i="62"/>
  <c r="F186" i="62"/>
  <c r="E186" i="62"/>
  <c r="D186" i="62"/>
  <c r="J185" i="62"/>
  <c r="I185" i="62"/>
  <c r="H185" i="62"/>
  <c r="G185" i="62"/>
  <c r="F185" i="62"/>
  <c r="E185" i="62"/>
  <c r="D185" i="62"/>
  <c r="J184" i="62"/>
  <c r="I184" i="62"/>
  <c r="H184" i="62"/>
  <c r="G184" i="62"/>
  <c r="F184" i="62"/>
  <c r="E184" i="62"/>
  <c r="D184" i="62"/>
  <c r="J183" i="62"/>
  <c r="I183" i="62"/>
  <c r="H183" i="62"/>
  <c r="G183" i="62"/>
  <c r="F183" i="62"/>
  <c r="E183" i="62"/>
  <c r="D183" i="62"/>
  <c r="J182" i="62"/>
  <c r="I182" i="62"/>
  <c r="H182" i="62"/>
  <c r="G182" i="62"/>
  <c r="F182" i="62"/>
  <c r="E182" i="62"/>
  <c r="D182" i="62"/>
  <c r="J181" i="62"/>
  <c r="I181" i="62"/>
  <c r="H181" i="62"/>
  <c r="G181" i="62"/>
  <c r="F181" i="62"/>
  <c r="E181" i="62"/>
  <c r="D181" i="62"/>
  <c r="J180" i="62"/>
  <c r="I180" i="62"/>
  <c r="H180" i="62"/>
  <c r="G180" i="62"/>
  <c r="F180" i="62"/>
  <c r="E180" i="62"/>
  <c r="D180" i="62"/>
  <c r="J179" i="62"/>
  <c r="I179" i="62"/>
  <c r="H179" i="62"/>
  <c r="G179" i="62"/>
  <c r="F179" i="62"/>
  <c r="E179" i="62"/>
  <c r="D179" i="62"/>
  <c r="J178" i="62"/>
  <c r="I178" i="62"/>
  <c r="H178" i="62"/>
  <c r="G178" i="62"/>
  <c r="F178" i="62"/>
  <c r="E178" i="62"/>
  <c r="D178" i="62"/>
  <c r="J177" i="62"/>
  <c r="I177" i="62"/>
  <c r="H177" i="62"/>
  <c r="G177" i="62"/>
  <c r="F177" i="62"/>
  <c r="E177" i="62"/>
  <c r="D177" i="62"/>
  <c r="J176" i="62"/>
  <c r="I176" i="62"/>
  <c r="H176" i="62"/>
  <c r="G176" i="62"/>
  <c r="F176" i="62"/>
  <c r="E176" i="62"/>
  <c r="D176" i="62"/>
  <c r="J175" i="62"/>
  <c r="I175" i="62"/>
  <c r="H175" i="62"/>
  <c r="G175" i="62"/>
  <c r="F175" i="62"/>
  <c r="E175" i="62"/>
  <c r="D175" i="62"/>
  <c r="J174" i="62"/>
  <c r="I174" i="62"/>
  <c r="H174" i="62"/>
  <c r="G174" i="62"/>
  <c r="F174" i="62"/>
  <c r="E174" i="62"/>
  <c r="D174" i="62"/>
  <c r="J173" i="62"/>
  <c r="I173" i="62"/>
  <c r="H173" i="62"/>
  <c r="G173" i="62"/>
  <c r="F173" i="62"/>
  <c r="E173" i="62"/>
  <c r="D173" i="62"/>
  <c r="J172" i="62"/>
  <c r="I172" i="62"/>
  <c r="H172" i="62"/>
  <c r="G172" i="62"/>
  <c r="F172" i="62"/>
  <c r="E172" i="62"/>
  <c r="D172" i="62"/>
  <c r="J171" i="62"/>
  <c r="I171" i="62"/>
  <c r="H171" i="62"/>
  <c r="G171" i="62"/>
  <c r="F171" i="62"/>
  <c r="E171" i="62"/>
  <c r="D171" i="62"/>
  <c r="J170" i="62"/>
  <c r="I170" i="62"/>
  <c r="H170" i="62"/>
  <c r="G170" i="62"/>
  <c r="F170" i="62"/>
  <c r="E170" i="62"/>
  <c r="D170" i="62"/>
  <c r="J169" i="62"/>
  <c r="I169" i="62"/>
  <c r="H169" i="62"/>
  <c r="G169" i="62"/>
  <c r="F169" i="62"/>
  <c r="E169" i="62"/>
  <c r="D169" i="62"/>
  <c r="J168" i="62"/>
  <c r="I168" i="62"/>
  <c r="H168" i="62"/>
  <c r="G168" i="62"/>
  <c r="F168" i="62"/>
  <c r="E168" i="62"/>
  <c r="D168" i="62"/>
  <c r="J167" i="62"/>
  <c r="I167" i="62"/>
  <c r="H167" i="62"/>
  <c r="G167" i="62"/>
  <c r="F167" i="62"/>
  <c r="E167" i="62"/>
  <c r="D167" i="62"/>
  <c r="J166" i="62"/>
  <c r="I166" i="62"/>
  <c r="H166" i="62"/>
  <c r="G166" i="62"/>
  <c r="F166" i="62"/>
  <c r="E166" i="62"/>
  <c r="D166" i="62"/>
  <c r="J165" i="62"/>
  <c r="I165" i="62"/>
  <c r="H165" i="62"/>
  <c r="G165" i="62"/>
  <c r="F165" i="62"/>
  <c r="E165" i="62"/>
  <c r="D165" i="62"/>
  <c r="J164" i="62"/>
  <c r="I164" i="62"/>
  <c r="H164" i="62"/>
  <c r="G164" i="62"/>
  <c r="F164" i="62"/>
  <c r="E164" i="62"/>
  <c r="D164" i="62"/>
  <c r="J163" i="62"/>
  <c r="I163" i="62"/>
  <c r="H163" i="62"/>
  <c r="G163" i="62"/>
  <c r="F163" i="62"/>
  <c r="E163" i="62"/>
  <c r="D163" i="62"/>
  <c r="J162" i="62"/>
  <c r="I162" i="62"/>
  <c r="H162" i="62"/>
  <c r="G162" i="62"/>
  <c r="F162" i="62"/>
  <c r="E162" i="62"/>
  <c r="D162" i="62"/>
  <c r="J161" i="62"/>
  <c r="I161" i="62"/>
  <c r="H161" i="62"/>
  <c r="G161" i="62"/>
  <c r="F161" i="62"/>
  <c r="E161" i="62"/>
  <c r="D161" i="62"/>
  <c r="J160" i="62"/>
  <c r="I160" i="62"/>
  <c r="H160" i="62"/>
  <c r="G160" i="62"/>
  <c r="F160" i="62"/>
  <c r="E160" i="62"/>
  <c r="D160" i="62"/>
  <c r="J159" i="62"/>
  <c r="I159" i="62"/>
  <c r="H159" i="62"/>
  <c r="G159" i="62"/>
  <c r="F159" i="62"/>
  <c r="E159" i="62"/>
  <c r="D159" i="62"/>
  <c r="J158" i="62"/>
  <c r="I158" i="62"/>
  <c r="H158" i="62"/>
  <c r="G158" i="62"/>
  <c r="F158" i="62"/>
  <c r="E158" i="62"/>
  <c r="D158" i="62"/>
  <c r="J157" i="62"/>
  <c r="I157" i="62"/>
  <c r="H157" i="62"/>
  <c r="G157" i="62"/>
  <c r="F157" i="62"/>
  <c r="E157" i="62"/>
  <c r="D157" i="62"/>
  <c r="J156" i="62"/>
  <c r="I156" i="62"/>
  <c r="H156" i="62"/>
  <c r="G156" i="62"/>
  <c r="F156" i="62"/>
  <c r="E156" i="62"/>
  <c r="D156" i="62"/>
  <c r="J155" i="62"/>
  <c r="I155" i="62"/>
  <c r="H155" i="62"/>
  <c r="G155" i="62"/>
  <c r="F155" i="62"/>
  <c r="E155" i="62"/>
  <c r="D155" i="62"/>
  <c r="J154" i="62"/>
  <c r="I154" i="62"/>
  <c r="H154" i="62"/>
  <c r="G154" i="62"/>
  <c r="F154" i="62"/>
  <c r="E154" i="62"/>
  <c r="D154" i="62"/>
  <c r="J153" i="62"/>
  <c r="I153" i="62"/>
  <c r="H153" i="62"/>
  <c r="G153" i="62"/>
  <c r="F153" i="62"/>
  <c r="E153" i="62"/>
  <c r="D153" i="62"/>
  <c r="J152" i="62"/>
  <c r="I152" i="62"/>
  <c r="H152" i="62"/>
  <c r="G152" i="62"/>
  <c r="F152" i="62"/>
  <c r="E152" i="62"/>
  <c r="D152" i="62"/>
  <c r="J151" i="62"/>
  <c r="I151" i="62"/>
  <c r="H151" i="62"/>
  <c r="G151" i="62"/>
  <c r="F151" i="62"/>
  <c r="E151" i="62"/>
  <c r="D151" i="62"/>
  <c r="J150" i="62"/>
  <c r="I150" i="62"/>
  <c r="H150" i="62"/>
  <c r="G150" i="62"/>
  <c r="F150" i="62"/>
  <c r="E150" i="62"/>
  <c r="D150" i="62"/>
  <c r="J149" i="62"/>
  <c r="I149" i="62"/>
  <c r="H149" i="62"/>
  <c r="G149" i="62"/>
  <c r="F149" i="62"/>
  <c r="E149" i="62"/>
  <c r="D149" i="62"/>
  <c r="J148" i="62"/>
  <c r="I148" i="62"/>
  <c r="H148" i="62"/>
  <c r="G148" i="62"/>
  <c r="F148" i="62"/>
  <c r="E148" i="62"/>
  <c r="D148" i="62"/>
  <c r="J147" i="62"/>
  <c r="I147" i="62"/>
  <c r="H147" i="62"/>
  <c r="G147" i="62"/>
  <c r="F147" i="62"/>
  <c r="E147" i="62"/>
  <c r="D147" i="62"/>
  <c r="J146" i="62"/>
  <c r="I146" i="62"/>
  <c r="H146" i="62"/>
  <c r="G146" i="62"/>
  <c r="F146" i="62"/>
  <c r="E146" i="62"/>
  <c r="D146" i="62"/>
  <c r="J145" i="62"/>
  <c r="I145" i="62"/>
  <c r="H145" i="62"/>
  <c r="G145" i="62"/>
  <c r="F145" i="62"/>
  <c r="E145" i="62"/>
  <c r="D145" i="62"/>
  <c r="J144" i="62"/>
  <c r="I144" i="62"/>
  <c r="H144" i="62"/>
  <c r="G144" i="62"/>
  <c r="F144" i="62"/>
  <c r="E144" i="62"/>
  <c r="D144" i="62"/>
  <c r="J143" i="62"/>
  <c r="I143" i="62"/>
  <c r="H143" i="62"/>
  <c r="G143" i="62"/>
  <c r="F143" i="62"/>
  <c r="E143" i="62"/>
  <c r="D143" i="62"/>
  <c r="J142" i="62"/>
  <c r="I142" i="62"/>
  <c r="H142" i="62"/>
  <c r="G142" i="62"/>
  <c r="F142" i="62"/>
  <c r="E142" i="62"/>
  <c r="D142" i="62"/>
  <c r="J141" i="62"/>
  <c r="I141" i="62"/>
  <c r="H141" i="62"/>
  <c r="G141" i="62"/>
  <c r="F141" i="62"/>
  <c r="E141" i="62"/>
  <c r="D141" i="62"/>
  <c r="J140" i="62"/>
  <c r="I140" i="62"/>
  <c r="H140" i="62"/>
  <c r="G140" i="62"/>
  <c r="F140" i="62"/>
  <c r="E140" i="62"/>
  <c r="D140" i="62"/>
  <c r="J139" i="62"/>
  <c r="I139" i="62"/>
  <c r="H139" i="62"/>
  <c r="G139" i="62"/>
  <c r="F139" i="62"/>
  <c r="E139" i="62"/>
  <c r="D139" i="62"/>
  <c r="J138" i="62"/>
  <c r="I138" i="62"/>
  <c r="H138" i="62"/>
  <c r="G138" i="62"/>
  <c r="F138" i="62"/>
  <c r="E138" i="62"/>
  <c r="D138" i="62"/>
  <c r="J137" i="62"/>
  <c r="I137" i="62"/>
  <c r="H137" i="62"/>
  <c r="G137" i="62"/>
  <c r="F137" i="62"/>
  <c r="E137" i="62"/>
  <c r="D137" i="62"/>
  <c r="J136" i="62"/>
  <c r="I136" i="62"/>
  <c r="H136" i="62"/>
  <c r="G136" i="62"/>
  <c r="F136" i="62"/>
  <c r="E136" i="62"/>
  <c r="D136" i="62"/>
  <c r="J135" i="62"/>
  <c r="I135" i="62"/>
  <c r="H135" i="62"/>
  <c r="G135" i="62"/>
  <c r="F135" i="62"/>
  <c r="E135" i="62"/>
  <c r="D135" i="62"/>
  <c r="J134" i="62"/>
  <c r="I134" i="62"/>
  <c r="H134" i="62"/>
  <c r="G134" i="62"/>
  <c r="F134" i="62"/>
  <c r="E134" i="62"/>
  <c r="D134" i="62"/>
  <c r="J133" i="62"/>
  <c r="I133" i="62"/>
  <c r="H133" i="62"/>
  <c r="G133" i="62"/>
  <c r="F133" i="62"/>
  <c r="E133" i="62"/>
  <c r="D133" i="62"/>
  <c r="J132" i="62"/>
  <c r="I132" i="62"/>
  <c r="H132" i="62"/>
  <c r="G132" i="62"/>
  <c r="F132" i="62"/>
  <c r="E132" i="62"/>
  <c r="D132" i="62"/>
  <c r="J131" i="62"/>
  <c r="I131" i="62"/>
  <c r="H131" i="62"/>
  <c r="G131" i="62"/>
  <c r="F131" i="62"/>
  <c r="E131" i="62"/>
  <c r="D131" i="62"/>
  <c r="J130" i="62"/>
  <c r="I130" i="62"/>
  <c r="H130" i="62"/>
  <c r="G130" i="62"/>
  <c r="F130" i="62"/>
  <c r="E130" i="62"/>
  <c r="D130" i="62"/>
  <c r="J129" i="62"/>
  <c r="I129" i="62"/>
  <c r="H129" i="62"/>
  <c r="G129" i="62"/>
  <c r="F129" i="62"/>
  <c r="E129" i="62"/>
  <c r="D129" i="62"/>
  <c r="J128" i="62"/>
  <c r="I128" i="62"/>
  <c r="H128" i="62"/>
  <c r="G128" i="62"/>
  <c r="F128" i="62"/>
  <c r="E128" i="62"/>
  <c r="D128" i="62"/>
  <c r="J127" i="62"/>
  <c r="I127" i="62"/>
  <c r="H127" i="62"/>
  <c r="G127" i="62"/>
  <c r="F127" i="62"/>
  <c r="E127" i="62"/>
  <c r="D127" i="62"/>
  <c r="J126" i="62"/>
  <c r="I126" i="62"/>
  <c r="H126" i="62"/>
  <c r="G126" i="62"/>
  <c r="F126" i="62"/>
  <c r="E126" i="62"/>
  <c r="D126" i="62"/>
  <c r="J125" i="62"/>
  <c r="I125" i="62"/>
  <c r="H125" i="62"/>
  <c r="G125" i="62"/>
  <c r="F125" i="62"/>
  <c r="E125" i="62"/>
  <c r="D125" i="62"/>
  <c r="J124" i="62"/>
  <c r="I124" i="62"/>
  <c r="H124" i="62"/>
  <c r="G124" i="62"/>
  <c r="F124" i="62"/>
  <c r="E124" i="62"/>
  <c r="D124" i="62"/>
  <c r="J123" i="62"/>
  <c r="I123" i="62"/>
  <c r="H123" i="62"/>
  <c r="G123" i="62"/>
  <c r="F123" i="62"/>
  <c r="E123" i="62"/>
  <c r="D123" i="62"/>
  <c r="J122" i="62"/>
  <c r="I122" i="62"/>
  <c r="H122" i="62"/>
  <c r="G122" i="62"/>
  <c r="F122" i="62"/>
  <c r="E122" i="62"/>
  <c r="D122" i="62"/>
  <c r="J121" i="62"/>
  <c r="I121" i="62"/>
  <c r="H121" i="62"/>
  <c r="G121" i="62"/>
  <c r="F121" i="62"/>
  <c r="E121" i="62"/>
  <c r="D121" i="62"/>
  <c r="J120" i="62"/>
  <c r="I120" i="62"/>
  <c r="H120" i="62"/>
  <c r="G120" i="62"/>
  <c r="F120" i="62"/>
  <c r="E120" i="62"/>
  <c r="D120" i="62"/>
  <c r="J119" i="62"/>
  <c r="I119" i="62"/>
  <c r="H119" i="62"/>
  <c r="G119" i="62"/>
  <c r="F119" i="62"/>
  <c r="E119" i="62"/>
  <c r="D119" i="62"/>
  <c r="J118" i="62"/>
  <c r="I118" i="62"/>
  <c r="H118" i="62"/>
  <c r="G118" i="62"/>
  <c r="F118" i="62"/>
  <c r="E118" i="62"/>
  <c r="D118" i="62"/>
  <c r="J117" i="62"/>
  <c r="I117" i="62"/>
  <c r="H117" i="62"/>
  <c r="G117" i="62"/>
  <c r="F117" i="62"/>
  <c r="E117" i="62"/>
  <c r="D117" i="62"/>
  <c r="J116" i="62"/>
  <c r="I116" i="62"/>
  <c r="H116" i="62"/>
  <c r="G116" i="62"/>
  <c r="F116" i="62"/>
  <c r="E116" i="62"/>
  <c r="D116" i="62"/>
  <c r="J115" i="62"/>
  <c r="I115" i="62"/>
  <c r="H115" i="62"/>
  <c r="G115" i="62"/>
  <c r="F115" i="62"/>
  <c r="E115" i="62"/>
  <c r="D115" i="62"/>
  <c r="J114" i="62"/>
  <c r="I114" i="62"/>
  <c r="H114" i="62"/>
  <c r="G114" i="62"/>
  <c r="F114" i="62"/>
  <c r="E114" i="62"/>
  <c r="D114" i="62"/>
  <c r="J113" i="62"/>
  <c r="I113" i="62"/>
  <c r="H113" i="62"/>
  <c r="G113" i="62"/>
  <c r="F113" i="62"/>
  <c r="E113" i="62"/>
  <c r="D113" i="62"/>
  <c r="J112" i="62"/>
  <c r="I112" i="62"/>
  <c r="H112" i="62"/>
  <c r="G112" i="62"/>
  <c r="F112" i="62"/>
  <c r="E112" i="62"/>
  <c r="D112" i="62"/>
  <c r="J111" i="62"/>
  <c r="I111" i="62"/>
  <c r="H111" i="62"/>
  <c r="G111" i="62"/>
  <c r="F111" i="62"/>
  <c r="E111" i="62"/>
  <c r="D111" i="62"/>
  <c r="J110" i="62"/>
  <c r="I110" i="62"/>
  <c r="H110" i="62"/>
  <c r="G110" i="62"/>
  <c r="F110" i="62"/>
  <c r="E110" i="62"/>
  <c r="D110" i="62"/>
  <c r="J109" i="62"/>
  <c r="I109" i="62"/>
  <c r="H109" i="62"/>
  <c r="G109" i="62"/>
  <c r="F109" i="62"/>
  <c r="E109" i="62"/>
  <c r="D109" i="62"/>
  <c r="J108" i="62"/>
  <c r="I108" i="62"/>
  <c r="H108" i="62"/>
  <c r="G108" i="62"/>
  <c r="F108" i="62"/>
  <c r="E108" i="62"/>
  <c r="D108" i="62"/>
  <c r="J107" i="62"/>
  <c r="I107" i="62"/>
  <c r="H107" i="62"/>
  <c r="G107" i="62"/>
  <c r="F107" i="62"/>
  <c r="E107" i="62"/>
  <c r="D107" i="62"/>
  <c r="J106" i="62"/>
  <c r="I106" i="62"/>
  <c r="H106" i="62"/>
  <c r="G106" i="62"/>
  <c r="F106" i="62"/>
  <c r="E106" i="62"/>
  <c r="D106" i="62"/>
  <c r="J105" i="62"/>
  <c r="I105" i="62"/>
  <c r="H105" i="62"/>
  <c r="G105" i="62"/>
  <c r="F105" i="62"/>
  <c r="E105" i="62"/>
  <c r="D105" i="62"/>
  <c r="J104" i="62"/>
  <c r="I104" i="62"/>
  <c r="H104" i="62"/>
  <c r="G104" i="62"/>
  <c r="F104" i="62"/>
  <c r="E104" i="62"/>
  <c r="D104" i="62"/>
  <c r="J103" i="62"/>
  <c r="I103" i="62"/>
  <c r="H103" i="62"/>
  <c r="G103" i="62"/>
  <c r="F103" i="62"/>
  <c r="E103" i="62"/>
  <c r="D103" i="62"/>
  <c r="J102" i="62"/>
  <c r="I102" i="62"/>
  <c r="H102" i="62"/>
  <c r="G102" i="62"/>
  <c r="F102" i="62"/>
  <c r="E102" i="62"/>
  <c r="D102" i="62"/>
  <c r="J101" i="62"/>
  <c r="I101" i="62"/>
  <c r="H101" i="62"/>
  <c r="G101" i="62"/>
  <c r="F101" i="62"/>
  <c r="E101" i="62"/>
  <c r="D101" i="62"/>
  <c r="J100" i="62"/>
  <c r="I100" i="62"/>
  <c r="H100" i="62"/>
  <c r="G100" i="62"/>
  <c r="F100" i="62"/>
  <c r="E100" i="62"/>
  <c r="D100" i="62"/>
  <c r="J99" i="62"/>
  <c r="I99" i="62"/>
  <c r="H99" i="62"/>
  <c r="G99" i="62"/>
  <c r="F99" i="62"/>
  <c r="E99" i="62"/>
  <c r="D99" i="62"/>
  <c r="J98" i="62"/>
  <c r="I98" i="62"/>
  <c r="H98" i="62"/>
  <c r="G98" i="62"/>
  <c r="F98" i="62"/>
  <c r="E98" i="62"/>
  <c r="D98" i="62"/>
  <c r="J97" i="62"/>
  <c r="I97" i="62"/>
  <c r="H97" i="62"/>
  <c r="G97" i="62"/>
  <c r="F97" i="62"/>
  <c r="E97" i="62"/>
  <c r="D97" i="62"/>
  <c r="J96" i="62"/>
  <c r="I96" i="62"/>
  <c r="H96" i="62"/>
  <c r="G96" i="62"/>
  <c r="F96" i="62"/>
  <c r="E96" i="62"/>
  <c r="D96" i="62"/>
  <c r="J95" i="62"/>
  <c r="I95" i="62"/>
  <c r="H95" i="62"/>
  <c r="G95" i="62"/>
  <c r="F95" i="62"/>
  <c r="E95" i="62"/>
  <c r="D95" i="62"/>
  <c r="J94" i="62"/>
  <c r="I94" i="62"/>
  <c r="H94" i="62"/>
  <c r="G94" i="62"/>
  <c r="F94" i="62"/>
  <c r="E94" i="62"/>
  <c r="D94" i="62"/>
  <c r="J93" i="62"/>
  <c r="I93" i="62"/>
  <c r="H93" i="62"/>
  <c r="G93" i="62"/>
  <c r="F93" i="62"/>
  <c r="E93" i="62"/>
  <c r="D93" i="62"/>
  <c r="J92" i="62"/>
  <c r="I92" i="62"/>
  <c r="H92" i="62"/>
  <c r="G92" i="62"/>
  <c r="F92" i="62"/>
  <c r="E92" i="62"/>
  <c r="D92" i="62"/>
  <c r="J91" i="62"/>
  <c r="I91" i="62"/>
  <c r="H91" i="62"/>
  <c r="G91" i="62"/>
  <c r="F91" i="62"/>
  <c r="E91" i="62"/>
  <c r="D91" i="62"/>
  <c r="J90" i="62"/>
  <c r="I90" i="62"/>
  <c r="H90" i="62"/>
  <c r="G90" i="62"/>
  <c r="F90" i="62"/>
  <c r="E90" i="62"/>
  <c r="D90" i="62"/>
  <c r="J89" i="62"/>
  <c r="I89" i="62"/>
  <c r="H89" i="62"/>
  <c r="G89" i="62"/>
  <c r="F89" i="62"/>
  <c r="E89" i="62"/>
  <c r="D89" i="62"/>
  <c r="J88" i="62"/>
  <c r="I88" i="62"/>
  <c r="H88" i="62"/>
  <c r="G88" i="62"/>
  <c r="F88" i="62"/>
  <c r="E88" i="62"/>
  <c r="D88" i="62"/>
  <c r="J87" i="62"/>
  <c r="I87" i="62"/>
  <c r="H87" i="62"/>
  <c r="G87" i="62"/>
  <c r="F87" i="62"/>
  <c r="E87" i="62"/>
  <c r="D87" i="62"/>
  <c r="J86" i="62"/>
  <c r="I86" i="62"/>
  <c r="H86" i="62"/>
  <c r="G86" i="62"/>
  <c r="F86" i="62"/>
  <c r="E86" i="62"/>
  <c r="D86" i="62"/>
  <c r="J85" i="62"/>
  <c r="I85" i="62"/>
  <c r="H85" i="62"/>
  <c r="G85" i="62"/>
  <c r="F85" i="62"/>
  <c r="E85" i="62"/>
  <c r="D85" i="62"/>
  <c r="J84" i="62"/>
  <c r="I84" i="62"/>
  <c r="H84" i="62"/>
  <c r="G84" i="62"/>
  <c r="F84" i="62"/>
  <c r="E84" i="62"/>
  <c r="D84" i="62"/>
  <c r="J83" i="62"/>
  <c r="I83" i="62"/>
  <c r="H83" i="62"/>
  <c r="G83" i="62"/>
  <c r="F83" i="62"/>
  <c r="E83" i="62"/>
  <c r="D83" i="62"/>
  <c r="J82" i="62"/>
  <c r="I82" i="62"/>
  <c r="H82" i="62"/>
  <c r="G82" i="62"/>
  <c r="F82" i="62"/>
  <c r="E82" i="62"/>
  <c r="D82" i="62"/>
  <c r="J81" i="62"/>
  <c r="I81" i="62"/>
  <c r="H81" i="62"/>
  <c r="G81" i="62"/>
  <c r="F81" i="62"/>
  <c r="E81" i="62"/>
  <c r="D81" i="62"/>
  <c r="J80" i="62"/>
  <c r="I80" i="62"/>
  <c r="H80" i="62"/>
  <c r="G80" i="62"/>
  <c r="F80" i="62"/>
  <c r="E80" i="62"/>
  <c r="D80" i="62"/>
  <c r="J79" i="62"/>
  <c r="I79" i="62"/>
  <c r="H79" i="62"/>
  <c r="G79" i="62"/>
  <c r="F79" i="62"/>
  <c r="E79" i="62"/>
  <c r="D79" i="62"/>
  <c r="J78" i="62"/>
  <c r="I78" i="62"/>
  <c r="H78" i="62"/>
  <c r="G78" i="62"/>
  <c r="F78" i="62"/>
  <c r="E78" i="62"/>
  <c r="D78" i="62"/>
  <c r="J77" i="62"/>
  <c r="I77" i="62"/>
  <c r="H77" i="62"/>
  <c r="G77" i="62"/>
  <c r="F77" i="62"/>
  <c r="E77" i="62"/>
  <c r="D77" i="62"/>
  <c r="J76" i="62"/>
  <c r="I76" i="62"/>
  <c r="H76" i="62"/>
  <c r="G76" i="62"/>
  <c r="F76" i="62"/>
  <c r="E76" i="62"/>
  <c r="D76" i="62"/>
  <c r="J75" i="62"/>
  <c r="I75" i="62"/>
  <c r="H75" i="62"/>
  <c r="G75" i="62"/>
  <c r="F75" i="62"/>
  <c r="E75" i="62"/>
  <c r="D75" i="62"/>
  <c r="J74" i="62"/>
  <c r="I74" i="62"/>
  <c r="H74" i="62"/>
  <c r="G74" i="62"/>
  <c r="F74" i="62"/>
  <c r="E74" i="62"/>
  <c r="D74" i="62"/>
  <c r="J73" i="62"/>
  <c r="I73" i="62"/>
  <c r="H73" i="62"/>
  <c r="G73" i="62"/>
  <c r="F73" i="62"/>
  <c r="E73" i="62"/>
  <c r="D73" i="62"/>
  <c r="J72" i="62"/>
  <c r="I72" i="62"/>
  <c r="H72" i="62"/>
  <c r="G72" i="62"/>
  <c r="F72" i="62"/>
  <c r="E72" i="62"/>
  <c r="D72" i="62"/>
  <c r="J71" i="62"/>
  <c r="I71" i="62"/>
  <c r="H71" i="62"/>
  <c r="G71" i="62"/>
  <c r="F71" i="62"/>
  <c r="E71" i="62"/>
  <c r="D71" i="62"/>
  <c r="J70" i="62"/>
  <c r="I70" i="62"/>
  <c r="H70" i="62"/>
  <c r="G70" i="62"/>
  <c r="F70" i="62"/>
  <c r="E70" i="62"/>
  <c r="D70" i="62"/>
  <c r="J69" i="62"/>
  <c r="I69" i="62"/>
  <c r="H69" i="62"/>
  <c r="G69" i="62"/>
  <c r="F69" i="62"/>
  <c r="E69" i="62"/>
  <c r="D69" i="62"/>
  <c r="J68" i="62"/>
  <c r="I68" i="62"/>
  <c r="H68" i="62"/>
  <c r="G68" i="62"/>
  <c r="F68" i="62"/>
  <c r="E68" i="62"/>
  <c r="D68" i="62"/>
  <c r="J67" i="62"/>
  <c r="I67" i="62"/>
  <c r="H67" i="62"/>
  <c r="G67" i="62"/>
  <c r="F67" i="62"/>
  <c r="E67" i="62"/>
  <c r="D67" i="62"/>
  <c r="J66" i="62"/>
  <c r="I66" i="62"/>
  <c r="H66" i="62"/>
  <c r="G66" i="62"/>
  <c r="F66" i="62"/>
  <c r="E66" i="62"/>
  <c r="D66" i="62"/>
  <c r="J65" i="62"/>
  <c r="I65" i="62"/>
  <c r="H65" i="62"/>
  <c r="G65" i="62"/>
  <c r="F65" i="62"/>
  <c r="E65" i="62"/>
  <c r="D65" i="62"/>
  <c r="J64" i="62"/>
  <c r="I64" i="62"/>
  <c r="H64" i="62"/>
  <c r="G64" i="62"/>
  <c r="F64" i="62"/>
  <c r="E64" i="62"/>
  <c r="D64" i="62"/>
  <c r="J63" i="62"/>
  <c r="I63" i="62"/>
  <c r="H63" i="62"/>
  <c r="G63" i="62"/>
  <c r="F63" i="62"/>
  <c r="E63" i="62"/>
  <c r="D63" i="62"/>
  <c r="J62" i="62"/>
  <c r="I62" i="62"/>
  <c r="H62" i="62"/>
  <c r="G62" i="62"/>
  <c r="F62" i="62"/>
  <c r="E62" i="62"/>
  <c r="D62" i="62"/>
  <c r="J61" i="62"/>
  <c r="I61" i="62"/>
  <c r="H61" i="62"/>
  <c r="G61" i="62"/>
  <c r="F61" i="62"/>
  <c r="E61" i="62"/>
  <c r="D61" i="62"/>
  <c r="J60" i="62"/>
  <c r="I60" i="62"/>
  <c r="H60" i="62"/>
  <c r="G60" i="62"/>
  <c r="F60" i="62"/>
  <c r="E60" i="62"/>
  <c r="D60" i="62"/>
  <c r="J59" i="62"/>
  <c r="I59" i="62"/>
  <c r="H59" i="62"/>
  <c r="G59" i="62"/>
  <c r="F59" i="62"/>
  <c r="E59" i="62"/>
  <c r="D59" i="62"/>
  <c r="J58" i="62"/>
  <c r="I58" i="62"/>
  <c r="H58" i="62"/>
  <c r="G58" i="62"/>
  <c r="F58" i="62"/>
  <c r="E58" i="62"/>
  <c r="D58" i="62"/>
  <c r="J57" i="62"/>
  <c r="I57" i="62"/>
  <c r="H57" i="62"/>
  <c r="G57" i="62"/>
  <c r="F57" i="62"/>
  <c r="E57" i="62"/>
  <c r="D57" i="62"/>
  <c r="J56" i="62"/>
  <c r="I56" i="62"/>
  <c r="H56" i="62"/>
  <c r="G56" i="62"/>
  <c r="F56" i="62"/>
  <c r="E56" i="62"/>
  <c r="D56" i="62"/>
  <c r="J55" i="62"/>
  <c r="I55" i="62"/>
  <c r="H55" i="62"/>
  <c r="G55" i="62"/>
  <c r="F55" i="62"/>
  <c r="E55" i="62"/>
  <c r="D55" i="62"/>
  <c r="J54" i="62"/>
  <c r="I54" i="62"/>
  <c r="H54" i="62"/>
  <c r="G54" i="62"/>
  <c r="F54" i="62"/>
  <c r="E54" i="62"/>
  <c r="D54" i="62"/>
  <c r="J53" i="62"/>
  <c r="I53" i="62"/>
  <c r="H53" i="62"/>
  <c r="G53" i="62"/>
  <c r="F53" i="62"/>
  <c r="E53" i="62"/>
  <c r="D53" i="62"/>
  <c r="J52" i="62"/>
  <c r="I52" i="62"/>
  <c r="H52" i="62"/>
  <c r="G52" i="62"/>
  <c r="F52" i="62"/>
  <c r="E52" i="62"/>
  <c r="D52" i="62"/>
  <c r="J51" i="62"/>
  <c r="I51" i="62"/>
  <c r="H51" i="62"/>
  <c r="G51" i="62"/>
  <c r="F51" i="62"/>
  <c r="E51" i="62"/>
  <c r="D51" i="62"/>
  <c r="J50" i="62"/>
  <c r="I50" i="62"/>
  <c r="H50" i="62"/>
  <c r="G50" i="62"/>
  <c r="F50" i="62"/>
  <c r="E50" i="62"/>
  <c r="D50" i="62"/>
  <c r="J49" i="62"/>
  <c r="I49" i="62"/>
  <c r="H49" i="62"/>
  <c r="G49" i="62"/>
  <c r="F49" i="62"/>
  <c r="E49" i="62"/>
  <c r="D49" i="62"/>
  <c r="J48" i="62"/>
  <c r="I48" i="62"/>
  <c r="H48" i="62"/>
  <c r="G48" i="62"/>
  <c r="F48" i="62"/>
  <c r="E48" i="62"/>
  <c r="D48" i="62"/>
  <c r="J47" i="62"/>
  <c r="I47" i="62"/>
  <c r="H47" i="62"/>
  <c r="G47" i="62"/>
  <c r="F47" i="62"/>
  <c r="E47" i="62"/>
  <c r="D47" i="62"/>
  <c r="J46" i="62"/>
  <c r="I46" i="62"/>
  <c r="H46" i="62"/>
  <c r="G46" i="62"/>
  <c r="F46" i="62"/>
  <c r="E46" i="62"/>
  <c r="D46" i="62"/>
  <c r="J45" i="62"/>
  <c r="I45" i="62"/>
  <c r="H45" i="62"/>
  <c r="G45" i="62"/>
  <c r="F45" i="62"/>
  <c r="E45" i="62"/>
  <c r="D45" i="62"/>
  <c r="J44" i="62"/>
  <c r="I44" i="62"/>
  <c r="H44" i="62"/>
  <c r="G44" i="62"/>
  <c r="F44" i="62"/>
  <c r="E44" i="62"/>
  <c r="D44" i="62"/>
  <c r="J43" i="62"/>
  <c r="I43" i="62"/>
  <c r="H43" i="62"/>
  <c r="G43" i="62"/>
  <c r="F43" i="62"/>
  <c r="E43" i="62"/>
  <c r="D43" i="62"/>
  <c r="J42" i="62"/>
  <c r="I42" i="62"/>
  <c r="H42" i="62"/>
  <c r="G42" i="62"/>
  <c r="F42" i="62"/>
  <c r="E42" i="62"/>
  <c r="D42" i="62"/>
  <c r="J41" i="62"/>
  <c r="I41" i="62"/>
  <c r="H41" i="62"/>
  <c r="G41" i="62"/>
  <c r="F41" i="62"/>
  <c r="E41" i="62"/>
  <c r="D41" i="62"/>
  <c r="J40" i="62"/>
  <c r="I40" i="62"/>
  <c r="H40" i="62"/>
  <c r="G40" i="62"/>
  <c r="F40" i="62"/>
  <c r="E40" i="62"/>
  <c r="D40" i="62"/>
  <c r="J39" i="62"/>
  <c r="I39" i="62"/>
  <c r="H39" i="62"/>
  <c r="G39" i="62"/>
  <c r="F39" i="62"/>
  <c r="E39" i="62"/>
  <c r="D39" i="62"/>
  <c r="J38" i="62"/>
  <c r="I38" i="62"/>
  <c r="H38" i="62"/>
  <c r="G38" i="62"/>
  <c r="F38" i="62"/>
  <c r="E38" i="62"/>
  <c r="D38" i="62"/>
  <c r="J37" i="62"/>
  <c r="I37" i="62"/>
  <c r="H37" i="62"/>
  <c r="G37" i="62"/>
  <c r="F37" i="62"/>
  <c r="E37" i="62"/>
  <c r="D37" i="62"/>
  <c r="J36" i="62"/>
  <c r="I36" i="62"/>
  <c r="H36" i="62"/>
  <c r="G36" i="62"/>
  <c r="F36" i="62"/>
  <c r="E36" i="62"/>
  <c r="D36" i="62"/>
  <c r="J35" i="62"/>
  <c r="I35" i="62"/>
  <c r="H35" i="62"/>
  <c r="G35" i="62"/>
  <c r="F35" i="62"/>
  <c r="E35" i="62"/>
  <c r="D35" i="62"/>
  <c r="J34" i="62"/>
  <c r="I34" i="62"/>
  <c r="H34" i="62"/>
  <c r="G34" i="62"/>
  <c r="F34" i="62"/>
  <c r="E34" i="62"/>
  <c r="D34" i="62"/>
  <c r="J33" i="62"/>
  <c r="I33" i="62"/>
  <c r="H33" i="62"/>
  <c r="G33" i="62"/>
  <c r="F33" i="62"/>
  <c r="E33" i="62"/>
  <c r="D33" i="62"/>
  <c r="J32" i="62"/>
  <c r="I32" i="62"/>
  <c r="H32" i="62"/>
  <c r="G32" i="62"/>
  <c r="F32" i="62"/>
  <c r="E32" i="62"/>
  <c r="D32" i="62"/>
  <c r="J31" i="62"/>
  <c r="I31" i="62"/>
  <c r="H31" i="62"/>
  <c r="G31" i="62"/>
  <c r="F31" i="62"/>
  <c r="E31" i="62"/>
  <c r="D31" i="62"/>
  <c r="J30" i="62"/>
  <c r="I30" i="62"/>
  <c r="H30" i="62"/>
  <c r="G30" i="62"/>
  <c r="F30" i="62"/>
  <c r="E30" i="62"/>
  <c r="D30" i="62"/>
  <c r="J29" i="62"/>
  <c r="I29" i="62"/>
  <c r="H29" i="62"/>
  <c r="G29" i="62"/>
  <c r="F29" i="62"/>
  <c r="E29" i="62"/>
  <c r="D29" i="62"/>
  <c r="J28" i="62"/>
  <c r="I28" i="62"/>
  <c r="H28" i="62"/>
  <c r="G28" i="62"/>
  <c r="F28" i="62"/>
  <c r="E28" i="62"/>
  <c r="D28" i="62"/>
  <c r="J27" i="62"/>
  <c r="I27" i="62"/>
  <c r="H27" i="62"/>
  <c r="G27" i="62"/>
  <c r="F27" i="62"/>
  <c r="E27" i="62"/>
  <c r="D27" i="62"/>
  <c r="J26" i="62"/>
  <c r="I26" i="62"/>
  <c r="H26" i="62"/>
  <c r="G26" i="62"/>
  <c r="F26" i="62"/>
  <c r="E26" i="62"/>
  <c r="D26" i="62"/>
  <c r="J25" i="62"/>
  <c r="I25" i="62"/>
  <c r="H25" i="62"/>
  <c r="G25" i="62"/>
  <c r="F25" i="62"/>
  <c r="E25" i="62"/>
  <c r="D25" i="62"/>
  <c r="J24" i="62"/>
  <c r="I24" i="62"/>
  <c r="H24" i="62"/>
  <c r="G24" i="62"/>
  <c r="F24" i="62"/>
  <c r="E24" i="62"/>
  <c r="D24" i="62"/>
  <c r="J23" i="62"/>
  <c r="I23" i="62"/>
  <c r="H23" i="62"/>
  <c r="G23" i="62"/>
  <c r="F23" i="62"/>
  <c r="E23" i="62"/>
  <c r="D23" i="62"/>
  <c r="J22" i="62"/>
  <c r="I22" i="62"/>
  <c r="H22" i="62"/>
  <c r="G22" i="62"/>
  <c r="F22" i="62"/>
  <c r="E22" i="62"/>
  <c r="D22" i="62"/>
  <c r="J21" i="62"/>
  <c r="I21" i="62"/>
  <c r="H21" i="62"/>
  <c r="G21" i="62"/>
  <c r="F21" i="62"/>
  <c r="E21" i="62"/>
  <c r="D21" i="62"/>
  <c r="J20" i="62"/>
  <c r="I20" i="62"/>
  <c r="H20" i="62"/>
  <c r="G20" i="62"/>
  <c r="F20" i="62"/>
  <c r="E20" i="62"/>
  <c r="D20" i="62"/>
  <c r="J19" i="62"/>
  <c r="I19" i="62"/>
  <c r="H19" i="62"/>
  <c r="G19" i="62"/>
  <c r="F19" i="62"/>
  <c r="E19" i="62"/>
  <c r="D19" i="62"/>
  <c r="J18" i="62"/>
  <c r="I18" i="62"/>
  <c r="H18" i="62"/>
  <c r="G18" i="62"/>
  <c r="F18" i="62"/>
  <c r="E18" i="62"/>
  <c r="D18" i="62"/>
  <c r="J17" i="62"/>
  <c r="I17" i="62"/>
  <c r="H17" i="62"/>
  <c r="G17" i="62"/>
  <c r="F17" i="62"/>
  <c r="E17" i="62"/>
  <c r="D17" i="62"/>
  <c r="J16" i="62"/>
  <c r="I16" i="62"/>
  <c r="H16" i="62"/>
  <c r="G16" i="62"/>
  <c r="F16" i="62"/>
  <c r="E16" i="62"/>
  <c r="D16" i="62"/>
  <c r="J15" i="62"/>
  <c r="I15" i="62"/>
  <c r="H15" i="62"/>
  <c r="G15" i="62"/>
  <c r="F15" i="62"/>
  <c r="E15" i="62"/>
  <c r="D15" i="62"/>
  <c r="J14" i="62"/>
  <c r="I14" i="62"/>
  <c r="H14" i="62"/>
  <c r="G14" i="62"/>
  <c r="F14" i="62"/>
  <c r="E14" i="62"/>
  <c r="D14" i="62"/>
  <c r="J13" i="62"/>
  <c r="I13" i="62"/>
  <c r="H13" i="62"/>
  <c r="G13" i="62"/>
  <c r="F13" i="62"/>
  <c r="E13" i="62"/>
  <c r="D13" i="62"/>
  <c r="J12" i="62"/>
  <c r="I12" i="62"/>
  <c r="H12" i="62"/>
  <c r="G12" i="62"/>
  <c r="F12" i="62"/>
  <c r="E12" i="62"/>
  <c r="D12" i="62"/>
  <c r="J11" i="62"/>
  <c r="I11" i="62"/>
  <c r="H11" i="62"/>
  <c r="G11" i="62"/>
  <c r="F11" i="62"/>
  <c r="E11" i="62"/>
  <c r="D11" i="62"/>
  <c r="J10" i="62"/>
  <c r="I10" i="62"/>
  <c r="H10" i="62"/>
  <c r="G10" i="62"/>
  <c r="F10" i="62"/>
  <c r="E10" i="62"/>
  <c r="D10" i="62"/>
  <c r="J9" i="62"/>
  <c r="I9" i="62"/>
  <c r="H9" i="62"/>
  <c r="G9" i="62"/>
  <c r="F9" i="62"/>
  <c r="E9" i="62"/>
  <c r="D9" i="62"/>
  <c r="J8" i="62"/>
  <c r="I8" i="62"/>
  <c r="H8" i="62"/>
  <c r="G8" i="62"/>
  <c r="F8" i="62"/>
  <c r="E8" i="62"/>
  <c r="D8" i="62"/>
  <c r="J7" i="62"/>
  <c r="I7" i="62"/>
  <c r="H7" i="62"/>
  <c r="G7" i="62"/>
  <c r="F7" i="62"/>
  <c r="E7" i="62"/>
  <c r="D7" i="62"/>
  <c r="J6" i="62"/>
  <c r="I6" i="62"/>
  <c r="H6" i="62"/>
  <c r="G6" i="62"/>
  <c r="F6" i="62"/>
  <c r="E6" i="62"/>
  <c r="D6" i="62"/>
  <c r="J5" i="62"/>
  <c r="I5" i="62"/>
  <c r="H5" i="62"/>
  <c r="G5" i="62"/>
  <c r="F5" i="62"/>
  <c r="E5" i="62"/>
  <c r="D5" i="62"/>
  <c r="S225" i="62"/>
  <c r="K225" i="62"/>
  <c r="C225" i="62"/>
  <c r="S224" i="62"/>
  <c r="K224" i="62"/>
  <c r="C224" i="62"/>
  <c r="S223" i="62"/>
  <c r="K223" i="62"/>
  <c r="C223" i="62"/>
  <c r="U232" i="62" l="1"/>
  <c r="T234" i="62"/>
  <c r="T236" i="62"/>
  <c r="U234" i="62"/>
  <c r="U236" i="62"/>
  <c r="T233" i="62"/>
  <c r="T235" i="62"/>
  <c r="U233" i="62"/>
  <c r="U235" i="62"/>
  <c r="T232" i="62"/>
  <c r="T230" i="62"/>
  <c r="U229" i="62"/>
  <c r="U231" i="62"/>
  <c r="T229" i="62"/>
  <c r="T231" i="62"/>
  <c r="U230" i="62"/>
  <c r="T227" i="62"/>
  <c r="U226" i="62"/>
  <c r="U228" i="62"/>
  <c r="T226" i="62"/>
  <c r="T228" i="62"/>
  <c r="U227" i="62"/>
  <c r="U225" i="62"/>
  <c r="T225" i="62"/>
  <c r="U224" i="62"/>
  <c r="T224" i="62"/>
  <c r="T223" i="62"/>
  <c r="U223" i="62"/>
  <c r="S222" i="62"/>
  <c r="S221" i="62"/>
  <c r="S220" i="62"/>
  <c r="K222" i="62"/>
  <c r="K221" i="62"/>
  <c r="K220" i="62"/>
  <c r="C219" i="62"/>
  <c r="C222" i="62"/>
  <c r="C221" i="62"/>
  <c r="C220" i="62"/>
  <c r="S219" i="62"/>
  <c r="K219" i="62"/>
  <c r="S218" i="62"/>
  <c r="S217" i="62"/>
  <c r="S216" i="62"/>
  <c r="S215" i="62"/>
  <c r="S214" i="62"/>
  <c r="S213" i="62"/>
  <c r="S212" i="62"/>
  <c r="S211" i="62"/>
  <c r="S210" i="62"/>
  <c r="S209" i="62"/>
  <c r="S208" i="62"/>
  <c r="S207" i="62"/>
  <c r="S206" i="62"/>
  <c r="S205" i="62"/>
  <c r="S204" i="62"/>
  <c r="S203" i="62"/>
  <c r="S202" i="62"/>
  <c r="S201" i="62"/>
  <c r="S200" i="62"/>
  <c r="S199" i="62"/>
  <c r="S198" i="62"/>
  <c r="S197" i="62"/>
  <c r="S196" i="62"/>
  <c r="S195" i="62"/>
  <c r="S194" i="62"/>
  <c r="S193" i="62"/>
  <c r="S192" i="62"/>
  <c r="S191" i="62"/>
  <c r="S190" i="62"/>
  <c r="S189" i="62"/>
  <c r="S188" i="62"/>
  <c r="S187" i="62"/>
  <c r="S186" i="62"/>
  <c r="S185" i="62"/>
  <c r="S184" i="62"/>
  <c r="S183" i="62"/>
  <c r="S182" i="62"/>
  <c r="S181" i="62"/>
  <c r="S180" i="62"/>
  <c r="S179" i="62"/>
  <c r="S178" i="62"/>
  <c r="S177" i="62"/>
  <c r="S176" i="62"/>
  <c r="S175" i="62"/>
  <c r="S174" i="62"/>
  <c r="S173" i="62"/>
  <c r="S172" i="62"/>
  <c r="S171" i="62"/>
  <c r="S170" i="62"/>
  <c r="S169" i="62"/>
  <c r="S168" i="62"/>
  <c r="S167" i="62"/>
  <c r="S166" i="62"/>
  <c r="S165" i="62"/>
  <c r="S164" i="62"/>
  <c r="S163" i="62"/>
  <c r="S162" i="62"/>
  <c r="S161" i="62"/>
  <c r="S160" i="62"/>
  <c r="S159" i="62"/>
  <c r="S158" i="62"/>
  <c r="S157" i="62"/>
  <c r="S156" i="62"/>
  <c r="S155" i="62"/>
  <c r="S154" i="62"/>
  <c r="S153" i="62"/>
  <c r="S152" i="62"/>
  <c r="S151" i="62"/>
  <c r="S150" i="62"/>
  <c r="S149" i="62"/>
  <c r="S148" i="62"/>
  <c r="S147" i="62"/>
  <c r="S146" i="62"/>
  <c r="S145" i="62"/>
  <c r="S144" i="62"/>
  <c r="S143" i="62"/>
  <c r="S142" i="62"/>
  <c r="S141" i="62"/>
  <c r="S140" i="62"/>
  <c r="S139" i="62"/>
  <c r="S138" i="62"/>
  <c r="S137" i="62"/>
  <c r="S136" i="62"/>
  <c r="S135" i="62"/>
  <c r="S134" i="62"/>
  <c r="S133" i="62"/>
  <c r="S132" i="62"/>
  <c r="S131" i="62"/>
  <c r="S130" i="62"/>
  <c r="S129" i="62"/>
  <c r="S128" i="62"/>
  <c r="S127" i="62"/>
  <c r="S126" i="62"/>
  <c r="S125" i="62"/>
  <c r="S124" i="62"/>
  <c r="S123" i="62"/>
  <c r="S122" i="62"/>
  <c r="S121" i="62"/>
  <c r="S120" i="62"/>
  <c r="S119" i="62"/>
  <c r="S118" i="62"/>
  <c r="S117" i="62"/>
  <c r="S116" i="62"/>
  <c r="S115" i="62"/>
  <c r="S114" i="62"/>
  <c r="S113" i="62"/>
  <c r="S112" i="62"/>
  <c r="S111" i="62"/>
  <c r="S110" i="62"/>
  <c r="S109" i="62"/>
  <c r="S108" i="62"/>
  <c r="S107" i="62"/>
  <c r="S106" i="62"/>
  <c r="S105" i="62"/>
  <c r="S104" i="62"/>
  <c r="S103" i="62"/>
  <c r="S102" i="62"/>
  <c r="S101" i="62"/>
  <c r="S100" i="62"/>
  <c r="S99" i="62"/>
  <c r="S98" i="62"/>
  <c r="S97" i="62"/>
  <c r="S96" i="62"/>
  <c r="S95" i="62"/>
  <c r="S94" i="62"/>
  <c r="S93" i="62"/>
  <c r="S92" i="62"/>
  <c r="S91" i="62"/>
  <c r="S90" i="62"/>
  <c r="S89" i="62"/>
  <c r="S88" i="62"/>
  <c r="S87" i="62"/>
  <c r="S86" i="62"/>
  <c r="S85" i="62"/>
  <c r="S84" i="62"/>
  <c r="S83" i="62"/>
  <c r="S82" i="62"/>
  <c r="S81" i="62"/>
  <c r="S80" i="62"/>
  <c r="S79" i="62"/>
  <c r="S78" i="62"/>
  <c r="S77" i="62"/>
  <c r="S76" i="62"/>
  <c r="S75" i="62"/>
  <c r="S74" i="62"/>
  <c r="S73" i="62"/>
  <c r="S72" i="62"/>
  <c r="S71" i="62"/>
  <c r="S70" i="62"/>
  <c r="S69" i="62"/>
  <c r="S68" i="62"/>
  <c r="S67" i="62"/>
  <c r="S66" i="62"/>
  <c r="S65" i="62"/>
  <c r="S64" i="62"/>
  <c r="S63" i="62"/>
  <c r="S62" i="62"/>
  <c r="S61" i="62"/>
  <c r="S60" i="62"/>
  <c r="S59" i="62"/>
  <c r="S58" i="62"/>
  <c r="S57" i="62"/>
  <c r="S56" i="62"/>
  <c r="S55" i="62"/>
  <c r="S54" i="62"/>
  <c r="S53" i="62"/>
  <c r="S52" i="62"/>
  <c r="S51" i="62"/>
  <c r="S50" i="62"/>
  <c r="S49" i="62"/>
  <c r="S48" i="62"/>
  <c r="S47" i="62"/>
  <c r="S46" i="62"/>
  <c r="S45" i="62"/>
  <c r="S44" i="62"/>
  <c r="S43" i="62"/>
  <c r="S42" i="62"/>
  <c r="S41" i="62"/>
  <c r="S40" i="62"/>
  <c r="S39" i="62"/>
  <c r="S38" i="62"/>
  <c r="S37" i="62"/>
  <c r="S36" i="62"/>
  <c r="S35" i="62"/>
  <c r="S34" i="62"/>
  <c r="S33" i="62"/>
  <c r="S32" i="62"/>
  <c r="S31" i="62"/>
  <c r="S30" i="62"/>
  <c r="S29" i="62"/>
  <c r="S28" i="62"/>
  <c r="S27" i="62"/>
  <c r="S26" i="62"/>
  <c r="S25" i="62"/>
  <c r="S24" i="62"/>
  <c r="S23" i="62"/>
  <c r="S22" i="62"/>
  <c r="S21" i="62"/>
  <c r="S20" i="62"/>
  <c r="S19" i="62"/>
  <c r="S18" i="62"/>
  <c r="S17" i="62"/>
  <c r="S16" i="62"/>
  <c r="S15" i="62"/>
  <c r="S14" i="62"/>
  <c r="S13" i="62"/>
  <c r="S12" i="62"/>
  <c r="S11" i="62"/>
  <c r="S10" i="62"/>
  <c r="S9" i="62"/>
  <c r="S8" i="62"/>
  <c r="S7" i="62"/>
  <c r="S6" i="62"/>
  <c r="S5" i="62"/>
  <c r="K218" i="62"/>
  <c r="K217" i="62"/>
  <c r="K216" i="62"/>
  <c r="K215" i="62"/>
  <c r="K214" i="62"/>
  <c r="K213" i="62"/>
  <c r="K212" i="62"/>
  <c r="K211" i="62"/>
  <c r="K210" i="62"/>
  <c r="K209" i="62"/>
  <c r="K208" i="62"/>
  <c r="K207" i="62"/>
  <c r="K206" i="62"/>
  <c r="K205" i="62"/>
  <c r="K204" i="62"/>
  <c r="K203" i="62"/>
  <c r="K202" i="62"/>
  <c r="K201" i="62"/>
  <c r="K200" i="62"/>
  <c r="K199" i="62"/>
  <c r="K198" i="62"/>
  <c r="K197" i="62"/>
  <c r="K196" i="62"/>
  <c r="K195" i="62"/>
  <c r="K194" i="62"/>
  <c r="K193" i="62"/>
  <c r="K192" i="62"/>
  <c r="K191" i="62"/>
  <c r="K190" i="62"/>
  <c r="K189" i="62"/>
  <c r="K188" i="62"/>
  <c r="K187" i="62"/>
  <c r="K186" i="62"/>
  <c r="K185" i="62"/>
  <c r="K184" i="62"/>
  <c r="K183" i="62"/>
  <c r="K182" i="62"/>
  <c r="K181" i="62"/>
  <c r="K180" i="62"/>
  <c r="K179" i="62"/>
  <c r="K178" i="62"/>
  <c r="K177" i="62"/>
  <c r="K176" i="62"/>
  <c r="K175" i="62"/>
  <c r="K174" i="62"/>
  <c r="K173" i="62"/>
  <c r="K172" i="62"/>
  <c r="K171" i="62"/>
  <c r="K170" i="62"/>
  <c r="K169" i="62"/>
  <c r="K168" i="62"/>
  <c r="K167" i="62"/>
  <c r="K166" i="62"/>
  <c r="K165" i="62"/>
  <c r="K164" i="62"/>
  <c r="K163" i="62"/>
  <c r="K162" i="62"/>
  <c r="K161" i="62"/>
  <c r="K160" i="62"/>
  <c r="K159" i="62"/>
  <c r="K158" i="62"/>
  <c r="K157" i="62"/>
  <c r="K156" i="62"/>
  <c r="K155" i="62"/>
  <c r="K154" i="62"/>
  <c r="K153" i="62"/>
  <c r="K152" i="62"/>
  <c r="K151" i="62"/>
  <c r="K150" i="62"/>
  <c r="K149" i="62"/>
  <c r="K148" i="62"/>
  <c r="K147" i="62"/>
  <c r="K146" i="62"/>
  <c r="K145" i="62"/>
  <c r="K144" i="62"/>
  <c r="K143" i="62"/>
  <c r="K142" i="62"/>
  <c r="K141" i="62"/>
  <c r="K140" i="62"/>
  <c r="K139" i="62"/>
  <c r="K138" i="62"/>
  <c r="K137" i="62"/>
  <c r="K136" i="62"/>
  <c r="K135" i="62"/>
  <c r="K134" i="62"/>
  <c r="K133" i="62"/>
  <c r="K132" i="62"/>
  <c r="K131" i="62"/>
  <c r="K130" i="62"/>
  <c r="K129" i="62"/>
  <c r="K128" i="62"/>
  <c r="K127" i="62"/>
  <c r="K126" i="62"/>
  <c r="K125" i="62"/>
  <c r="K124" i="62"/>
  <c r="K123" i="62"/>
  <c r="K122" i="62"/>
  <c r="K121" i="62"/>
  <c r="K120" i="62"/>
  <c r="K119" i="62"/>
  <c r="K118" i="62"/>
  <c r="K117" i="62"/>
  <c r="K116" i="62"/>
  <c r="K115" i="62"/>
  <c r="K114" i="62"/>
  <c r="K113" i="62"/>
  <c r="K112" i="62"/>
  <c r="K111" i="62"/>
  <c r="K110" i="62"/>
  <c r="K109" i="62"/>
  <c r="K108" i="62"/>
  <c r="K107" i="62"/>
  <c r="K106" i="62"/>
  <c r="K105" i="62"/>
  <c r="K104" i="62"/>
  <c r="K103" i="62"/>
  <c r="K102" i="62"/>
  <c r="K101" i="62"/>
  <c r="K100" i="62"/>
  <c r="K99" i="62"/>
  <c r="K98" i="62"/>
  <c r="K97" i="62"/>
  <c r="K96" i="62"/>
  <c r="K95" i="62"/>
  <c r="K94" i="62"/>
  <c r="K93" i="62"/>
  <c r="K92" i="62"/>
  <c r="K91" i="62"/>
  <c r="K90" i="62"/>
  <c r="K89" i="62"/>
  <c r="K88" i="62"/>
  <c r="K87" i="62"/>
  <c r="K86" i="62"/>
  <c r="K85" i="62"/>
  <c r="K84" i="62"/>
  <c r="K83" i="62"/>
  <c r="K82" i="62"/>
  <c r="K81" i="62"/>
  <c r="K80" i="62"/>
  <c r="K79" i="62"/>
  <c r="K78" i="62"/>
  <c r="K77" i="62"/>
  <c r="K76" i="62"/>
  <c r="K75" i="62"/>
  <c r="K74" i="62"/>
  <c r="K73" i="62"/>
  <c r="K72" i="62"/>
  <c r="K71" i="62"/>
  <c r="K70" i="62"/>
  <c r="K69" i="62"/>
  <c r="K68" i="62"/>
  <c r="K67" i="62"/>
  <c r="K66" i="62"/>
  <c r="K65" i="62"/>
  <c r="K64" i="62"/>
  <c r="K63" i="62"/>
  <c r="K62" i="62"/>
  <c r="K61" i="62"/>
  <c r="K60" i="62"/>
  <c r="K59" i="62"/>
  <c r="K58" i="62"/>
  <c r="K57" i="62"/>
  <c r="K56" i="62"/>
  <c r="K55" i="62"/>
  <c r="K54" i="62"/>
  <c r="K53" i="62"/>
  <c r="K52" i="62"/>
  <c r="K51" i="62"/>
  <c r="K50" i="62"/>
  <c r="K49" i="62"/>
  <c r="K48" i="62"/>
  <c r="K47" i="62"/>
  <c r="K46" i="62"/>
  <c r="K45" i="62"/>
  <c r="K44" i="62"/>
  <c r="K43" i="62"/>
  <c r="K42" i="62"/>
  <c r="K41" i="62"/>
  <c r="K40" i="62"/>
  <c r="K39" i="62"/>
  <c r="K38" i="62"/>
  <c r="K37" i="62"/>
  <c r="K36" i="62"/>
  <c r="K35" i="62"/>
  <c r="K34" i="62"/>
  <c r="K33" i="62"/>
  <c r="K32" i="62"/>
  <c r="K31" i="62"/>
  <c r="K30" i="62"/>
  <c r="K29" i="62"/>
  <c r="K28" i="62"/>
  <c r="K27" i="62"/>
  <c r="K26" i="62"/>
  <c r="K25" i="62"/>
  <c r="K24" i="62"/>
  <c r="K23" i="62"/>
  <c r="K22" i="62"/>
  <c r="K21" i="62"/>
  <c r="K20" i="62"/>
  <c r="K19" i="62"/>
  <c r="K18" i="62"/>
  <c r="K17" i="62"/>
  <c r="K16" i="62"/>
  <c r="K15" i="62"/>
  <c r="K14" i="62"/>
  <c r="K13" i="62"/>
  <c r="K12" i="62"/>
  <c r="K11" i="62"/>
  <c r="K10" i="62"/>
  <c r="K9" i="62"/>
  <c r="K8" i="62"/>
  <c r="K7" i="62"/>
  <c r="K6" i="62"/>
  <c r="K5" i="62"/>
  <c r="C218" i="62"/>
  <c r="C217" i="62"/>
  <c r="C216" i="62"/>
  <c r="C215" i="62"/>
  <c r="C214" i="62"/>
  <c r="C213" i="62"/>
  <c r="C212" i="62"/>
  <c r="C211" i="62"/>
  <c r="C210" i="62"/>
  <c r="C209" i="62"/>
  <c r="C208" i="62"/>
  <c r="C207" i="62"/>
  <c r="C206" i="62"/>
  <c r="C205" i="62"/>
  <c r="C204" i="62"/>
  <c r="C203" i="62"/>
  <c r="C202" i="62"/>
  <c r="C201" i="62"/>
  <c r="C200" i="62"/>
  <c r="C199" i="62"/>
  <c r="C198" i="62"/>
  <c r="C197" i="62"/>
  <c r="C196" i="62"/>
  <c r="C195" i="62"/>
  <c r="C194" i="62"/>
  <c r="C193" i="62"/>
  <c r="C192" i="62"/>
  <c r="C191" i="62"/>
  <c r="C190" i="62"/>
  <c r="C189" i="62"/>
  <c r="C188" i="62"/>
  <c r="C187" i="62"/>
  <c r="C186" i="62"/>
  <c r="C185" i="62"/>
  <c r="C184" i="62"/>
  <c r="C183" i="62"/>
  <c r="C182" i="62"/>
  <c r="C181" i="62"/>
  <c r="C180" i="62"/>
  <c r="C179" i="62"/>
  <c r="C178" i="62"/>
  <c r="C177" i="62"/>
  <c r="C176" i="62"/>
  <c r="C175" i="62"/>
  <c r="C174" i="62"/>
  <c r="C173" i="62"/>
  <c r="C172" i="62"/>
  <c r="C171" i="62"/>
  <c r="C170" i="62"/>
  <c r="C169" i="62"/>
  <c r="C168" i="62"/>
  <c r="C167" i="62"/>
  <c r="C166" i="62"/>
  <c r="C165" i="62"/>
  <c r="C164" i="62"/>
  <c r="C163" i="62"/>
  <c r="C162" i="62"/>
  <c r="C161" i="62"/>
  <c r="C160" i="62"/>
  <c r="C159" i="62"/>
  <c r="C158" i="62"/>
  <c r="C157" i="62"/>
  <c r="C156" i="62"/>
  <c r="C155" i="62"/>
  <c r="C154" i="62"/>
  <c r="C153" i="62"/>
  <c r="C152" i="62"/>
  <c r="C151" i="62"/>
  <c r="C150" i="62"/>
  <c r="C149" i="62"/>
  <c r="C148" i="62"/>
  <c r="C147" i="62"/>
  <c r="C146" i="62"/>
  <c r="C145" i="62"/>
  <c r="C144" i="62"/>
  <c r="C143" i="62"/>
  <c r="C142" i="62"/>
  <c r="C141" i="62"/>
  <c r="C140" i="62"/>
  <c r="C139" i="62"/>
  <c r="C138" i="62"/>
  <c r="C137" i="62"/>
  <c r="C136" i="62"/>
  <c r="C135" i="62"/>
  <c r="C134" i="62"/>
  <c r="C133" i="62"/>
  <c r="C132" i="62"/>
  <c r="C131" i="62"/>
  <c r="C130" i="62"/>
  <c r="C129" i="62"/>
  <c r="C128" i="62"/>
  <c r="C127" i="62"/>
  <c r="C126" i="62"/>
  <c r="C125" i="62"/>
  <c r="C124" i="62"/>
  <c r="C123" i="62"/>
  <c r="C122" i="62"/>
  <c r="C121" i="62"/>
  <c r="C120" i="62"/>
  <c r="C119" i="62"/>
  <c r="C118" i="62"/>
  <c r="C117" i="62"/>
  <c r="C116" i="62"/>
  <c r="C115" i="62"/>
  <c r="C114" i="62"/>
  <c r="C113" i="62"/>
  <c r="C112" i="62"/>
  <c r="C111" i="62"/>
  <c r="C110" i="62"/>
  <c r="C109" i="62"/>
  <c r="C108" i="62"/>
  <c r="C107" i="62"/>
  <c r="C106" i="62"/>
  <c r="C105" i="62"/>
  <c r="C104" i="62"/>
  <c r="C103" i="62"/>
  <c r="C102" i="62"/>
  <c r="C101" i="62"/>
  <c r="C100" i="62"/>
  <c r="C99" i="62"/>
  <c r="C98" i="62"/>
  <c r="C97" i="62"/>
  <c r="C96" i="62"/>
  <c r="C95" i="62"/>
  <c r="C94" i="62"/>
  <c r="C93" i="62"/>
  <c r="C92" i="62"/>
  <c r="C91" i="62"/>
  <c r="C90" i="62"/>
  <c r="C89" i="62"/>
  <c r="C88" i="62"/>
  <c r="C87" i="62"/>
  <c r="C86" i="62"/>
  <c r="C85" i="62"/>
  <c r="C84" i="62"/>
  <c r="C83" i="62"/>
  <c r="C82" i="62"/>
  <c r="C81" i="62"/>
  <c r="C80" i="62"/>
  <c r="C79" i="62"/>
  <c r="C78" i="62"/>
  <c r="C77" i="62"/>
  <c r="C76" i="62"/>
  <c r="C75" i="62"/>
  <c r="C74" i="62"/>
  <c r="C73" i="62"/>
  <c r="C72" i="62"/>
  <c r="C71" i="62"/>
  <c r="C70" i="62"/>
  <c r="C69" i="62"/>
  <c r="C68" i="62"/>
  <c r="C67" i="62"/>
  <c r="C66" i="62"/>
  <c r="C65" i="62"/>
  <c r="C64" i="62"/>
  <c r="C63" i="62"/>
  <c r="C62" i="62"/>
  <c r="C61" i="62"/>
  <c r="C60" i="62"/>
  <c r="C59" i="62"/>
  <c r="C58" i="62"/>
  <c r="C57" i="62"/>
  <c r="C56" i="62"/>
  <c r="C55" i="62"/>
  <c r="C54" i="62"/>
  <c r="C53" i="62"/>
  <c r="C52" i="62"/>
  <c r="C51" i="62"/>
  <c r="C50" i="62"/>
  <c r="C49" i="62"/>
  <c r="C48" i="62"/>
  <c r="C47" i="62"/>
  <c r="C46" i="62"/>
  <c r="C45" i="62"/>
  <c r="C44" i="62"/>
  <c r="C43" i="62"/>
  <c r="C42" i="62"/>
  <c r="C41" i="62"/>
  <c r="C40" i="62"/>
  <c r="C39" i="62"/>
  <c r="C38" i="62"/>
  <c r="C37" i="62"/>
  <c r="C36" i="62"/>
  <c r="C35" i="62"/>
  <c r="C34" i="62"/>
  <c r="C33" i="62"/>
  <c r="C32" i="62"/>
  <c r="C31" i="62"/>
  <c r="C30" i="62"/>
  <c r="C29" i="62"/>
  <c r="C28" i="62"/>
  <c r="C27" i="62"/>
  <c r="C26" i="62"/>
  <c r="C25" i="62"/>
  <c r="C24" i="62"/>
  <c r="C23" i="62"/>
  <c r="C22" i="62"/>
  <c r="C21" i="62"/>
  <c r="C20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G70" i="75" a="1"/>
  <c r="G70" i="75" s="1"/>
  <c r="G69" i="75" a="1"/>
  <c r="G69" i="75" s="1"/>
  <c r="G68" i="75" a="1"/>
  <c r="G68" i="75" s="1"/>
  <c r="G67" i="75" a="1"/>
  <c r="G67" i="75" s="1"/>
  <c r="G66" i="75" a="1"/>
  <c r="G66" i="75" s="1"/>
  <c r="G65" i="75" a="1"/>
  <c r="G65" i="75" s="1"/>
  <c r="G64" i="75" a="1"/>
  <c r="G64" i="75" s="1"/>
  <c r="G63" i="75" a="1"/>
  <c r="G63" i="75" s="1"/>
  <c r="G62" i="75" a="1"/>
  <c r="G62" i="75" s="1"/>
  <c r="G61" i="75" a="1"/>
  <c r="G61" i="75" s="1"/>
  <c r="G60" i="75" a="1"/>
  <c r="G60" i="75" s="1"/>
  <c r="G59" i="75" a="1"/>
  <c r="G59" i="75" s="1"/>
  <c r="G58" i="75" a="1"/>
  <c r="G58" i="75" s="1"/>
  <c r="G57" i="75" a="1"/>
  <c r="G57" i="75" s="1"/>
  <c r="G56" i="75" a="1"/>
  <c r="G56" i="75" s="1"/>
  <c r="G55" i="75" a="1"/>
  <c r="G55" i="75" s="1"/>
  <c r="G54" i="75" a="1"/>
  <c r="G54" i="75" s="1"/>
  <c r="G53" i="75" a="1"/>
  <c r="G53" i="75" s="1"/>
  <c r="G52" i="75" a="1"/>
  <c r="G52" i="75" s="1"/>
  <c r="G51" i="75" a="1"/>
  <c r="G51" i="75" s="1"/>
  <c r="G50" i="75" a="1"/>
  <c r="G50" i="75" s="1"/>
  <c r="G49" i="75" a="1"/>
  <c r="G49" i="75" s="1"/>
  <c r="G48" i="75" a="1"/>
  <c r="G48" i="75" s="1"/>
  <c r="G47" i="75" a="1"/>
  <c r="G47" i="75" s="1"/>
  <c r="G46" i="75" a="1"/>
  <c r="G46" i="75" s="1"/>
  <c r="G45" i="75" a="1"/>
  <c r="G45" i="75" s="1"/>
  <c r="G44" i="75" a="1"/>
  <c r="G44" i="75" s="1"/>
  <c r="G43" i="75" a="1"/>
  <c r="G43" i="75" s="1"/>
  <c r="G42" i="75" a="1"/>
  <c r="G42" i="75" s="1"/>
  <c r="G41" i="75" a="1"/>
  <c r="G41" i="75" s="1"/>
  <c r="G40" i="75" a="1"/>
  <c r="G40" i="75" s="1"/>
  <c r="G39" i="75" a="1"/>
  <c r="G39" i="75" s="1"/>
  <c r="G38" i="75" a="1"/>
  <c r="G38" i="75" s="1"/>
  <c r="G37" i="75" a="1"/>
  <c r="G37" i="75" s="1"/>
  <c r="G36" i="75" a="1"/>
  <c r="G36" i="75" s="1"/>
  <c r="G35" i="75" a="1"/>
  <c r="G35" i="75" s="1"/>
  <c r="G34" i="75" a="1"/>
  <c r="G34" i="75" s="1"/>
  <c r="G33" i="75" a="1"/>
  <c r="G33" i="75" s="1"/>
  <c r="G32" i="75" a="1"/>
  <c r="G32" i="75" s="1"/>
  <c r="G31" i="75" a="1"/>
  <c r="G31" i="75" s="1"/>
  <c r="G30" i="75" a="1"/>
  <c r="G30" i="75" s="1"/>
  <c r="G29" i="75" a="1"/>
  <c r="G29" i="75" s="1"/>
  <c r="G28" i="75" a="1"/>
  <c r="G28" i="75" s="1"/>
  <c r="G27" i="75" a="1"/>
  <c r="G27" i="75" s="1"/>
  <c r="G26" i="75" a="1"/>
  <c r="G26" i="75" s="1"/>
  <c r="G25" i="75" a="1"/>
  <c r="G25" i="75" s="1"/>
  <c r="G24" i="75" a="1"/>
  <c r="G24" i="75" s="1"/>
  <c r="G23" i="75" a="1"/>
  <c r="G23" i="75" s="1"/>
  <c r="G22" i="75" a="1"/>
  <c r="G22" i="75" s="1"/>
  <c r="G21" i="75" a="1"/>
  <c r="G21" i="75" s="1"/>
  <c r="G20" i="75" a="1"/>
  <c r="G20" i="75" s="1"/>
  <c r="G19" i="75" a="1"/>
  <c r="G19" i="75" s="1"/>
  <c r="G18" i="75" a="1"/>
  <c r="G18" i="75" s="1"/>
  <c r="G17" i="75" a="1"/>
  <c r="G17" i="75" s="1"/>
  <c r="G16" i="75" a="1"/>
  <c r="G16" i="75" s="1"/>
  <c r="G15" i="75" a="1"/>
  <c r="G15" i="75" s="1"/>
  <c r="G14" i="75" a="1"/>
  <c r="G14" i="75" s="1"/>
  <c r="G13" i="75" a="1"/>
  <c r="G13" i="75" s="1"/>
  <c r="G12" i="75" a="1"/>
  <c r="G12" i="75" s="1"/>
  <c r="G11" i="75" a="1"/>
  <c r="G11" i="75" s="1"/>
  <c r="G10" i="75" a="1"/>
  <c r="G10" i="75" s="1"/>
  <c r="G9" i="75" a="1"/>
  <c r="G9" i="75" s="1"/>
  <c r="G8" i="75" a="1"/>
  <c r="G8" i="75" s="1"/>
  <c r="G7" i="75" a="1"/>
  <c r="G7" i="75" s="1"/>
  <c r="G6" i="75" a="1"/>
  <c r="G6" i="75" s="1"/>
  <c r="G5" i="75" a="1"/>
  <c r="G5" i="75" s="1"/>
  <c r="G4" i="75" a="1"/>
  <c r="G4" i="75" s="1"/>
  <c r="E5" i="89" l="1" a="1"/>
  <c r="E5" i="89" s="1"/>
  <c r="T221" i="62"/>
  <c r="U220" i="62"/>
  <c r="U222" i="62"/>
  <c r="T220" i="62"/>
  <c r="T222" i="62"/>
  <c r="U221" i="62"/>
  <c r="U219" i="62"/>
  <c r="T219" i="62"/>
  <c r="T216" i="62" l="1"/>
  <c r="U216" i="62"/>
  <c r="U218" i="62"/>
  <c r="T218" i="62"/>
  <c r="T215" i="62"/>
  <c r="T217" i="62"/>
  <c r="U215" i="62"/>
  <c r="U217" i="62"/>
  <c r="U209" i="62" l="1"/>
  <c r="U211" i="62"/>
  <c r="T209" i="62"/>
  <c r="U210" i="62"/>
  <c r="U212" i="62"/>
  <c r="U213" i="62"/>
  <c r="T208" i="62"/>
  <c r="U214" i="62"/>
  <c r="T210" i="62"/>
  <c r="T211" i="62"/>
  <c r="T212" i="62"/>
  <c r="T213" i="62"/>
  <c r="U208" i="62"/>
  <c r="T214" i="62"/>
  <c r="T206" i="62"/>
  <c r="U205" i="62"/>
  <c r="U207" i="62"/>
  <c r="T205" i="62"/>
  <c r="T207" i="62"/>
  <c r="U206" i="62"/>
  <c r="T203" i="62" l="1"/>
  <c r="U202" i="62"/>
  <c r="U204" i="62"/>
  <c r="T202" i="62"/>
  <c r="U203" i="62"/>
  <c r="T204" i="62"/>
  <c r="U201" i="62"/>
  <c r="U199" i="62"/>
  <c r="T200" i="62"/>
  <c r="T199" i="62"/>
  <c r="T201" i="62"/>
  <c r="U200" i="62"/>
  <c r="T197" i="62" l="1"/>
  <c r="U196" i="62"/>
  <c r="U198" i="62"/>
  <c r="T196" i="62"/>
  <c r="T198" i="62"/>
  <c r="U197" i="62"/>
  <c r="T188" i="62"/>
  <c r="T190" i="62"/>
  <c r="T192" i="62"/>
  <c r="T194" i="62"/>
  <c r="U188" i="62"/>
  <c r="U190" i="62"/>
  <c r="U192" i="62"/>
  <c r="U194" i="62"/>
  <c r="T189" i="62"/>
  <c r="T191" i="62"/>
  <c r="T193" i="62"/>
  <c r="T195" i="62"/>
  <c r="U189" i="62"/>
  <c r="U191" i="62"/>
  <c r="U193" i="62"/>
  <c r="U195" i="62"/>
  <c r="U187" i="62"/>
  <c r="T187" i="62"/>
  <c r="T184" i="62" l="1"/>
  <c r="T186" i="62"/>
  <c r="U184" i="62"/>
  <c r="U186" i="62"/>
  <c r="T183" i="62"/>
  <c r="T185" i="62"/>
  <c r="U183" i="62"/>
  <c r="U185" i="62"/>
  <c r="U179" i="62" l="1"/>
  <c r="U175" i="62"/>
  <c r="U181" i="62"/>
  <c r="U177" i="62"/>
  <c r="T175" i="62"/>
  <c r="T177" i="62"/>
  <c r="T179" i="62"/>
  <c r="T181" i="62"/>
  <c r="T174" i="62"/>
  <c r="T176" i="62"/>
  <c r="T178" i="62"/>
  <c r="T180" i="62"/>
  <c r="U174" i="62"/>
  <c r="U176" i="62"/>
  <c r="U178" i="62"/>
  <c r="U180" i="62"/>
  <c r="U182" i="62"/>
  <c r="T182" i="62"/>
  <c r="T173" i="62" l="1"/>
  <c r="U173" i="62"/>
  <c r="T163" i="62"/>
  <c r="T165" i="62"/>
  <c r="T167" i="62"/>
  <c r="T169" i="62"/>
  <c r="T171" i="62"/>
  <c r="U162" i="62"/>
  <c r="U164" i="62"/>
  <c r="U166" i="62"/>
  <c r="U168" i="62"/>
  <c r="U170" i="62"/>
  <c r="U172" i="62"/>
  <c r="T162" i="62"/>
  <c r="T164" i="62"/>
  <c r="T166" i="62"/>
  <c r="T168" i="62"/>
  <c r="T170" i="62"/>
  <c r="T172" i="62"/>
  <c r="U163" i="62"/>
  <c r="U165" i="62"/>
  <c r="U167" i="62"/>
  <c r="U169" i="62"/>
  <c r="U171" i="62"/>
  <c r="U161" i="62" l="1"/>
  <c r="T161" i="62"/>
  <c r="T160" i="62" l="1"/>
  <c r="U160" i="62"/>
  <c r="T159" i="62"/>
  <c r="U159" i="62"/>
  <c r="U158" i="62" l="1"/>
  <c r="T158" i="62"/>
  <c r="T153" i="62" l="1"/>
  <c r="T155" i="62"/>
  <c r="T157" i="62"/>
  <c r="U153" i="62"/>
  <c r="U155" i="62"/>
  <c r="U157" i="62"/>
  <c r="T152" i="62"/>
  <c r="T154" i="62"/>
  <c r="T156" i="62"/>
  <c r="U152" i="62"/>
  <c r="U154" i="62"/>
  <c r="U156" i="62"/>
  <c r="U151" i="62"/>
  <c r="U149" i="62"/>
  <c r="T149" i="62" l="1"/>
  <c r="T150" i="62"/>
  <c r="U150" i="62"/>
  <c r="T151" i="62"/>
  <c r="U148" i="62" l="1"/>
  <c r="T148" i="62"/>
  <c r="U147" i="62" l="1"/>
  <c r="T147" i="62"/>
  <c r="U146" i="62" l="1"/>
  <c r="T146" i="62"/>
  <c r="U145" i="62" l="1"/>
  <c r="U144" i="62"/>
  <c r="U143" i="62"/>
  <c r="U142" i="62"/>
  <c r="U141" i="62"/>
  <c r="U140" i="62"/>
  <c r="U139" i="62"/>
  <c r="U138" i="62"/>
  <c r="U137" i="62"/>
  <c r="U136" i="62"/>
  <c r="U135" i="62"/>
  <c r="U134" i="62"/>
  <c r="U133" i="62"/>
  <c r="U132" i="62"/>
  <c r="U131" i="62"/>
  <c r="U130" i="62"/>
  <c r="U129" i="62"/>
  <c r="U128" i="62"/>
  <c r="U127" i="62"/>
  <c r="U126" i="62"/>
  <c r="U125" i="62"/>
  <c r="U124" i="62"/>
  <c r="U123" i="62"/>
  <c r="U122" i="62"/>
  <c r="U121" i="62"/>
  <c r="U120" i="62"/>
  <c r="U119" i="62"/>
  <c r="U118" i="62"/>
  <c r="U117" i="62"/>
  <c r="U116" i="62"/>
  <c r="U115" i="62"/>
  <c r="U114" i="62"/>
  <c r="U113" i="62"/>
  <c r="U112" i="62"/>
  <c r="U111" i="62"/>
  <c r="U110" i="62"/>
  <c r="U109" i="62"/>
  <c r="U108" i="62"/>
  <c r="U107" i="62"/>
  <c r="U106" i="62"/>
  <c r="U105" i="62"/>
  <c r="U104" i="62"/>
  <c r="U103" i="62"/>
  <c r="U102" i="62"/>
  <c r="U101" i="62"/>
  <c r="U100" i="62"/>
  <c r="U99" i="62"/>
  <c r="U98" i="62"/>
  <c r="U97" i="62"/>
  <c r="U96" i="62"/>
  <c r="U95" i="62"/>
  <c r="U94" i="62"/>
  <c r="U93" i="62"/>
  <c r="U92" i="62"/>
  <c r="U91" i="62"/>
  <c r="U90" i="62"/>
  <c r="U89" i="62"/>
  <c r="U88" i="62"/>
  <c r="U87" i="62"/>
  <c r="U86" i="62"/>
  <c r="U85" i="62"/>
  <c r="U84" i="62"/>
  <c r="U83" i="62"/>
  <c r="U82" i="62"/>
  <c r="U81" i="62"/>
  <c r="U80" i="62"/>
  <c r="U79" i="62"/>
  <c r="U78" i="62"/>
  <c r="U77" i="62"/>
  <c r="U76" i="62"/>
  <c r="U75" i="62"/>
  <c r="U74" i="62"/>
  <c r="U73" i="62"/>
  <c r="U72" i="62"/>
  <c r="U71" i="62"/>
  <c r="U70" i="62"/>
  <c r="U69" i="62"/>
  <c r="U68" i="62"/>
  <c r="U67" i="62"/>
  <c r="U66" i="62"/>
  <c r="U65" i="62"/>
  <c r="U64" i="62"/>
  <c r="U63" i="62"/>
  <c r="U62" i="62"/>
  <c r="U61" i="62"/>
  <c r="U60" i="62"/>
  <c r="U59" i="62"/>
  <c r="U58" i="62"/>
  <c r="U57" i="62"/>
  <c r="U56" i="62"/>
  <c r="U55" i="62"/>
  <c r="U54" i="62"/>
  <c r="U53" i="62"/>
  <c r="U52" i="62"/>
  <c r="U51" i="62"/>
  <c r="U50" i="62"/>
  <c r="U49" i="62"/>
  <c r="U48" i="62"/>
  <c r="U47" i="62"/>
  <c r="U46" i="62"/>
  <c r="U45" i="62"/>
  <c r="U44" i="62"/>
  <c r="U43" i="62"/>
  <c r="U42" i="62"/>
  <c r="U41" i="62"/>
  <c r="U40" i="62"/>
  <c r="U39" i="62"/>
  <c r="U38" i="62"/>
  <c r="U37" i="62"/>
  <c r="U36" i="62"/>
  <c r="U35" i="62"/>
  <c r="U34" i="62"/>
  <c r="U33" i="62"/>
  <c r="U32" i="62"/>
  <c r="U31" i="62"/>
  <c r="U30" i="62"/>
  <c r="U29" i="62"/>
  <c r="U28" i="62"/>
  <c r="U27" i="62"/>
  <c r="U26" i="62"/>
  <c r="U25" i="62"/>
  <c r="U24" i="62"/>
  <c r="U23" i="62"/>
  <c r="U22" i="62"/>
  <c r="U21" i="62"/>
  <c r="U20" i="62"/>
  <c r="U19" i="62"/>
  <c r="U18" i="62"/>
  <c r="U17" i="62"/>
  <c r="U16" i="62"/>
  <c r="U15" i="62"/>
  <c r="U14" i="62"/>
  <c r="U13" i="62"/>
  <c r="U12" i="62"/>
  <c r="U11" i="62"/>
  <c r="U10" i="62"/>
  <c r="U9" i="62"/>
  <c r="U8" i="62"/>
  <c r="U7" i="62"/>
  <c r="U6" i="62"/>
  <c r="T145" i="62"/>
  <c r="T144" i="62"/>
  <c r="T143" i="62"/>
  <c r="T142" i="62"/>
  <c r="T141" i="62"/>
  <c r="T140" i="62"/>
  <c r="T139" i="62"/>
  <c r="T138" i="62"/>
  <c r="T137" i="62"/>
  <c r="T136" i="62"/>
  <c r="T135" i="62"/>
  <c r="T134" i="62"/>
  <c r="T133" i="62"/>
  <c r="T132" i="62"/>
  <c r="T131" i="62"/>
  <c r="T130" i="62"/>
  <c r="T129" i="62"/>
  <c r="T128" i="62"/>
  <c r="T127" i="62"/>
  <c r="T126" i="62"/>
  <c r="T125" i="62"/>
  <c r="T124" i="62"/>
  <c r="T123" i="62"/>
  <c r="T122" i="62"/>
  <c r="T121" i="62"/>
  <c r="T120" i="62"/>
  <c r="T119" i="62"/>
  <c r="T118" i="62"/>
  <c r="T117" i="62"/>
  <c r="T116" i="62"/>
  <c r="T115" i="62"/>
  <c r="T114" i="62"/>
  <c r="T113" i="62"/>
  <c r="T112" i="62"/>
  <c r="T111" i="62"/>
  <c r="T110" i="62"/>
  <c r="T109" i="62"/>
  <c r="T108" i="62"/>
  <c r="T107" i="62"/>
  <c r="T106" i="62"/>
  <c r="T105" i="62"/>
  <c r="T104" i="62"/>
  <c r="T103" i="62"/>
  <c r="T102" i="62"/>
  <c r="T101" i="62"/>
  <c r="T100" i="62"/>
  <c r="T99" i="62"/>
  <c r="T98" i="62"/>
  <c r="T97" i="62"/>
  <c r="T96" i="62"/>
  <c r="T95" i="62"/>
  <c r="T94" i="62"/>
  <c r="T93" i="62"/>
  <c r="T92" i="62"/>
  <c r="T91" i="62"/>
  <c r="T90" i="62"/>
  <c r="T89" i="62"/>
  <c r="T88" i="62"/>
  <c r="T87" i="62"/>
  <c r="T86" i="62"/>
  <c r="T85" i="62"/>
  <c r="T84" i="62"/>
  <c r="T83" i="62"/>
  <c r="T82" i="62"/>
  <c r="T81" i="62"/>
  <c r="T80" i="62"/>
  <c r="T79" i="62"/>
  <c r="T78" i="62"/>
  <c r="T77" i="62"/>
  <c r="T76" i="62"/>
  <c r="T75" i="62"/>
  <c r="T74" i="62"/>
  <c r="T73" i="62"/>
  <c r="T72" i="62"/>
  <c r="T71" i="62"/>
  <c r="T70" i="62"/>
  <c r="T69" i="62"/>
  <c r="T68" i="62"/>
  <c r="T67" i="62"/>
  <c r="T66" i="62"/>
  <c r="T65" i="62"/>
  <c r="T64" i="62"/>
  <c r="T63" i="62"/>
  <c r="T62" i="62"/>
  <c r="T61" i="62"/>
  <c r="T60" i="62"/>
  <c r="T59" i="62"/>
  <c r="T58" i="62"/>
  <c r="T57" i="62"/>
  <c r="T56" i="62"/>
  <c r="T55" i="62"/>
  <c r="T54" i="62"/>
  <c r="T53" i="62"/>
  <c r="T52" i="62"/>
  <c r="T51" i="62"/>
  <c r="T50" i="62"/>
  <c r="T49" i="62"/>
  <c r="T48" i="62"/>
  <c r="T47" i="62"/>
  <c r="T46" i="62"/>
  <c r="T45" i="62"/>
  <c r="T44" i="62"/>
  <c r="T43" i="62"/>
  <c r="T42" i="62"/>
  <c r="T41" i="62"/>
  <c r="T40" i="62"/>
  <c r="T39" i="62"/>
  <c r="T38" i="62"/>
  <c r="T37" i="62"/>
  <c r="T36" i="62"/>
  <c r="T35" i="62"/>
  <c r="T34" i="62"/>
  <c r="T33" i="62"/>
  <c r="T32" i="62"/>
  <c r="T31" i="62"/>
  <c r="T30" i="62"/>
  <c r="T29" i="62"/>
  <c r="T28" i="62"/>
  <c r="T27" i="62"/>
  <c r="T26" i="62"/>
  <c r="T25" i="62"/>
  <c r="T24" i="62"/>
  <c r="T23" i="62"/>
  <c r="T22" i="62"/>
  <c r="T21" i="62"/>
  <c r="T20" i="62"/>
  <c r="T19" i="62"/>
  <c r="T18" i="62"/>
  <c r="T17" i="62"/>
  <c r="T16" i="62"/>
  <c r="T15" i="62"/>
  <c r="T14" i="62"/>
  <c r="T13" i="62"/>
  <c r="T12" i="62"/>
  <c r="T11" i="62"/>
  <c r="T10" i="62"/>
  <c r="T9" i="62"/>
  <c r="T8" i="62"/>
  <c r="T7" i="62"/>
  <c r="T6" i="62"/>
  <c r="S2" i="62" l="1"/>
  <c r="K2" i="62"/>
  <c r="C2" i="62"/>
  <c r="H2" i="62" l="1"/>
  <c r="L2" i="62"/>
  <c r="M2" i="62"/>
  <c r="N2" i="62"/>
  <c r="O2" i="62"/>
  <c r="P2" i="62"/>
  <c r="D2" i="62"/>
  <c r="Q2" i="62"/>
  <c r="G2" i="62"/>
  <c r="E2" i="62"/>
  <c r="R2" i="62"/>
  <c r="F2" i="62"/>
  <c r="U5" i="62"/>
  <c r="U2" i="62" s="1"/>
  <c r="J2" i="62" l="1"/>
  <c r="T5" i="62"/>
  <c r="T2" i="62" s="1"/>
  <c r="I2" i="6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<sst xmlns="http://schemas.openxmlformats.org/spreadsheetml/2006/main" count="5749" uniqueCount="906">
  <si>
    <t>Transaction Class</t>
  </si>
  <si>
    <t>Total Amount</t>
  </si>
  <si>
    <t>Tax amount</t>
  </si>
  <si>
    <t>Open Balance Accounted EUR</t>
  </si>
  <si>
    <t>Open Balance Accounted DFB</t>
  </si>
  <si>
    <t>day</t>
  </si>
  <si>
    <t>Fark</t>
  </si>
  <si>
    <t>Güvenlik_ESB</t>
  </si>
  <si>
    <t>1018</t>
  </si>
  <si>
    <t>TAV GAZİPAŞA ALANYA HAVALİMANI İŞLETMECİLİĞİ A.Ş.</t>
  </si>
  <si>
    <t>009-120-SARIYER-25779</t>
  </si>
  <si>
    <t>TRY</t>
  </si>
  <si>
    <t>TAV Güvenlik BU</t>
  </si>
  <si>
    <t>SEVKIU</t>
  </si>
  <si>
    <t>009.1200505010.000000.005.000000.000000.000000.0000.00.00.00</t>
  </si>
  <si>
    <t>1200505010</t>
  </si>
  <si>
    <t>Güvenlik_IST</t>
  </si>
  <si>
    <t>BTA UNLU MAMÜLLER GIDA ÜRETİM SAN.ve TİC.A.Ş.</t>
  </si>
  <si>
    <t>MILVEST AKARYAKIT FİNANS VE DIŞ TİC.A.Ş.SARL</t>
  </si>
  <si>
    <t>USD</t>
  </si>
  <si>
    <t>009.1201005005.000000.000.000000.000000.000000.0000.00.00.00</t>
  </si>
  <si>
    <t>1201005005</t>
  </si>
  <si>
    <t>1015</t>
  </si>
  <si>
    <t>SERA YAPI END.VE TİC.A.Ş.</t>
  </si>
  <si>
    <t>009-120-BEŞİKTAŞ-161507</t>
  </si>
  <si>
    <t>009.1200505015.000000.904.000000.000000.000000.0000.00.00.00</t>
  </si>
  <si>
    <t>1200505015</t>
  </si>
  <si>
    <t>BEBEK TURİZM İNŞAAT TİCARET A.Ş.</t>
  </si>
  <si>
    <t>009.1200505005.000000.000.000000.000000.000000.0000.00.00.00</t>
  </si>
  <si>
    <t>1200505005</t>
  </si>
  <si>
    <t>Güvenlik_IZM</t>
  </si>
  <si>
    <t>292029</t>
  </si>
  <si>
    <t>NORTHSTAR DENİZ ARAÇLARI ÜRETİMİ A.Ş.</t>
  </si>
  <si>
    <t>İZMİR</t>
  </si>
  <si>
    <t>TÜRK HAVA YOLLARI A.O.</t>
  </si>
  <si>
    <t>Ucak Güvenlik_IZM</t>
  </si>
  <si>
    <t>TRANSAVIA FRANCE SAS</t>
  </si>
  <si>
    <t>EUR</t>
  </si>
  <si>
    <t>Ucak Güvenlik_ESB</t>
  </si>
  <si>
    <t>1280</t>
  </si>
  <si>
    <t>SKYLINE HAVACILIK VE SAVUNMA SANAYİ TİC. A.Ş.</t>
  </si>
  <si>
    <t>ANKARA</t>
  </si>
  <si>
    <t>Ucak Güvenlik_IST</t>
  </si>
  <si>
    <t>PETROL OFİSİ A.Ş.</t>
  </si>
  <si>
    <t>99014</t>
  </si>
  <si>
    <t>FLORYA EKŞİNAR KONAKLARI VE İŞYERİ BİNASI SİTE YÖNETİMİ</t>
  </si>
  <si>
    <t>İSTANBUL</t>
  </si>
  <si>
    <t>1418</t>
  </si>
  <si>
    <t>FMV IŞIK ÜNİVERSİTESİ</t>
  </si>
  <si>
    <t>009-120-ŞİLE-253847</t>
  </si>
  <si>
    <t>1304</t>
  </si>
  <si>
    <t>PFİZER PFE İLAÇLARI AŞ.</t>
  </si>
  <si>
    <t>009-120-BEŞİKTAŞ-75532</t>
  </si>
  <si>
    <t>TAV YATIRIM HOLDİNG A.Ş.</t>
  </si>
  <si>
    <t>FULYA SAĞLIK TESİSLERİ A.Ş.</t>
  </si>
  <si>
    <t>Silah Tasima_IST</t>
  </si>
  <si>
    <t>AIR ALGERIA</t>
  </si>
  <si>
    <t>SUUDİ ARABİSTAN HAVAYOLLARI</t>
  </si>
  <si>
    <t>BEZMİALEM VAKIF ÜNİVERSİTESİ TIP FAKÜLTESİ SAĞLIK UYG.VE ARAŞ.MERK.HASTANESİ</t>
  </si>
  <si>
    <t>1373</t>
  </si>
  <si>
    <t>ELCA KOZMETİK LTD.ŞTİ.</t>
  </si>
  <si>
    <t>009-120-BEŞİKTAŞ-227885</t>
  </si>
  <si>
    <t>HAVAALANLARI YER HİZ. A.Ş.</t>
  </si>
  <si>
    <t>TAV TEPE AKFEN YATIRIM İNŞ.VE İŞLT.A.Ş.</t>
  </si>
  <si>
    <t>498031</t>
  </si>
  <si>
    <t>TAV-SERA ANKARA ADİ ORTAKLIĞI</t>
  </si>
  <si>
    <t>009.1200505015.000000.937.000000.000000.000000.0000.00.00.00</t>
  </si>
  <si>
    <t>1035</t>
  </si>
  <si>
    <t>TAV MİLAS BODRUM TERMİNAL İŞL.A.Ş.</t>
  </si>
  <si>
    <t>009-120-SARIYER-178430</t>
  </si>
  <si>
    <t>009.1200505010.000000.004.000000.000000.000000.0000.00.00.00</t>
  </si>
  <si>
    <t>1353</t>
  </si>
  <si>
    <t>009-120-MASLAK-220512</t>
  </si>
  <si>
    <t>198017</t>
  </si>
  <si>
    <t>FEDEX EXPRESS TURKEY TAŞIMACILIK VE TİC.LTD.ŞTİ.</t>
  </si>
  <si>
    <t>1369</t>
  </si>
  <si>
    <t>İTOB ORGANİZE SANAYİ BÖLGESİ</t>
  </si>
  <si>
    <t>SİNPAŞ GYO AYDOS COUNTRY TOPLU YAPI SİTESİ</t>
  </si>
  <si>
    <t>SEBA İNŞAAT A.Ş.</t>
  </si>
  <si>
    <t>MAYA GAYRİMENKUL GELİŞTİRME A.Ş.</t>
  </si>
  <si>
    <t>T.C. DEMİROĞLU BİLİM ÜNİVERSİTESİ</t>
  </si>
  <si>
    <t>SİTE TURİZM TİCARET İNŞAAT VE SANAYİ A.Ş.</t>
  </si>
  <si>
    <t>1442</t>
  </si>
  <si>
    <t>IMPERİUM NO 1 RESİDENCE BİNA YÖNETİCİLİĞİ</t>
  </si>
  <si>
    <t>009-120-KAĞITHANE-259995</t>
  </si>
  <si>
    <t>384027</t>
  </si>
  <si>
    <t>FİNANSKENT SİTE YÖNETİMİ</t>
  </si>
  <si>
    <t>1298</t>
  </si>
  <si>
    <t>DHL WORLDWIDE EXPRESS TAŞ.TİC.A.Ş.</t>
  </si>
  <si>
    <t>009-120-BAĞCILAR-134328</t>
  </si>
  <si>
    <t>Genel Fatura</t>
  </si>
  <si>
    <t>1436</t>
  </si>
  <si>
    <t>POLYAK EYNEZ ENERJİ ÜRETİM MADENCİLİK SAN. VE TİC. A.Ş.</t>
  </si>
  <si>
    <t>BELGIAN IMMIGRATION OFFICE</t>
  </si>
  <si>
    <t>762070</t>
  </si>
  <si>
    <t>AJET HAVA TAŞIMACILIĞI A.Ş.</t>
  </si>
  <si>
    <t>320031</t>
  </si>
  <si>
    <t>METROPOL EREN YÖNETİMİ</t>
  </si>
  <si>
    <t>BEZMİALEM VAKIF ÜNİ.AĞIZ VE DİŞ SAĞLIĞI UYG.VE ARŞ.MERKEZİ</t>
  </si>
  <si>
    <t>BEZMİALEM VAKIF ÜNİVERSİTESİ</t>
  </si>
  <si>
    <t>FLORENCE NIGHTINGALE TIP MERKEZİ A.Ş.</t>
  </si>
  <si>
    <t>264027</t>
  </si>
  <si>
    <t>EREN ENERJİ ELEKTRİK ÜRETİM A.Ş.</t>
  </si>
  <si>
    <t>009.1200505005.090030.000.093082.000000.009003.0000.00.00.00</t>
  </si>
  <si>
    <t>ANTALYA</t>
  </si>
  <si>
    <t>1160</t>
  </si>
  <si>
    <t>PEGASUS HAVA TAŞIMACILIĞI A.Ş.</t>
  </si>
  <si>
    <t>009-120-PENDİK-140923</t>
  </si>
  <si>
    <t>TAV ÖZEL GÜVENLİK PERSONEL DİĞER</t>
  </si>
  <si>
    <t>MAYDEMIR</t>
  </si>
  <si>
    <t>743112</t>
  </si>
  <si>
    <t>AEROSER ENTEGRE YÖNETİM VE DESTEK HİZMETLERİ A.Ş.</t>
  </si>
  <si>
    <t>009.1200505010.000000.018.000000.000000.000000.0000.00.00.00</t>
  </si>
  <si>
    <t>TAV AKADEMİ EĞİTİM VE DAN.HİZ.A.Ş.</t>
  </si>
  <si>
    <t>BOTİM İŞLETME YÖNETİM VE TİCARET A.Ş.</t>
  </si>
  <si>
    <t>KODA BİLİŞİM SANAYİ VE TİCARET A.Ş.</t>
  </si>
  <si>
    <t>1426</t>
  </si>
  <si>
    <t>MEDİFEMA ÖZEL SĞLIK HİZ.İNŞ.TUR.SAN.VE TİC.A.Ş.</t>
  </si>
  <si>
    <t>009-120-TORBALI-255265</t>
  </si>
  <si>
    <t>1398</t>
  </si>
  <si>
    <t>ÖZEL ATAKENT KOLEJ EĞİTİM YAYIN BASIM HİZ.TİC.VE SAN.A.Ş.</t>
  </si>
  <si>
    <t>009-120-ÇANKAYA-245974</t>
  </si>
  <si>
    <t>GALATAPORT İSTANBUL LİMAN İŞLETMECİLİĞİ VE YATIRIMLARI A.Ş.</t>
  </si>
  <si>
    <t>1382</t>
  </si>
  <si>
    <t>INTERGLOBE AVIATION LTD.JANPATH/NEW DELHI</t>
  </si>
  <si>
    <t>DEBATEKS TEKSTİL SAN.VE DIŞ TİC.LTD.ŞTİ.</t>
  </si>
  <si>
    <t>AEROSEC ÖZEL GÜVENLİK HİZMETLERİ A.Ş.</t>
  </si>
  <si>
    <t>Aktarım-2021</t>
  </si>
  <si>
    <t>SYSADMIN</t>
  </si>
  <si>
    <t>ATLASJET HAVACILIK A.Ş.</t>
  </si>
  <si>
    <t>ROSE MARİNE TOPLU YAPILARI YÖNETİMİ</t>
  </si>
  <si>
    <t>S-EYL-23-39</t>
  </si>
  <si>
    <t>S-KAS-22-69</t>
  </si>
  <si>
    <t>PHOENIX TOURS TURİZM SEYAHAT DAN.İTH.İHR.TİC.VE SAN.LTD.ŞTİ.</t>
  </si>
  <si>
    <t>TAV ÖZEL GÜVENLİK PERSONEL EĞİTİM</t>
  </si>
  <si>
    <t>S-ŞUB-23-29</t>
  </si>
  <si>
    <t>TAV EGE TERMİNAL YAT.YAP.VE İŞL.A.Ş.</t>
  </si>
  <si>
    <t>TEM-20-71</t>
  </si>
  <si>
    <t>1381</t>
  </si>
  <si>
    <t>GÖKSU DAMLA TEKSTİL KONFEKSİYON SAN.VE TİC.LTD.ŞTİ.</t>
  </si>
  <si>
    <t>009-120-BERGAMA-236940</t>
  </si>
  <si>
    <t>TAV HAVALİMANLARI HOLDİNG A.Ş.</t>
  </si>
  <si>
    <t>TAV ESENBOĞA YATIRIM YAPIM VE İŞLETME A.Ş.</t>
  </si>
  <si>
    <t>TAV İSTANBUL TERMİNAL İŞLETMECİLİĞİ A.Ş.</t>
  </si>
  <si>
    <t>Type</t>
  </si>
  <si>
    <t>CORTEX HAVACILIK VE TUR.TİC.A.Ş.</t>
  </si>
  <si>
    <t>UĞUR METAL ELEKTRONİK GERİ DÖNÜŞÜM A.Ş.</t>
  </si>
  <si>
    <t>Invoice Currency Code</t>
  </si>
  <si>
    <t>5K YÜZEY TEKNOLOJİLERİ ORMAN ÜRÜNLERİ MOB.SAN.VE TİC.A.Ş.</t>
  </si>
  <si>
    <t>TAV GAYRİMENKUL GELİŞTİRME ANONİM ŞİRKETİ</t>
  </si>
  <si>
    <t>Grand Total</t>
  </si>
  <si>
    <t>DÜŞKENT SİTESİ YÖNETİCİLİĞİ</t>
  </si>
  <si>
    <t>MEF ÜNİVERSİTESİ</t>
  </si>
  <si>
    <t>TÜRK TRAKTÖR VE ZİRAAT MAK. A.Ş.</t>
  </si>
  <si>
    <t>GRUP FLORENCE NIGHTINGALE HASTANELERİ A.Ş.</t>
  </si>
  <si>
    <t>Transaction Number</t>
  </si>
  <si>
    <t>Transaction Type Name</t>
  </si>
  <si>
    <t>Customer Number</t>
  </si>
  <si>
    <t>Customer Name</t>
  </si>
  <si>
    <t>Operating Unit</t>
  </si>
  <si>
    <t>Date</t>
  </si>
  <si>
    <t>GL Date</t>
  </si>
  <si>
    <t>Due Date</t>
  </si>
  <si>
    <t>Line Amount</t>
  </si>
  <si>
    <t>Applied Amount</t>
  </si>
  <si>
    <t>Correction</t>
  </si>
  <si>
    <t>Unapplied Amount / Original Remaining Balance</t>
  </si>
  <si>
    <t>Undue Amount</t>
  </si>
  <si>
    <t>Open Balance</t>
  </si>
  <si>
    <t>0-15 Days Undue Amount</t>
  </si>
  <si>
    <t>16-30 Days Undue Amount</t>
  </si>
  <si>
    <t>31-60 Days Undue Amount</t>
  </si>
  <si>
    <t>61-90 Days Undue Amount</t>
  </si>
  <si>
    <t>91-180 Days Undue Amount</t>
  </si>
  <si>
    <t>181-360 Days Undue Amount</t>
  </si>
  <si>
    <t>361 Days Undue Amount</t>
  </si>
  <si>
    <t>0-15 Days Overdue Amount</t>
  </si>
  <si>
    <t>16-30 Days Overdue Amount</t>
  </si>
  <si>
    <t>31-60 Days Overdue Amount</t>
  </si>
  <si>
    <t>61-90 Days Overdue Amount</t>
  </si>
  <si>
    <t>91-180 Days Overdue Amountı</t>
  </si>
  <si>
    <t>181-360 Days Overdue Amountı</t>
  </si>
  <si>
    <t>361 Days Overdue Amount</t>
  </si>
  <si>
    <t>0-15 Days Undue EUR Amount</t>
  </si>
  <si>
    <t>16-30 Days Undue EUR Amount</t>
  </si>
  <si>
    <t>31-60 Days Undue EUR Amount</t>
  </si>
  <si>
    <t>61-90 Days Undue EUR Amount</t>
  </si>
  <si>
    <t>91-180 Days Undue EUR Amount</t>
  </si>
  <si>
    <t>181-360 Days Undue EUR Amount</t>
  </si>
  <si>
    <t>361 Days Undue EUR Amount</t>
  </si>
  <si>
    <t>0-15 Days Overdue EUR Amount</t>
  </si>
  <si>
    <t>16-30 Days Overdue EUR Amount</t>
  </si>
  <si>
    <t>31-60 Days Overdue EUR Amount</t>
  </si>
  <si>
    <t>61-90 Days Overdue EUR Amount</t>
  </si>
  <si>
    <t>91-180 Days Overdue EUR Amountı</t>
  </si>
  <si>
    <t>181-360 Days Overdue EUR Amountı</t>
  </si>
  <si>
    <t>361 Days Overdue EUR Amount</t>
  </si>
  <si>
    <t>0-15 Days Undue Other Currency Amount Amount</t>
  </si>
  <si>
    <t>16-30 Days Undue Other Currency Amount Amount</t>
  </si>
  <si>
    <t>31-60 Days Undue Other Currency Amount Amount</t>
  </si>
  <si>
    <t>61-90 Days Undue Other Currency Amount Amount</t>
  </si>
  <si>
    <t>91-180 Days Undue Other Currency Amount Amount</t>
  </si>
  <si>
    <t>181-360 Days Undue Other Currency Amount Amount</t>
  </si>
  <si>
    <t>361 Days Undue Other Currency Amount</t>
  </si>
  <si>
    <t>0-15 Days Overdue Other Currency Amount Amount</t>
  </si>
  <si>
    <t>16-30 Days Overdue Other Currency Amount Amount</t>
  </si>
  <si>
    <t>31-60 Days Overdue Other Currency Amount Amount</t>
  </si>
  <si>
    <t>61-90 Days Overdue Other Currency Amount Amount</t>
  </si>
  <si>
    <t>91-180 Days Overdue Other Currency Amount Amountı</t>
  </si>
  <si>
    <t>181-360 Days Overdue Other Currency Amount Amountı</t>
  </si>
  <si>
    <t>361 Days Overdue Other Currency Amount Amount</t>
  </si>
  <si>
    <t>Organization</t>
  </si>
  <si>
    <t>Created By</t>
  </si>
  <si>
    <t>Creation Date</t>
  </si>
  <si>
    <t>Account</t>
  </si>
  <si>
    <t>Receivable Account</t>
  </si>
  <si>
    <t>Short Code</t>
  </si>
  <si>
    <t>Invoice</t>
  </si>
  <si>
    <t>VADİSTANBUL AVM HİZMETLERİ A.Ş.</t>
  </si>
  <si>
    <t>Vade Durumu</t>
  </si>
  <si>
    <t>Vadesi Geçen</t>
  </si>
  <si>
    <t>Vadesi Geçmeyen</t>
  </si>
  <si>
    <t>Sum of Open Balance</t>
  </si>
  <si>
    <t>Kontrol</t>
  </si>
  <si>
    <t>İST GÜVEN İSTANBUL GÜVENLİK A.Ş.</t>
  </si>
  <si>
    <t>VOLVO GROUP OTOMOTİV TİC.LTD.ŞTİ.</t>
  </si>
  <si>
    <t>SKYTANKING HAVACILIK HİZMETLERİ ANONİM ŞİRKETİ</t>
  </si>
  <si>
    <t>İTKİB GENEL SEKRETERLİĞİ</t>
  </si>
  <si>
    <t>ANTALYA TAV SERA ADİ ORTAKLIĞI</t>
  </si>
  <si>
    <t>AD-ROSSEN TARIM SANAYİ VE TİCARET A.Ş.</t>
  </si>
  <si>
    <t>MİLAGRO TARIM VE GIDA SAN.TİC.LTD.ŞTİ</t>
  </si>
  <si>
    <t>981066</t>
  </si>
  <si>
    <t>UYSALGAZİ ALIŞVERİŞ MERKEZİ TİC. A.Ş.</t>
  </si>
  <si>
    <t>GENS İNŞAAT MÜH. İTH. İHR. SAN. TIC. LTD. ŞTI</t>
  </si>
  <si>
    <t>YALIKONAK EVLERİ SİTE YÖNETİMİ</t>
  </si>
  <si>
    <t>ÜNİTEKS TEKS. GIDA MOTOR ARAÇ.SAN.VE TİC.A.Ş.</t>
  </si>
  <si>
    <t>AGROBEST GRUP TARIM İLAÇLARI TOH.İML.İTH.İHR.SAN.VE TİC.A.Ş.</t>
  </si>
  <si>
    <t>AZURO KİMYA SAN. VE TİC. A.Ş.</t>
  </si>
  <si>
    <t>STC ENDÜSTRİYEL TİC.VE SAN.A.Ş.</t>
  </si>
  <si>
    <t>VİTA LOFT BUCA SİTESİ</t>
  </si>
  <si>
    <t>EGE İHRACATÇI BİRLİKLERİ</t>
  </si>
  <si>
    <t>ALPİN ÇORAP SAN.VE TİC. A.Ş.</t>
  </si>
  <si>
    <t>HİTİT TRANS ULUSLARARASI NAKLİYAT GÜM.MÜŞ.SAN.VE TİC.LTD.ŞTİ.</t>
  </si>
  <si>
    <t>OFİS YEM GIDA SANAYİ TİCARET A.Ş</t>
  </si>
  <si>
    <t>MACARİSTAN BÜYÜKELÇİLİĞİ</t>
  </si>
  <si>
    <t>ÇUBUK HAYVANCILIK İHTİSAS ORG.SAN.BÖLGESİ</t>
  </si>
  <si>
    <t>IRAK CUMHURİYETİ İSTANBUL BAŞKONSOLOSLUĞU</t>
  </si>
  <si>
    <t>ASAV LOJİSTİK HİZMETLERİ A.Ş.</t>
  </si>
  <si>
    <t>KATAR DEVLETİ İSTANBUL BAŞKONSOLOSLUĞU</t>
  </si>
  <si>
    <t>TAVROS GROUP OTELCİLİK VE YATIRIM A.Ş.</t>
  </si>
  <si>
    <t>ALPİN AKTİF GİYİM SAN.VE TİC. A.Ş</t>
  </si>
  <si>
    <t>ATLAS ÇORAP SAN.VE TİC.LTD.ŞTİ.</t>
  </si>
  <si>
    <t>ULAK HABERLEŞME A.Ş.</t>
  </si>
  <si>
    <t>ETAL MEDİKAL SANAYİ VE TİCARET ANONİM ŞİRKETİ</t>
  </si>
  <si>
    <t>GENEL ENERGY YÖN.HİZM.A.Ş.</t>
  </si>
  <si>
    <t>ZİPEX ENDÜSTRİYEL TEKS.ÜRNL.SAN.VE TİC.A.Ş.</t>
  </si>
  <si>
    <t>FEVZİ GANDUR LOJİSTİK A.Ş.</t>
  </si>
  <si>
    <t>BOYTEK REÇİNE BOYA VE KİMYA SANAİİ TİCARET A.Ş.</t>
  </si>
  <si>
    <t>AVRUPA KONUTLARI KALE TOPKAPI KONUT BLOKLARI YÖNETİMİ</t>
  </si>
  <si>
    <t>AVRUPA KONAKLARI FLORYA SİTE YÖNETİMİ</t>
  </si>
  <si>
    <t>KÖLEOĞLU YAPI GAYRİMENKUL TİC.A.Ş.</t>
  </si>
  <si>
    <t>ERTUĞRUL DOĞAN</t>
  </si>
  <si>
    <t>ES YÖNETİM DANIŞMANLIĞI VE YATIRIM PROJE GELİŞTİRME A.Ş.</t>
  </si>
  <si>
    <t>EGİS TÜNEL İŞLETMECİLİĞİ A.Ş.</t>
  </si>
  <si>
    <t>BEŞİKTAŞ EMLAK YAT.VE TUR.A.Ş.</t>
  </si>
  <si>
    <t>BRİNKS GÜVENLİK HİZMETLERİ A.Ş.</t>
  </si>
  <si>
    <t>TÜRKİYE İHRACATÇILAR MECLİSİ GENEL SEKRETERLİĞİ</t>
  </si>
  <si>
    <t>BÜYÜKHANLI KARDEŞLER İNŞ.TURZ.VE TİC.A.Ş.</t>
  </si>
  <si>
    <t>İSTANBUL FLORENCE NIGHTINGALE HASTANESİ A.Ş.</t>
  </si>
  <si>
    <t>TALU TEKSTİL SANAYİ VE TİCARET A.Ş.</t>
  </si>
  <si>
    <t>İTALYA BAŞKONSOLOSLUĞU</t>
  </si>
  <si>
    <t>VADİSTANBUL PARK OFİS BLOKLARI YÖNETİMİ</t>
  </si>
  <si>
    <t>VADİSTANBUL BULVAR TOPLU YAPI YÖNETİMİ</t>
  </si>
  <si>
    <t>ACM AIR CHARTER MARKET UÇ.SER.TUR.HİZ.LTD.ŞTİ.</t>
  </si>
  <si>
    <t>EGYPTAIR MISIR HAVAY. HAV.STI.MRK.MISIR TURK IST SB.</t>
  </si>
  <si>
    <t>SOCIETE AIR FRANCE MERKEZİ FRANSA İSTANBUL MERKEZ ŞUBESİ</t>
  </si>
  <si>
    <t>GULF AIR B.S.C.(C) MERKEZİ BAHRAİN İSTANBUL ŞUBESİ</t>
  </si>
  <si>
    <t>KUWAIT AIRWAYS CORPORATION MERKEZİ KUVEYT İSTANBUL MERKEZ ŞUBESİ</t>
  </si>
  <si>
    <t>K.L.M. HOLLANDA KRALİYET HAVA YOLLARI A.Ş.</t>
  </si>
  <si>
    <t>ETIHAD AIRWAYS</t>
  </si>
  <si>
    <t>İSVİÇRE BÜYÜKELÇİLİĞİ</t>
  </si>
  <si>
    <t>DANISH RETURN AGENCY</t>
  </si>
  <si>
    <t>AZERBAYCAN HAVAYOLLARI KAPALI A.Ş.</t>
  </si>
  <si>
    <t>RAMSES TURİZM İŞLT.DAN.ORG.HAV.TİC.LTD.ŞTİ.</t>
  </si>
  <si>
    <t>SOMPO SİGORTA A.Ş.</t>
  </si>
  <si>
    <t>BTA UNLU MAMULLER GIDA ÜRETİM SANAYİ VE TİCARET ANONİM ŞİRKETİ</t>
  </si>
  <si>
    <t>İSTANBUL İHRACATÇI BİRLİKLERİ GENEL SEKRETERLİĞİ</t>
  </si>
  <si>
    <t>ÇELEBİ HAVA SERVİSİ A.Ş.</t>
  </si>
  <si>
    <t>BEYMETAL ALÜMINYUM SANAYI VE TIC.LTD.ŞTİ.</t>
  </si>
  <si>
    <t>HARUN AVCI, NUR-ZEN İNŞ.ADİ ORTAKLIĞI</t>
  </si>
  <si>
    <t>ISS PROSER KORUMA VEGÜVENLİK HİZMETLERİA.Ş.</t>
  </si>
  <si>
    <t>Hesap</t>
  </si>
  <si>
    <t>S.SİSTEM LOJİSTİK HİZMETLERİ A.Ş.</t>
  </si>
  <si>
    <t>LİSBETH AHMAN</t>
  </si>
  <si>
    <t>NATIONAL POLICE IMMIGRATION SERVICE OF NORWAY</t>
  </si>
  <si>
    <t>NOW HAPPENS AND PARTNERS REKLAM ORGANİZASYON LTD.ŞTİ.</t>
  </si>
  <si>
    <t>AÇIKKENT MEDYA REKLAMCILIK DANIŞMANLIK ORGANİZASYON VE TİC.LTD.ŞTİ.</t>
  </si>
  <si>
    <t>1001107</t>
  </si>
  <si>
    <t>RYANAIR DAC</t>
  </si>
  <si>
    <t>HAZ-19-02</t>
  </si>
  <si>
    <t>1282</t>
  </si>
  <si>
    <t>009-120-FATİH-1099</t>
  </si>
  <si>
    <t>CHANEL MODA LÜKS TÜK.ÜRÜN.LTD.ŞTİ.</t>
  </si>
  <si>
    <t>ATÜ ANTALYA MAGAZA ISLETMECILIGI A.Ş.</t>
  </si>
  <si>
    <t>GÖKOVA ÖREN MARİNA TUR.İNŞ.VE TİC.A.Ş.</t>
  </si>
  <si>
    <t>1389</t>
  </si>
  <si>
    <t>009-120-AKYURT-242181</t>
  </si>
  <si>
    <t>1384</t>
  </si>
  <si>
    <t>009-120-ÇUBUK-238999</t>
  </si>
  <si>
    <t>1347</t>
  </si>
  <si>
    <t>009-120-ŞİŞLİ-217757</t>
  </si>
  <si>
    <t>1045061</t>
  </si>
  <si>
    <t>BFA  ANTALYA  HAVALİMANI  YİYECEK  VE  İÇECEK  HİZM.A.Ş.</t>
  </si>
  <si>
    <t>ELRON İNŞ. TAAH. VE TİC. A.Ş</t>
  </si>
  <si>
    <t>TÜYA TURİSTİK YATIRIMLAR VE İNŞAAT A.Ş.</t>
  </si>
  <si>
    <t>ASAL ECE GAYRİMENKUL YATIRIM.AŞ.</t>
  </si>
  <si>
    <t>1055097</t>
  </si>
  <si>
    <t>SİENZİ LOJİSTİK ANTREPO VE DIŞ TİC. LTD. ŞTİ</t>
  </si>
  <si>
    <t>ZEY MEDYA REKLAM ORG LTD ŞTİ</t>
  </si>
  <si>
    <t>1055098</t>
  </si>
  <si>
    <t>KADIKÖY TERMİNAL GAYRİMENKUL HİZM.TİC.A.Ş.</t>
  </si>
  <si>
    <t>ÖZBEKİSTAN HAVAYOLLARI TÜRKİYE ŞUBESİ</t>
  </si>
  <si>
    <t>CEYHAN TARÇAN</t>
  </si>
  <si>
    <t>ETE DENEY EĞİTİM VE DEĞERLENDİRME TEKN. A.Ş.</t>
  </si>
  <si>
    <t>HİLMİ SELVİLİ BY AVCILAR EXCLUSİVE YÖNETİCİLİĞİ</t>
  </si>
  <si>
    <t>162015</t>
  </si>
  <si>
    <t>009.1200505015.000000.935.000000.000000.000000.0000.00.00.00</t>
  </si>
  <si>
    <t>MEŞEBÜKÜ TURİZM İŞLETMELERİ A.Ş.</t>
  </si>
  <si>
    <t>Ryanair UK Limited.</t>
  </si>
  <si>
    <t>ATÜ ANTALYA MAĞAZA İŞLETMECİLİĞİ A.Ş.</t>
  </si>
  <si>
    <t>ATLAS ÇORAP ENERJI SAN.TİC.LTD.ŞTİ.</t>
  </si>
  <si>
    <t>MECİDİYEKÖY GAYRİMENKUL YATIRIM İNŞ.TURZ.SAN VE TİC.A.Ş.</t>
  </si>
  <si>
    <t>ASTAŞ YAPI VE YAPI ADİ ORTAKLIĞI</t>
  </si>
  <si>
    <t>SANMAR DENIZCILIK MAKINA VE TIC.A.Ş.</t>
  </si>
  <si>
    <t>GAMZE KÖLEOĞLU BÜYÜKALP</t>
  </si>
  <si>
    <t>HAKVAR TURİZM LİMİTED ŞİRKETİ</t>
  </si>
  <si>
    <t>1348</t>
  </si>
  <si>
    <t>BİRLEŞİK KRALLIK</t>
  </si>
  <si>
    <t>M.E.B.ÖZEL İTALYAN LİSESİ</t>
  </si>
  <si>
    <t>MÜCEVHER İHRACATÇILARI BİRLİĞİ</t>
  </si>
  <si>
    <t>İSTANBUL DEMİR VE DEMİR DIŞI METALLER İHR.BİRLİĞİ</t>
  </si>
  <si>
    <t>ELEKTRİK VE ELKETRONİK İHRACATÇILARI BİRLİĞİ</t>
  </si>
  <si>
    <t>7863</t>
  </si>
  <si>
    <t>3972</t>
  </si>
  <si>
    <t>TRANSAVIA HOLLAND B.V.</t>
  </si>
  <si>
    <t>HOLLANDA</t>
  </si>
  <si>
    <t>1516</t>
  </si>
  <si>
    <t>SHAYA KAHVE SAN.TİC.A.Ş.</t>
  </si>
  <si>
    <t>1523</t>
  </si>
  <si>
    <t>SHAYA MAĞAZACILIK A.Ş.</t>
  </si>
  <si>
    <t>PALMİYE TATİL KÖYÜ İŞLETMELERİ TURİZM TİC.AŞ.</t>
  </si>
  <si>
    <t>MUĞLA</t>
  </si>
  <si>
    <t>ANIK TUR. SAN. VE TİC. A.Ş.</t>
  </si>
  <si>
    <t>5201</t>
  </si>
  <si>
    <t>KARAKAYA AVM YÖN. HİZ. DAN. VE ORG. A.Ş.</t>
  </si>
  <si>
    <t>RICHEMONT İSTANBUL LÜKS EŞYA DAĞITIMA.Ş.</t>
  </si>
  <si>
    <t>009.1200505010.000000.414.000000.000000.000000.0000.00.00.00</t>
  </si>
  <si>
    <t>ROMANYA BÜYÜKELÇİLİĞİ</t>
  </si>
  <si>
    <t>İTALYA BÜYÜKELÇİLİĞİ</t>
  </si>
  <si>
    <t>1386</t>
  </si>
  <si>
    <t>EGE YÖNETİM SİSTEMLERİ GAYRİMENKUL DANIŞMANLIĞI A.Ş.</t>
  </si>
  <si>
    <t>HAKCEL GROUP OTELCİLİK VE YATIRIM A.Ş.</t>
  </si>
  <si>
    <t>İNTAYA İNTES İNŞAAT TAAHHÜT YATIRIM TİC.A.Ş.</t>
  </si>
  <si>
    <t>AVENUE İNŞAAT TURİZM VE İŞLETMECİLİK A.Ş.</t>
  </si>
  <si>
    <t>AIR ANKA HAVAYOLLARI A.Ş.</t>
  </si>
  <si>
    <t>BTA UNLU MAMULLER GIDA ÜRETİM SAN.VE TİC.A.Ş.</t>
  </si>
  <si>
    <t>TAV ANKARA YATIRIM YAPIM VE İŞLETME A.Ş.</t>
  </si>
  <si>
    <t>ATELYE KEPİ DEKORASYON VE MOBİLYA SAN.TİC.LTD.ŞTİ</t>
  </si>
  <si>
    <t>8405</t>
  </si>
  <si>
    <t>1001106</t>
  </si>
  <si>
    <t>1101082</t>
  </si>
  <si>
    <t>NİDA YÖNETİM VE HİZMET A.Ş.</t>
  </si>
  <si>
    <t>TERRACE PLUS SİTE YÖNETİMİ</t>
  </si>
  <si>
    <t>S.S.VİLLA BELDE SİTE İŞLETME KOOPERATİFİ</t>
  </si>
  <si>
    <t>1084134</t>
  </si>
  <si>
    <t>EMSİAR TURİZM OTELCİLİK GAYRİMENKUL YATIRIM İNŞAAT SANAYİ TİCARET ANONİM ŞİRKETİ</t>
  </si>
  <si>
    <t>INTERNATİONAL ORGANİZATİON FOR MİGRATİON (IOM)</t>
  </si>
  <si>
    <t>VADİSTANBUL PARK KONUT SİTE YÖNETİMİ</t>
  </si>
  <si>
    <t>8620</t>
  </si>
  <si>
    <t>İÇTUR YİYECEK VE İÇECEK HİZ.TUR.SAN.TİC.A.Ş.</t>
  </si>
  <si>
    <t>8926</t>
  </si>
  <si>
    <t>AL SRAİYA SECURİTY SERVİCES WLL</t>
  </si>
  <si>
    <t>1073086</t>
  </si>
  <si>
    <t>MNG ORKO MADENCİLİK A.Ş</t>
  </si>
  <si>
    <t>AIRPORT OTEL TIC.A.Ş.</t>
  </si>
  <si>
    <t>BUNDESAMT FÜR FREMDENWESEN UND ASYL</t>
  </si>
  <si>
    <t>AA</t>
  </si>
  <si>
    <t>1363</t>
  </si>
  <si>
    <t>009-120-GAZİOSMANPAŞA-223816</t>
  </si>
  <si>
    <t>9766</t>
  </si>
  <si>
    <t>ŞAHİNLER SUNİ DERİ SAN AŞ</t>
  </si>
  <si>
    <t>TASFİYE HALİNDE.AD-ROSSEN TARIM SANAYI VE TIC.A.Ş.</t>
  </si>
  <si>
    <t>9812</t>
  </si>
  <si>
    <t>292028</t>
  </si>
  <si>
    <t>YÜKSEK VADİ EVLERİ 25033 ADA YÖN.KUR.BŞK.</t>
  </si>
  <si>
    <t>9867</t>
  </si>
  <si>
    <t>ORKOM MADENCILIK A.Ş.</t>
  </si>
  <si>
    <t>10075</t>
  </si>
  <si>
    <t>Silah Tasima_ESB</t>
  </si>
  <si>
    <t>1103</t>
  </si>
  <si>
    <t>009-120-BAKIRKÖY-44968</t>
  </si>
  <si>
    <t>1393</t>
  </si>
  <si>
    <t>009-120-SARIYER-243802</t>
  </si>
  <si>
    <t>316041</t>
  </si>
  <si>
    <t>10288</t>
  </si>
  <si>
    <t>SINEM AKKAYA</t>
  </si>
  <si>
    <t>ROSSIYA AIRLINES JSC</t>
  </si>
  <si>
    <t>1113157</t>
  </si>
  <si>
    <t>SMARANGOZ</t>
  </si>
  <si>
    <t>1350</t>
  </si>
  <si>
    <t>009-120-KADIKÖY-217763</t>
  </si>
  <si>
    <t>1403</t>
  </si>
  <si>
    <t>009-120-PARAY-VIELLE-POSTE-250947</t>
  </si>
  <si>
    <t>252027</t>
  </si>
  <si>
    <t>10888</t>
  </si>
  <si>
    <t>CANAN AYDOĞAN</t>
  </si>
  <si>
    <t>10985</t>
  </si>
  <si>
    <t>HASAN ÜLÇEZ</t>
  </si>
  <si>
    <t>1307</t>
  </si>
  <si>
    <t>MELIS ÖZSEZEN</t>
  </si>
  <si>
    <t>ZEYNEP ASIM ÜLKER ANADOLU LİSESİ MÜDÜRLÜĞÜ</t>
  </si>
  <si>
    <t>TEDDY PET KUAFÖR PETSHOP</t>
  </si>
  <si>
    <t>11344</t>
  </si>
  <si>
    <t>GAZİPAŞA MARİNA HİZ.DENİZCİLİK TUR. VE SAN.A.Ş.</t>
  </si>
  <si>
    <t>GÜVENLİK SERVİSLERİ ORGANİZASYON DERNEĞİ</t>
  </si>
  <si>
    <t>11543</t>
  </si>
  <si>
    <t>11643</t>
  </si>
  <si>
    <t>1335059</t>
  </si>
  <si>
    <t>ARTAŞ İNŞ.SAN. VE TİC.A.Ş.</t>
  </si>
  <si>
    <t>11755</t>
  </si>
  <si>
    <t>ICELANDAIR EHF.</t>
  </si>
  <si>
    <t>11944</t>
  </si>
  <si>
    <t>7026</t>
  </si>
  <si>
    <t>HDI SİGORTA ANONİM.ŞİRKETİ</t>
  </si>
  <si>
    <t>11945</t>
  </si>
  <si>
    <t>11962</t>
  </si>
  <si>
    <t>1063</t>
  </si>
  <si>
    <t>009-120-ESENYURT-70889</t>
  </si>
  <si>
    <t>009.1200505010.000000.404.000000.000000.000000.0000.00.00.00</t>
  </si>
  <si>
    <t>1006</t>
  </si>
  <si>
    <t>12094</t>
  </si>
  <si>
    <t>1362</t>
  </si>
  <si>
    <t>1072065</t>
  </si>
  <si>
    <t>1163062</t>
  </si>
  <si>
    <t>TRİYANDA EVLERİ SİTE YÖNETİMİ</t>
  </si>
  <si>
    <t>ARTI PERAKENDE GIDA SANAYİ VE TİCARET LİMİTED ŞİRKETİ</t>
  </si>
  <si>
    <t>EGE GRUP-VERA İŞ ORTAKLIĞI</t>
  </si>
  <si>
    <t>1026</t>
  </si>
  <si>
    <t>Grupdışı</t>
  </si>
  <si>
    <t>1052138</t>
  </si>
  <si>
    <t>1287</t>
  </si>
  <si>
    <t>009-120-HARBİYE-1253</t>
  </si>
  <si>
    <t>ZGR GIDA TURİZM SANAYİ VE TİCARET LİMİTED ŞİRKETİ</t>
  </si>
  <si>
    <t>Vade</t>
  </si>
  <si>
    <t>12663</t>
  </si>
  <si>
    <t>12733</t>
  </si>
  <si>
    <t>12769</t>
  </si>
  <si>
    <t>12777</t>
  </si>
  <si>
    <t>12778</t>
  </si>
  <si>
    <t>1433</t>
  </si>
  <si>
    <t>12867</t>
  </si>
  <si>
    <t>YDA İNŞAAT SAN. VE TİC. A.Ş.</t>
  </si>
  <si>
    <t>GRATİS İÇ VE DIŞ TİCARET A.Ş.</t>
  </si>
  <si>
    <t>1385</t>
  </si>
  <si>
    <t>009-120-BAKIRKÖY-239000</t>
  </si>
  <si>
    <t>13066</t>
  </si>
  <si>
    <t>13083</t>
  </si>
  <si>
    <t>13236</t>
  </si>
  <si>
    <t>FEDERAL POLİS GENEL MÜDÜRLÜĞÜ</t>
  </si>
  <si>
    <t>YUVA APARTMANI YÖNETİCİLİĞİ</t>
  </si>
  <si>
    <t>13382</t>
  </si>
  <si>
    <t>İTALYAN TİCARET VE SANAYİ ODASI DERNEĞİ</t>
  </si>
  <si>
    <t>LAİDEE COUTURE TEKSTİL VE İNŞ.SAN. VE TİC.LTD.ŞTİ.</t>
  </si>
  <si>
    <t>CMH İNŞ.ELEK.VE BİLG.SİS.TUR.YATÇILIK SAN.VE TİC.LTD.ŞTİ.</t>
  </si>
  <si>
    <t>NUCTECH ANKARA GÜV.SİS.SAN.VE DIŞ TİC.LTD.ŞTİ.</t>
  </si>
  <si>
    <t>HDI SİGORTA ANONİM ŞİRKETİ</t>
  </si>
  <si>
    <t>009-120-KEMALPAŞA-256416</t>
  </si>
  <si>
    <t>ATLAS TRAFO A.Ş.</t>
  </si>
  <si>
    <t>13882</t>
  </si>
  <si>
    <t>13885</t>
  </si>
  <si>
    <t>13886</t>
  </si>
  <si>
    <t>13889</t>
  </si>
  <si>
    <t>13890</t>
  </si>
  <si>
    <t>13891</t>
  </si>
  <si>
    <t>13894</t>
  </si>
  <si>
    <t>13896</t>
  </si>
  <si>
    <t>BENGÜN PLAZA YÖNETİCİLİĞİ</t>
  </si>
  <si>
    <t>13967</t>
  </si>
  <si>
    <t>13909</t>
  </si>
  <si>
    <t>795077</t>
  </si>
  <si>
    <t>POTAS AKDENİZ AKARYAKIT DAĞITIM A.Ş.</t>
  </si>
  <si>
    <t>14002</t>
  </si>
  <si>
    <t>14024</t>
  </si>
  <si>
    <t>009-120-ÜSKÜDAR-257220</t>
  </si>
  <si>
    <t>1450077</t>
  </si>
  <si>
    <t>ALMANYA</t>
  </si>
  <si>
    <t>1294</t>
  </si>
  <si>
    <t>009-120-ŞİŞLİ-137371</t>
  </si>
  <si>
    <t>1392</t>
  </si>
  <si>
    <t>009-120-SARIYER-243781</t>
  </si>
  <si>
    <t>14110</t>
  </si>
  <si>
    <t>İSTANBUL İTKİB FUARCILIK A.Ş.</t>
  </si>
  <si>
    <t>Egitim_IZM_Personel</t>
  </si>
  <si>
    <t>009-135-İZMİR-110904</t>
  </si>
  <si>
    <t>009.1350505015.000000.000.000000.000000.000000.0000.00.00.00</t>
  </si>
  <si>
    <t>1350505015</t>
  </si>
  <si>
    <t>14283</t>
  </si>
  <si>
    <t>14523</t>
  </si>
  <si>
    <t>14527</t>
  </si>
  <si>
    <t>009-120-MUĞLA-223780</t>
  </si>
  <si>
    <t>14562</t>
  </si>
  <si>
    <t>14563</t>
  </si>
  <si>
    <t>14592</t>
  </si>
  <si>
    <t>14593</t>
  </si>
  <si>
    <t>14600</t>
  </si>
  <si>
    <t>1343</t>
  </si>
  <si>
    <t>009-120-MASLAK-216528</t>
  </si>
  <si>
    <t>14615</t>
  </si>
  <si>
    <t>SET-GENA ADİ ORTAKLIĞI</t>
  </si>
  <si>
    <t>14522</t>
  </si>
  <si>
    <t>837083</t>
  </si>
  <si>
    <t>246038</t>
  </si>
  <si>
    <t>14542</t>
  </si>
  <si>
    <t>14544</t>
  </si>
  <si>
    <t>14582</t>
  </si>
  <si>
    <t>14584</t>
  </si>
  <si>
    <t>14585</t>
  </si>
  <si>
    <t>14586</t>
  </si>
  <si>
    <t>009-120-SARIYER-109598</t>
  </si>
  <si>
    <t>009.1200505010.000000.003.000000.000000.000000.0000.00.00.00</t>
  </si>
  <si>
    <t>009-120-MENDERES-226242</t>
  </si>
  <si>
    <t>14633</t>
  </si>
  <si>
    <t>14634</t>
  </si>
  <si>
    <t>14640</t>
  </si>
  <si>
    <t>14666</t>
  </si>
  <si>
    <t>14667</t>
  </si>
  <si>
    <t>1598078</t>
  </si>
  <si>
    <t>GEMPAŞ PAZ.LOJ.TİC.A.Ş.</t>
  </si>
  <si>
    <t>14703</t>
  </si>
  <si>
    <t>14712</t>
  </si>
  <si>
    <t>1423</t>
  </si>
  <si>
    <t>009-120-ARNAVUTKÖY-254644</t>
  </si>
  <si>
    <t>14729</t>
  </si>
  <si>
    <t>1416</t>
  </si>
  <si>
    <t>009-120-ŞİŞLİ-253457</t>
  </si>
  <si>
    <t>14738</t>
  </si>
  <si>
    <t>14739</t>
  </si>
  <si>
    <t>14740</t>
  </si>
  <si>
    <t>KORİNT İNŞAAT TURİZM TİCARET VE SANAYİ A.Ş.</t>
  </si>
  <si>
    <t>HALİKARNAS GAYR.YAT.YÖN.KİRA.HİZ.A.Ş.</t>
  </si>
  <si>
    <t>14744</t>
  </si>
  <si>
    <t>14746</t>
  </si>
  <si>
    <t>14755</t>
  </si>
  <si>
    <t>14761</t>
  </si>
  <si>
    <t>14762</t>
  </si>
  <si>
    <t>14809</t>
  </si>
  <si>
    <t>14818</t>
  </si>
  <si>
    <t>14819</t>
  </si>
  <si>
    <t>14821</t>
  </si>
  <si>
    <t>14822</t>
  </si>
  <si>
    <t>14823</t>
  </si>
  <si>
    <t>14824</t>
  </si>
  <si>
    <t>1544</t>
  </si>
  <si>
    <t>14834</t>
  </si>
  <si>
    <t>14850</t>
  </si>
  <si>
    <t>1568105</t>
  </si>
  <si>
    <t>BAŞKA AJANS REKLAM TANITIM ORG.LTD.ŞTİ.</t>
  </si>
  <si>
    <t>CORPERA TURİZM YATIRIMLARI A.Ş</t>
  </si>
  <si>
    <t>14852</t>
  </si>
  <si>
    <t>1601077</t>
  </si>
  <si>
    <t>ZUMA TURİZM VE GIDA PAZ. TİC. A.Ş.</t>
  </si>
  <si>
    <t>14863</t>
  </si>
  <si>
    <t>009-120-SARIYER-108314</t>
  </si>
  <si>
    <t>009.1200505010.000000.001.000000.000000.000000.0000.00.00.00</t>
  </si>
  <si>
    <t>ADAT</t>
  </si>
  <si>
    <t>Faiz oranı</t>
  </si>
  <si>
    <t>14985</t>
  </si>
  <si>
    <t>Vade Farkı</t>
  </si>
  <si>
    <t>15063</t>
  </si>
  <si>
    <t>15092</t>
  </si>
  <si>
    <t>15093</t>
  </si>
  <si>
    <t>15094</t>
  </si>
  <si>
    <t>15095</t>
  </si>
  <si>
    <t>15096</t>
  </si>
  <si>
    <t>15097</t>
  </si>
  <si>
    <t>15098</t>
  </si>
  <si>
    <t>15099</t>
  </si>
  <si>
    <t>15100</t>
  </si>
  <si>
    <t>15101</t>
  </si>
  <si>
    <t>15102</t>
  </si>
  <si>
    <t>15168</t>
  </si>
  <si>
    <t>15169</t>
  </si>
  <si>
    <t>15170</t>
  </si>
  <si>
    <t>1005</t>
  </si>
  <si>
    <t>009-120-SARIYER-1201</t>
  </si>
  <si>
    <t>009.1200505010.000000.500.000000.000000.000000.0000.00.00.00</t>
  </si>
  <si>
    <t>15172</t>
  </si>
  <si>
    <t>15174</t>
  </si>
  <si>
    <t>15175</t>
  </si>
  <si>
    <t>15176</t>
  </si>
  <si>
    <t>15202</t>
  </si>
  <si>
    <t>15204</t>
  </si>
  <si>
    <t>771073</t>
  </si>
  <si>
    <t>009.1200505010.000000.015.000000.000000.000000.0000.00.00.00</t>
  </si>
  <si>
    <t>15209</t>
  </si>
  <si>
    <t>15224</t>
  </si>
  <si>
    <t>15225</t>
  </si>
  <si>
    <t>15229</t>
  </si>
  <si>
    <t>15230</t>
  </si>
  <si>
    <t>15231</t>
  </si>
  <si>
    <t>15239</t>
  </si>
  <si>
    <t>15242</t>
  </si>
  <si>
    <t>15243</t>
  </si>
  <si>
    <t>15244</t>
  </si>
  <si>
    <t>15245</t>
  </si>
  <si>
    <t>15246</t>
  </si>
  <si>
    <t>15247</t>
  </si>
  <si>
    <t>15250</t>
  </si>
  <si>
    <t>15253</t>
  </si>
  <si>
    <t>15254</t>
  </si>
  <si>
    <t>15255</t>
  </si>
  <si>
    <t>15256</t>
  </si>
  <si>
    <t>15257</t>
  </si>
  <si>
    <t>15258</t>
  </si>
  <si>
    <t>15259</t>
  </si>
  <si>
    <t>15260</t>
  </si>
  <si>
    <t>15262</t>
  </si>
  <si>
    <t>GEMAŞ GENEL MÜH.MEK.SAN. VE TİC.A.Ş.</t>
  </si>
  <si>
    <t>15271</t>
  </si>
  <si>
    <t>15182</t>
  </si>
  <si>
    <t>1031</t>
  </si>
  <si>
    <t>009-120-SARIYER-139433</t>
  </si>
  <si>
    <t>009.1200505010.000000.010.000000.000000.000000.0000.00.00.00</t>
  </si>
  <si>
    <t>15282</t>
  </si>
  <si>
    <t>15307</t>
  </si>
  <si>
    <t>21004</t>
  </si>
  <si>
    <t>15311</t>
  </si>
  <si>
    <t>15312</t>
  </si>
  <si>
    <t>15314</t>
  </si>
  <si>
    <t>15315</t>
  </si>
  <si>
    <t>15322</t>
  </si>
  <si>
    <t>15323</t>
  </si>
  <si>
    <t>15325</t>
  </si>
  <si>
    <t>15326</t>
  </si>
  <si>
    <t>15330</t>
  </si>
  <si>
    <t>15336</t>
  </si>
  <si>
    <t>15339</t>
  </si>
  <si>
    <t>ALKOR ALÜMİNYUM ENERJİ İNŞ.SAN. VE TİC.A.Ş.</t>
  </si>
  <si>
    <t>15344</t>
  </si>
  <si>
    <t>15353</t>
  </si>
  <si>
    <t>15354</t>
  </si>
  <si>
    <t>15362</t>
  </si>
  <si>
    <t>15363</t>
  </si>
  <si>
    <t>15364</t>
  </si>
  <si>
    <t>15365</t>
  </si>
  <si>
    <t>15366</t>
  </si>
  <si>
    <t>15367</t>
  </si>
  <si>
    <t>15370</t>
  </si>
  <si>
    <t>15442</t>
  </si>
  <si>
    <t>15445</t>
  </si>
  <si>
    <t>15447</t>
  </si>
  <si>
    <t>15448</t>
  </si>
  <si>
    <t>15450</t>
  </si>
  <si>
    <t>15456</t>
  </si>
  <si>
    <t>15457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</si>
  <si>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</si>
  <si>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</si>
  <si>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</si>
  <si>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</si>
  <si>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</si>
  <si>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</si>
  <si>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</si>
  <si>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</si>
  <si>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1087104</t>
  </si>
  <si>
    <t>UNIFREE DUTY FREE İŞLETMECILIĞI A.Ş.</t>
  </si>
  <si>
    <t>15466</t>
  </si>
  <si>
    <t>15468</t>
  </si>
  <si>
    <t>15469</t>
  </si>
  <si>
    <t>825064</t>
  </si>
  <si>
    <t>15472</t>
  </si>
  <si>
    <t>15473</t>
  </si>
  <si>
    <t>15476</t>
  </si>
  <si>
    <t>15477</t>
  </si>
  <si>
    <t>15478</t>
  </si>
  <si>
    <t>15479</t>
  </si>
  <si>
    <t>15480</t>
  </si>
  <si>
    <t>15489</t>
  </si>
  <si>
    <t>15490</t>
  </si>
  <si>
    <t>15491</t>
  </si>
  <si>
    <t>15492</t>
  </si>
  <si>
    <t>15494</t>
  </si>
  <si>
    <t>15502</t>
  </si>
  <si>
    <t>15503</t>
  </si>
  <si>
    <t>15504</t>
  </si>
  <si>
    <t>464030</t>
  </si>
  <si>
    <t>15507</t>
  </si>
  <si>
    <t>15508</t>
  </si>
  <si>
    <t>15509</t>
  </si>
  <si>
    <t>15521</t>
  </si>
  <si>
    <t>15526</t>
  </si>
  <si>
    <t>2268</t>
  </si>
  <si>
    <t>15529</t>
  </si>
  <si>
    <t>15530</t>
  </si>
  <si>
    <t>15531</t>
  </si>
  <si>
    <t>1641076</t>
  </si>
  <si>
    <t>HAVANA YAYINCILIK TURİZM VE GIDA PAZ. TİC. A.Ş.</t>
  </si>
  <si>
    <t>15532</t>
  </si>
  <si>
    <t>1641077</t>
  </si>
  <si>
    <t>ETİLER TURİSTİK TESİSLER İŞL.TİC.A.Ş.</t>
  </si>
  <si>
    <t>15543</t>
  </si>
  <si>
    <t>15544</t>
  </si>
  <si>
    <t>15545</t>
  </si>
  <si>
    <t>15546</t>
  </si>
  <si>
    <t>15549</t>
  </si>
  <si>
    <t>15550</t>
  </si>
  <si>
    <t>1345</t>
  </si>
  <si>
    <t>009-120-ŞİŞLİ-217752</t>
  </si>
  <si>
    <t>15551</t>
  </si>
  <si>
    <t>15552</t>
  </si>
  <si>
    <t>15553</t>
  </si>
  <si>
    <t>15554</t>
  </si>
  <si>
    <t>15555</t>
  </si>
  <si>
    <t>15556</t>
  </si>
  <si>
    <t>15557</t>
  </si>
  <si>
    <t>15558</t>
  </si>
  <si>
    <t>15559</t>
  </si>
  <si>
    <t>15560</t>
  </si>
  <si>
    <t>15561</t>
  </si>
  <si>
    <t>15562</t>
  </si>
  <si>
    <t>15564</t>
  </si>
  <si>
    <t>15565</t>
  </si>
  <si>
    <t>15566</t>
  </si>
  <si>
    <t>15567</t>
  </si>
  <si>
    <t>15569</t>
  </si>
  <si>
    <t>15570</t>
  </si>
  <si>
    <t>15571</t>
  </si>
  <si>
    <t>15582</t>
  </si>
  <si>
    <t>15604</t>
  </si>
  <si>
    <t>15605</t>
  </si>
  <si>
    <t>15606</t>
  </si>
  <si>
    <t>15607</t>
  </si>
  <si>
    <t>32003</t>
  </si>
  <si>
    <t>15609</t>
  </si>
  <si>
    <t>686089</t>
  </si>
  <si>
    <t>BELÇİKA</t>
  </si>
  <si>
    <t>15610</t>
  </si>
  <si>
    <t>15611</t>
  </si>
  <si>
    <t>15612</t>
  </si>
  <si>
    <t>15613</t>
  </si>
  <si>
    <t>15616</t>
  </si>
  <si>
    <t>15617</t>
  </si>
  <si>
    <t>15620</t>
  </si>
  <si>
    <t>15623</t>
  </si>
  <si>
    <t>15624</t>
  </si>
  <si>
    <t>15625</t>
  </si>
  <si>
    <t>15626</t>
  </si>
  <si>
    <t>1299</t>
  </si>
  <si>
    <t>009-120-ŞİŞLİ-140448</t>
  </si>
  <si>
    <t>15642</t>
  </si>
  <si>
    <t>15643</t>
  </si>
  <si>
    <t>15644</t>
  </si>
  <si>
    <t>15662</t>
  </si>
  <si>
    <t>15682</t>
  </si>
  <si>
    <t>1150068</t>
  </si>
  <si>
    <t>AVUSTURYA</t>
  </si>
  <si>
    <t>15702</t>
  </si>
  <si>
    <t>15703</t>
  </si>
  <si>
    <t>15704</t>
  </si>
  <si>
    <t>15705</t>
  </si>
  <si>
    <t>15706</t>
  </si>
  <si>
    <t>15707</t>
  </si>
  <si>
    <t>15708</t>
  </si>
  <si>
    <t>15709</t>
  </si>
  <si>
    <t>15710</t>
  </si>
  <si>
    <t>15711</t>
  </si>
  <si>
    <t>15712</t>
  </si>
  <si>
    <t>15713</t>
  </si>
  <si>
    <t>15714</t>
  </si>
  <si>
    <t>15715</t>
  </si>
  <si>
    <t>15717</t>
  </si>
  <si>
    <t>15718</t>
  </si>
  <si>
    <t>15722</t>
  </si>
  <si>
    <t>15723</t>
  </si>
  <si>
    <t>15724</t>
  </si>
  <si>
    <t>15725</t>
  </si>
  <si>
    <t>15726</t>
  </si>
  <si>
    <t>15727</t>
  </si>
  <si>
    <t>15728</t>
  </si>
  <si>
    <t>15729</t>
  </si>
  <si>
    <t>15733</t>
  </si>
  <si>
    <t>15742</t>
  </si>
  <si>
    <t>1394</t>
  </si>
  <si>
    <t>009-120-SARIYER-243803</t>
  </si>
  <si>
    <t>15743</t>
  </si>
  <si>
    <t>15782</t>
  </si>
  <si>
    <t>15783</t>
  </si>
  <si>
    <t>1328</t>
  </si>
  <si>
    <t>RGM TURKEY GAYRİMENKUL YÖNETİM VE İŞLETME A.Ş.</t>
  </si>
  <si>
    <t>TAV360</t>
  </si>
  <si>
    <t>Dekont</t>
  </si>
  <si>
    <t>009-136-SARIYER-109598</t>
  </si>
  <si>
    <t>MELTEMH</t>
  </si>
  <si>
    <t>009.1369999999.000000.003.000000.000000.000000.0000.00.00.00</t>
  </si>
  <si>
    <t>1369999999</t>
  </si>
  <si>
    <t>15228</t>
  </si>
  <si>
    <t>1299073</t>
  </si>
  <si>
    <t>15328</t>
  </si>
  <si>
    <t>1105080</t>
  </si>
  <si>
    <t>15338</t>
  </si>
  <si>
    <t>15443</t>
  </si>
  <si>
    <t>15452</t>
  </si>
  <si>
    <t>15802</t>
  </si>
  <si>
    <t>1585083</t>
  </si>
  <si>
    <t>15823</t>
  </si>
  <si>
    <t>15824</t>
  </si>
  <si>
    <t>15825</t>
  </si>
  <si>
    <t>15826</t>
  </si>
  <si>
    <t>15828</t>
  </si>
  <si>
    <t>15830</t>
  </si>
  <si>
    <t>15835</t>
  </si>
  <si>
    <t>15837</t>
  </si>
  <si>
    <t>15838</t>
  </si>
  <si>
    <t>15839</t>
  </si>
  <si>
    <t>15842</t>
  </si>
  <si>
    <t>15843</t>
  </si>
  <si>
    <t>15862</t>
  </si>
  <si>
    <t>15863</t>
  </si>
  <si>
    <t>15864</t>
  </si>
  <si>
    <t>15865</t>
  </si>
  <si>
    <t>15866</t>
  </si>
  <si>
    <t>15867</t>
  </si>
  <si>
    <t>15868</t>
  </si>
  <si>
    <t>15869</t>
  </si>
  <si>
    <t>15870</t>
  </si>
  <si>
    <t>15871</t>
  </si>
  <si>
    <t>15872</t>
  </si>
  <si>
    <t>15873</t>
  </si>
  <si>
    <t>15874</t>
  </si>
  <si>
    <t>15875</t>
  </si>
  <si>
    <t>15876</t>
  </si>
  <si>
    <t>15877</t>
  </si>
  <si>
    <t>15878</t>
  </si>
  <si>
    <t>15879</t>
  </si>
  <si>
    <t>15880</t>
  </si>
  <si>
    <t>15881</t>
  </si>
  <si>
    <t>15882</t>
  </si>
  <si>
    <t>15883</t>
  </si>
  <si>
    <t>15884</t>
  </si>
  <si>
    <t>15885</t>
  </si>
  <si>
    <t>15886</t>
  </si>
  <si>
    <t>15887</t>
  </si>
  <si>
    <t>15888</t>
  </si>
  <si>
    <t>15902</t>
  </si>
  <si>
    <t>15903</t>
  </si>
  <si>
    <t>15904</t>
  </si>
  <si>
    <t>15905</t>
  </si>
  <si>
    <t>15906</t>
  </si>
  <si>
    <t>15907</t>
  </si>
  <si>
    <t>15923</t>
  </si>
  <si>
    <t>1245073</t>
  </si>
  <si>
    <t>RUSYA</t>
  </si>
  <si>
    <t>15924</t>
  </si>
  <si>
    <t>15925</t>
  </si>
  <si>
    <t>15926</t>
  </si>
  <si>
    <t>15927</t>
  </si>
  <si>
    <t>15929</t>
  </si>
  <si>
    <t>15930</t>
  </si>
  <si>
    <t>15931</t>
  </si>
  <si>
    <t>15932</t>
  </si>
  <si>
    <t>15933</t>
  </si>
  <si>
    <t>15934</t>
  </si>
  <si>
    <t>15935</t>
  </si>
  <si>
    <t>160033</t>
  </si>
  <si>
    <t>15936</t>
  </si>
  <si>
    <t>15937</t>
  </si>
  <si>
    <t>15938</t>
  </si>
  <si>
    <t>15939</t>
  </si>
  <si>
    <t>15940</t>
  </si>
  <si>
    <t>1042067</t>
  </si>
  <si>
    <t>009.1200505010.000000.611.000000.000000.000000.0000.00.00.00</t>
  </si>
  <si>
    <t>15941</t>
  </si>
  <si>
    <t>15942</t>
  </si>
  <si>
    <t>15943</t>
  </si>
  <si>
    <t>15944</t>
  </si>
  <si>
    <t>15945</t>
  </si>
  <si>
    <t>15946</t>
  </si>
  <si>
    <t>15947</t>
  </si>
  <si>
    <t>15948</t>
  </si>
  <si>
    <t>15949</t>
  </si>
  <si>
    <t>5187</t>
  </si>
  <si>
    <t>BODRUM</t>
  </si>
  <si>
    <t>15950</t>
  </si>
  <si>
    <t>11057</t>
  </si>
  <si>
    <t>15951</t>
  </si>
  <si>
    <t>15952</t>
  </si>
  <si>
    <t>15953</t>
  </si>
  <si>
    <t>15954</t>
  </si>
  <si>
    <t>Silah Tasima_IZM</t>
  </si>
  <si>
    <t>15955</t>
  </si>
  <si>
    <t>15956</t>
  </si>
  <si>
    <t>15957</t>
  </si>
  <si>
    <t>15958</t>
  </si>
  <si>
    <t>15959</t>
  </si>
  <si>
    <t>15960</t>
  </si>
  <si>
    <t>BELBİM901AEROSERDEK</t>
  </si>
  <si>
    <t>009.1200505010.000000.000.000000.000000.000000.0000.00.00.00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</si>
</sst>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</font>
    <font>
      <sz val="10"/>
      <color indexed="8"/>
      <name val="Arial"/>
      <family val="2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b/>
      <sz val="8"/>
      <color theme="1"/>
      <name val="Calibri"/>
      <family val="2"/>
      <charset val="162"/>
    </font>
    <font>
      <sz val="10"/>
      <name val="Arial"/>
      <family val="2"/>
      <charset val="162"/>
    </font>
    <font>
      <sz val="10"/>
      <name val="Arial"/>
      <family val="2"/>
      <charset val="162"/>
    </font>
    <font>
      <sz val="8"/>
      <color theme="1"/>
      <name val="Calibri"/>
      <family val="2"/>
      <charset val="162"/>
    </font>
    <font>
      <b/>
      <sz val="8"/>
      <color theme="1"/>
      <name val="Calibri"/>
    </font>
    <font>
      <sz val="8"/>
      <color theme="1"/>
      <name val="Calibri"/>
    </font>
  </fonts>
  <fills count="9">
    <fill>
      <patternFill patternType="none"/>
    </fill>
    <fill>
      <patternFill patternType="gray125"/>
    </fill>
    <fill>
      <patternFill patternType="solid">
        <fgColor rgb="FFF0F4FA"/>
      </patternFill>
    </fill>
    <fill>
      <patternFill patternType="solid">
        <fgColor rgb="FFFFFFFF"/>
      </patternFill>
    </fill>
    <fill>
      <patternFill patternType="solid">
        <fgColor rgb="FFF1E87D"/>
      </patternFill>
    </fill>
    <fill>
      <patternFill patternType="solid">
        <fgColor rgb="FFCCFFCC"/>
      </patternFill>
    </fill>
    <fill>
      <patternFill patternType="solid">
        <fgColor rgb="FFFF993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rgb="FF979991"/>
      </left>
      <right/>
      <top style="thin">
        <color rgb="FF979991"/>
      </top>
      <bottom/>
      <diagonal/>
    </border>
    <border>
      <left style="thin">
        <color rgb="FF979991"/>
      </left>
      <right style="thin">
        <color rgb="FF979991"/>
      </right>
      <top style="thin">
        <color rgb="FF979991"/>
      </top>
      <bottom/>
      <diagonal/>
    </border>
    <border>
      <left style="thin">
        <color rgb="FF979991"/>
      </left>
      <right/>
      <top style="thin">
        <color rgb="FF979991"/>
      </top>
      <bottom style="thin">
        <color rgb="FF979991"/>
      </bottom>
      <diagonal/>
    </border>
    <border>
      <left style="thin">
        <color rgb="FF979991"/>
      </left>
      <right style="thin">
        <color rgb="FF979991"/>
      </right>
      <top style="thin">
        <color rgb="FF979991"/>
      </top>
      <bottom style="thin">
        <color rgb="FF97999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4" fillId="0" borderId="0"/>
    <xf numFmtId="0" fontId="6" fillId="0" borderId="0"/>
    <xf numFmtId="0" fontId="7" fillId="0" borderId="0"/>
    <xf numFmtId="0" fontId="7" fillId="0" borderId="0"/>
  </cellStyleXfs>
  <cellXfs count="45">
    <xf numFmtId="0" fontId="0" fillId="0" borderId="0" xfId="0"/>
    <xf numFmtId="4" fontId="0" fillId="0" borderId="0" xfId="0" applyNumberFormat="1"/>
    <xf numFmtId="0" fontId="0" fillId="0" borderId="5" xfId="0" applyBorder="1"/>
    <xf numFmtId="4" fontId="0" fillId="0" borderId="5" xfId="0" applyNumberFormat="1" applyBorder="1"/>
    <xf numFmtId="0" fontId="1" fillId="0" borderId="0" xfId="1"/>
    <xf numFmtId="4" fontId="0" fillId="7" borderId="5" xfId="0" applyNumberFormat="1" applyFill="1" applyBorder="1"/>
    <xf numFmtId="0" fontId="5" fillId="7" borderId="5" xfId="1" applyFont="1" applyFill="1" applyBorder="1" applyAlignment="1">
      <alignment horizontal="left" vertical="top" wrapText="1"/>
    </xf>
    <xf numFmtId="4" fontId="0" fillId="8" borderId="5" xfId="0" applyNumberFormat="1" applyFill="1" applyBorder="1"/>
    <xf numFmtId="0" fontId="5" fillId="8" borderId="5" xfId="1" applyFont="1" applyFill="1" applyBorder="1" applyAlignment="1">
      <alignment horizontal="left" vertical="top" wrapText="1"/>
    </xf>
    <xf numFmtId="0" fontId="0" fillId="0" borderId="7" xfId="0" applyBorder="1"/>
    <xf numFmtId="0" fontId="0" fillId="0" borderId="9" xfId="0" applyBorder="1"/>
    <xf numFmtId="4" fontId="0" fillId="0" borderId="10" xfId="0" applyNumberFormat="1" applyBorder="1"/>
    <xf numFmtId="0" fontId="0" fillId="0" borderId="12" xfId="0" applyBorder="1"/>
    <xf numFmtId="0" fontId="0" fillId="0" borderId="10" xfId="0" applyBorder="1"/>
    <xf numFmtId="4" fontId="3" fillId="0" borderId="7" xfId="0" applyNumberFormat="1" applyFont="1" applyBorder="1"/>
    <xf numFmtId="4" fontId="3" fillId="0" borderId="8" xfId="0" applyNumberFormat="1" applyFont="1" applyBorder="1"/>
    <xf numFmtId="4" fontId="0" fillId="0" borderId="12" xfId="0" applyNumberFormat="1" applyBorder="1"/>
    <xf numFmtId="4" fontId="0" fillId="0" borderId="13" xfId="0" applyNumberFormat="1" applyBorder="1"/>
    <xf numFmtId="0" fontId="0" fillId="2" borderId="3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/>
    </xf>
    <xf numFmtId="0" fontId="0" fillId="2" borderId="3" xfId="0" applyFill="1" applyBorder="1" applyAlignment="1">
      <alignment horizontal="right" vertical="top" wrapText="1"/>
    </xf>
    <xf numFmtId="0" fontId="0" fillId="2" borderId="4" xfId="0" applyFill="1" applyBorder="1" applyAlignment="1">
      <alignment horizontal="right" vertical="top" wrapText="1"/>
    </xf>
    <xf numFmtId="4" fontId="8" fillId="3" borderId="4" xfId="0" applyNumberFormat="1" applyFont="1" applyFill="1" applyBorder="1" applyAlignment="1">
      <alignment horizontal="right" vertical="top" wrapText="1"/>
    </xf>
    <xf numFmtId="0" fontId="5" fillId="2" borderId="2" xfId="0" applyFont="1" applyFill="1" applyBorder="1" applyAlignment="1">
      <alignment horizontal="left" vertical="top" wrapText="1"/>
    </xf>
    <xf numFmtId="4" fontId="0" fillId="7" borderId="12" xfId="0" applyNumberFormat="1" applyFill="1" applyBorder="1"/>
    <xf numFmtId="4" fontId="0" fillId="8" borderId="12" xfId="0" applyNumberFormat="1" applyFill="1" applyBorder="1"/>
    <xf numFmtId="0" fontId="0" fillId="0" borderId="6" xfId="0" applyBorder="1"/>
    <xf numFmtId="0" fontId="0" fillId="0" borderId="11" xfId="0" applyBorder="1"/>
    <xf numFmtId="0" fontId="5" fillId="7" borderId="5" xfId="1" applyFont="1" applyFill="1" applyBorder="1" applyAlignment="1">
      <alignment horizontal="left" vertical="top"/>
    </xf>
    <xf numFmtId="4" fontId="1" fillId="0" borderId="0" xfId="1" applyNumberFormat="1"/>
    <xf numFmtId="0" fontId="9" fillId="2" borderId="1" xfId="0" applyFont="1" applyFill="1" applyBorder="1" applyAlignment="1">
      <alignment horizontal="left" vertical="top" wrapText="1"/>
    </xf>
    <xf numFmtId="0" fontId="9" fillId="2" borderId="2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164" fontId="10" fillId="3" borderId="3" xfId="0" applyNumberFormat="1" applyFont="1" applyFill="1" applyBorder="1" applyAlignment="1">
      <alignment horizontal="left" vertical="top"/>
    </xf>
    <xf numFmtId="4" fontId="10" fillId="3" borderId="3" xfId="0" applyNumberFormat="1" applyFont="1" applyFill="1" applyBorder="1" applyAlignment="1">
      <alignment horizontal="right" vertical="top" wrapText="1"/>
    </xf>
    <xf numFmtId="4" fontId="10" fillId="4" borderId="3" xfId="0" applyNumberFormat="1" applyFont="1" applyFill="1" applyBorder="1" applyAlignment="1">
      <alignment horizontal="right" vertical="top" wrapText="1"/>
    </xf>
    <xf numFmtId="4" fontId="10" fillId="5" borderId="3" xfId="0" applyNumberFormat="1" applyFont="1" applyFill="1" applyBorder="1" applyAlignment="1">
      <alignment horizontal="right" vertical="top" wrapText="1"/>
    </xf>
    <xf numFmtId="4" fontId="10" fillId="6" borderId="3" xfId="0" applyNumberFormat="1" applyFont="1" applyFill="1" applyBorder="1" applyAlignment="1">
      <alignment horizontal="right" vertical="top" wrapText="1"/>
    </xf>
    <xf numFmtId="3" fontId="10" fillId="3" borderId="3" xfId="0" applyNumberFormat="1" applyFont="1" applyFill="1" applyBorder="1" applyAlignment="1">
      <alignment horizontal="right" vertical="top" wrapText="1"/>
    </xf>
    <xf numFmtId="3" fontId="10" fillId="3" borderId="4" xfId="0" applyNumberFormat="1" applyFont="1" applyFill="1" applyBorder="1" applyAlignment="1">
      <alignment horizontal="right" vertical="top" wrapText="1"/>
    </xf>
    <xf numFmtId="0" fontId="9" fillId="2" borderId="3" xfId="0" applyFont="1" applyFill="1" applyBorder="1" applyAlignment="1">
      <alignment horizontal="left" vertical="top" wrapText="1"/>
    </xf>
    <xf numFmtId="4" fontId="9" fillId="2" borderId="3" xfId="0" applyNumberFormat="1" applyFont="1" applyFill="1" applyBorder="1" applyAlignment="1">
      <alignment horizontal="right" vertical="top" wrapText="1"/>
    </xf>
    <xf numFmtId="0" fontId="0" fillId="3" borderId="3" xfId="0" applyFill="1" applyBorder="1" applyAlignment="1">
      <alignment horizontal="left" vertical="top" wrapText="1"/>
    </xf>
    <xf numFmtId="4" fontId="0" fillId="7" borderId="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</cellXfs>
  <cellStyles count="7">
    <cellStyle name="Comma 2" xfId="5" xr:uid="{B1CD2A08-6A7B-4DF3-AAAE-0290644B37B2}"/>
    <cellStyle name="Normal" xfId="0" builtinId="0"/>
    <cellStyle name="Normal 2" xfId="1" xr:uid="{678D7970-29EE-4705-8141-E37B893BAD00}"/>
    <cellStyle name="Normal 2 2" xfId="6" xr:uid="{2AF3E54E-F8B3-469F-8D7D-EBF2E7077969}"/>
    <cellStyle name="Normal 3" xfId="2" xr:uid="{550403F1-CF3F-4965-9C8E-0A0A34A52C11}"/>
    <cellStyle name="Normal 4" xfId="3" xr:uid="{42251793-3543-48DF-BD94-353A9BCBA7A9}"/>
    <cellStyle name="Normal 5" xfId="4" xr:uid="{B72AA9C3-562C-4C87-8F2C-ED49E63704F9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avairports-my.sharepoint.com/personal/tboz_tav_aero/Documents/Masa&#252;st&#252;/NAK&#304;T%20DENGES&#304;/2025-TEMMUZ/ar_yaslandirma_25072025.xlsm" TargetMode="External"/><Relationship Id="rId1" Type="http://schemas.openxmlformats.org/officeDocument/2006/relationships/externalLinkPath" Target="ar_yaslandirma_2507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0gün üzer"/>
      <sheetName val="vade_analizi"/>
      <sheetName val="ÖZET"/>
      <sheetName val="yaşlandırma"/>
      <sheetName val="DETAY-yaşlandırma"/>
      <sheetName val="DETAY"/>
      <sheetName val="Sheet1"/>
      <sheetName val="ham_data"/>
      <sheetName val="GRUP_İÇİ_ŞİRKET_KODLARI "/>
    </sheetNames>
    <sheetDataSet>
      <sheetData sheetId="0"/>
      <sheetData sheetId="1"/>
      <sheetData sheetId="2"/>
      <sheetData sheetId="3"/>
      <sheetData sheetId="4">
        <row r="2">
          <cell r="A2"/>
          <cell r="B2"/>
        </row>
        <row r="3">
          <cell r="A3" t="str">
            <v>Sum of Open Balance</v>
          </cell>
          <cell r="B3"/>
        </row>
        <row r="4">
          <cell r="A4" t="str">
            <v>Customer Name</v>
          </cell>
          <cell r="B4" t="str">
            <v>Invoice Currency Code</v>
          </cell>
        </row>
        <row r="5">
          <cell r="A5" t="str">
            <v>TAV MİLAS BODRUM TERMİNAL İŞL.A.Ş.</v>
          </cell>
          <cell r="B5" t="str">
            <v>TRY</v>
          </cell>
        </row>
        <row r="6">
          <cell r="A6" t="str">
            <v>TAV GAZİPAŞA ALANYA HAVALİMANI İŞLETMECİLİĞİ A.Ş.</v>
          </cell>
          <cell r="B6" t="str">
            <v>TRY</v>
          </cell>
        </row>
        <row r="7">
          <cell r="A7" t="str">
            <v>AEROSER ENTEGRE YÖNETİM VE DESTEK HİZMETLERİ A.Ş.</v>
          </cell>
          <cell r="B7" t="str">
            <v>TRY</v>
          </cell>
        </row>
        <row r="8">
          <cell r="A8" t="str">
            <v>BTA UNLU MAMÜLLER GIDA ÜRETİM SAN.ve TİC.A.Ş.</v>
          </cell>
          <cell r="B8" t="str">
            <v>TRY</v>
          </cell>
        </row>
        <row r="9">
          <cell r="A9" t="str">
            <v>DHL WORLDWIDE EXPRESS TAŞ.TİC.A.Ş.</v>
          </cell>
          <cell r="B9" t="str">
            <v>TRY</v>
          </cell>
        </row>
        <row r="10">
          <cell r="A10" t="str">
            <v>TAV-SERA ANKARA ADİ ORTAKLIĞI</v>
          </cell>
          <cell r="B10" t="str">
            <v>TRY</v>
          </cell>
        </row>
        <row r="11">
          <cell r="A11" t="str">
            <v>POLYAK EYNEZ ENERJİ ÜRETİM MADENCİLİK SAN. VE TİC. A.Ş.</v>
          </cell>
          <cell r="B11" t="str">
            <v>TRY</v>
          </cell>
        </row>
        <row r="12">
          <cell r="A12" t="str">
            <v>FULYA SAĞLIK TESİSLERİ A.Ş.</v>
          </cell>
          <cell r="B12" t="str">
            <v>TRY</v>
          </cell>
        </row>
        <row r="13">
          <cell r="A13" t="str">
            <v>TAV GAYRİMENKUL GELİŞTİRME ANONİM ŞİRKETİ</v>
          </cell>
          <cell r="B13" t="str">
            <v>TRY</v>
          </cell>
        </row>
        <row r="14">
          <cell r="A14" t="str">
            <v>FMV IŞIK ÜNİVERSİTESİ</v>
          </cell>
          <cell r="B14" t="str">
            <v>TRY</v>
          </cell>
        </row>
        <row r="15">
          <cell r="A15" t="str">
            <v>FLORYA EKŞİNAR KONAKLARI VE İŞYERİ BİNASI SİTE YÖNETİMİ</v>
          </cell>
          <cell r="B15" t="str">
            <v>TRY</v>
          </cell>
        </row>
        <row r="16">
          <cell r="A16" t="str">
            <v>BEBEK TURİZM İNŞAAT TİCARET A.Ş.</v>
          </cell>
          <cell r="B16" t="str">
            <v>TRY</v>
          </cell>
        </row>
        <row r="17">
          <cell r="A17" t="str">
            <v>T.C. DEMİROĞLU BİLİM ÜNİVERSİTESİ</v>
          </cell>
          <cell r="B17" t="str">
            <v>TRY</v>
          </cell>
        </row>
        <row r="18">
          <cell r="A18" t="str">
            <v>AJET HAVA TAŞIMACILIĞI A.Ş.</v>
          </cell>
          <cell r="B18" t="str">
            <v>TRY</v>
          </cell>
        </row>
        <row r="19">
          <cell r="A19" t="str">
            <v>FİNANSKENT SİTE YÖNETİMİ</v>
          </cell>
          <cell r="B19" t="str">
            <v>TRY</v>
          </cell>
        </row>
        <row r="20">
          <cell r="A20" t="str">
            <v>SEBA İNŞAAT A.Ş.</v>
          </cell>
          <cell r="B20" t="str">
            <v>TRY</v>
          </cell>
        </row>
        <row r="21">
          <cell r="A21" t="str">
            <v>FLORENCE NIGHTINGALE TIP MERKEZİ A.Ş.</v>
          </cell>
          <cell r="B21" t="str">
            <v>TRY</v>
          </cell>
        </row>
        <row r="22">
          <cell r="A22" t="str">
            <v>SERA YAPI END.VE TİC.A.Ş.</v>
          </cell>
          <cell r="B22" t="str">
            <v>TRY</v>
          </cell>
        </row>
        <row r="23">
          <cell r="A23" t="str">
            <v>DEBATEKS TEKSTİL SAN.VE DIŞ TİC.LTD.ŞTİ.</v>
          </cell>
          <cell r="B23" t="str">
            <v>TRY</v>
          </cell>
        </row>
        <row r="24">
          <cell r="A24" t="str">
            <v>AEROSEC ÖZEL GÜVENLİK HİZMETLERİ A.Ş.</v>
          </cell>
          <cell r="B24" t="str">
            <v>TRY</v>
          </cell>
        </row>
        <row r="25">
          <cell r="A25" t="str">
            <v>GRUP FLORENCE NIGHTINGALE HASTANELERİ A.Ş.</v>
          </cell>
          <cell r="B25" t="str">
            <v>TRY</v>
          </cell>
        </row>
        <row r="26">
          <cell r="A26" t="str">
            <v>TAV TEPE AKFEN YATIRIM İNŞ.VE İŞLT.A.Ş.</v>
          </cell>
          <cell r="B26" t="str">
            <v>TRY</v>
          </cell>
        </row>
        <row r="27">
          <cell r="A27" t="str">
            <v>PETROL OFİSİ A.Ş.</v>
          </cell>
          <cell r="B27" t="str">
            <v>TRY</v>
          </cell>
        </row>
        <row r="28">
          <cell r="A28" t="str">
            <v>5K YÜZEY TEKNOLOJİLERİ ORMAN ÜRÜNLERİ MOB.SAN.VE TİC.A.Ş.</v>
          </cell>
          <cell r="B28" t="str">
            <v>TRY</v>
          </cell>
        </row>
        <row r="29">
          <cell r="A29" t="str">
            <v>ROSE MARİNE TOPLU YAPILARI YÖNETİMİ</v>
          </cell>
          <cell r="B29" t="str">
            <v>TRY</v>
          </cell>
        </row>
        <row r="30">
          <cell r="A30" t="str">
            <v>VADİSTANBUL AVM HİZMETLERİ A.Ş.</v>
          </cell>
          <cell r="B30" t="str">
            <v>TRY</v>
          </cell>
        </row>
        <row r="31">
          <cell r="A31" t="str">
            <v>BOTİM İŞLETME YÖNETİM VE TİCARET A.Ş.</v>
          </cell>
          <cell r="B31" t="str">
            <v>TRY</v>
          </cell>
        </row>
        <row r="32">
          <cell r="A32" t="str">
            <v>IMPERİUM NO 1 RESİDENCE BİNA YÖNETİCİLİĞİ</v>
          </cell>
          <cell r="B32" t="str">
            <v>TRY</v>
          </cell>
        </row>
        <row r="33">
          <cell r="A33" t="str">
            <v>PFİZER PFE İLAÇLARI AŞ.</v>
          </cell>
          <cell r="B33" t="str">
            <v>TRY</v>
          </cell>
        </row>
        <row r="34">
          <cell r="A34" t="str">
            <v>AIR ALGERIA</v>
          </cell>
          <cell r="B34" t="str">
            <v>EUR</v>
          </cell>
        </row>
        <row r="35">
          <cell r="A35" t="str">
            <v>TAV AKADEMİ EĞİTİM VE DAN.HİZ.A.Ş.</v>
          </cell>
          <cell r="B35" t="str">
            <v>TRY</v>
          </cell>
        </row>
        <row r="36">
          <cell r="A36" t="str">
            <v>TÜRK TRAKTÖR VE ZİRAAT MAK. A.Ş.</v>
          </cell>
          <cell r="B36" t="str">
            <v>TRY</v>
          </cell>
        </row>
        <row r="37">
          <cell r="A37" t="str">
            <v>TAV ÖZEL GÜVENLİK PERSONEL DİĞER</v>
          </cell>
          <cell r="B37" t="str">
            <v>TRY</v>
          </cell>
        </row>
        <row r="38">
          <cell r="A38" t="str">
            <v>TRANSAVIA FRANCE SAS</v>
          </cell>
          <cell r="B38" t="str">
            <v>EUR</v>
          </cell>
        </row>
        <row r="39">
          <cell r="A39" t="str">
            <v>MILVEST AKARYAKIT FİNANS VE DIŞ TİC.A.Ş.SARL</v>
          </cell>
          <cell r="B39" t="str">
            <v>USD</v>
          </cell>
        </row>
        <row r="40">
          <cell r="A40" t="str">
            <v>TAV ESENBOĞA YATIRIM YAPIM VE İŞLETME A.Ş.</v>
          </cell>
          <cell r="B40" t="str">
            <v>TRY</v>
          </cell>
        </row>
        <row r="41">
          <cell r="A41" t="str">
            <v>SUUDİ ARABİSTAN HAVAYOLLARI</v>
          </cell>
          <cell r="B41" t="str">
            <v>USD</v>
          </cell>
        </row>
        <row r="42">
          <cell r="A42" t="str">
            <v>VOLVO GROUP OTOMOTİV TİC.LTD.ŞTİ.</v>
          </cell>
          <cell r="B42" t="str">
            <v>TRY</v>
          </cell>
        </row>
        <row r="43">
          <cell r="A43" t="str">
            <v>PHOENIX TOURS TURİZM SEYAHAT DAN.İTH.İHR.TİC.VE SAN.LTD.ŞTİ.</v>
          </cell>
          <cell r="B43" t="str">
            <v>TRY</v>
          </cell>
        </row>
        <row r="44">
          <cell r="A44" t="str">
            <v>ATLASJET HAVACILIK A.Ş.</v>
          </cell>
          <cell r="B44" t="str">
            <v>TRY</v>
          </cell>
        </row>
        <row r="45">
          <cell r="A45" t="str">
            <v>AIR ALGERIA</v>
          </cell>
          <cell r="B45" t="str">
            <v>TRY</v>
          </cell>
        </row>
        <row r="46">
          <cell r="A46" t="str">
            <v>AJET HAVA TAŞIMACILIĞI A.Ş.</v>
          </cell>
          <cell r="B46" t="str">
            <v>EUR</v>
          </cell>
        </row>
        <row r="47">
          <cell r="A47" t="str">
            <v>ÖZEL ATAKENT KOLEJ EĞİTİM YAYIN BASIM HİZ.TİC.VE SAN.A.Ş.</v>
          </cell>
          <cell r="B47" t="str">
            <v>TRY</v>
          </cell>
        </row>
        <row r="48">
          <cell r="A48" t="str">
            <v>INTERGLOBE AVIATION LTD.JANPATH/NEW DELHI</v>
          </cell>
          <cell r="B48" t="str">
            <v>TRY</v>
          </cell>
        </row>
        <row r="49">
          <cell r="A49" t="str">
            <v>TAV AKADEMİ EĞİTİM VE DAN.HİZ.A.Ş.</v>
          </cell>
          <cell r="B49" t="str">
            <v>EUR</v>
          </cell>
        </row>
        <row r="50">
          <cell r="A50" t="str">
            <v>UĞUR METAL ELEKTRONİK GERİ DÖNÜŞÜM A.Ş.</v>
          </cell>
          <cell r="B50" t="str">
            <v>TRY</v>
          </cell>
        </row>
        <row r="51">
          <cell r="A51" t="str">
            <v>TAV ÖZEL GÜVENLİK PERSONEL EĞİTİM</v>
          </cell>
          <cell r="B51" t="str">
            <v>TRY</v>
          </cell>
        </row>
        <row r="52">
          <cell r="A52" t="str">
            <v>GÖKSU DAMLA TEKSTİL KONFEKSİYON SAN.VE TİC.LTD.ŞTİ.</v>
          </cell>
          <cell r="B52" t="str">
            <v>TRY</v>
          </cell>
        </row>
        <row r="53">
          <cell r="A53" t="str">
            <v>DÜŞKENT SİTESİ YÖNETİCİLİĞİ</v>
          </cell>
          <cell r="B53" t="str">
            <v>TRY</v>
          </cell>
        </row>
        <row r="54">
          <cell r="A54" t="str">
            <v>NORTHSTAR DENİZ ARAÇLARI ÜRETİMİ A.Ş.</v>
          </cell>
          <cell r="B54" t="str">
            <v>TRY</v>
          </cell>
        </row>
        <row r="55">
          <cell r="A55" t="str">
            <v>EREN ENERJİ ELEKTRİK ÜRETİM A.Ş.</v>
          </cell>
          <cell r="B55" t="str">
            <v>TRY</v>
          </cell>
        </row>
        <row r="56">
          <cell r="A56" t="str">
            <v>BELGIAN IMMIGRATION OFFICE</v>
          </cell>
          <cell r="B56" t="str">
            <v>EUR</v>
          </cell>
        </row>
        <row r="57">
          <cell r="A57" t="str">
            <v>BEZMİALEM VAKIF ÜNİ.AĞIZ VE DİŞ SAĞLIĞI UYG.VE ARŞ.MERKEZİ</v>
          </cell>
          <cell r="B57" t="str">
            <v>TRY</v>
          </cell>
        </row>
        <row r="58">
          <cell r="A58" t="str">
            <v>BEZMİALEM VAKIF ÜNİVERSİTESİ</v>
          </cell>
          <cell r="B58" t="str">
            <v>TRY</v>
          </cell>
        </row>
        <row r="59">
          <cell r="A59" t="str">
            <v>BEZMİALEM VAKIF ÜNİVERSİTESİ TIP FAKÜLTESİ SAĞLIK UYG.VE ARAŞ.MERK.HASTANESİ</v>
          </cell>
          <cell r="B59" t="str">
            <v>TRY</v>
          </cell>
        </row>
        <row r="60">
          <cell r="A60" t="str">
            <v>CORTEX HAVACILIK VE TUR.TİC.A.Ş.</v>
          </cell>
          <cell r="B60" t="str">
            <v>EUR</v>
          </cell>
        </row>
        <row r="61">
          <cell r="A61" t="str">
            <v>ELCA KOZMETİK LTD.ŞTİ.</v>
          </cell>
          <cell r="B61" t="str">
            <v>TRY</v>
          </cell>
        </row>
        <row r="62">
          <cell r="A62" t="str">
            <v>FEDEX EXPRESS TURKEY TAŞIMACILIK VE TİC.LTD.ŞTİ.</v>
          </cell>
          <cell r="B62" t="str">
            <v>TRY</v>
          </cell>
        </row>
        <row r="63">
          <cell r="A63" t="str">
            <v>GALATAPORT İSTANBUL LİMAN İŞLETMECİLİĞİ VE YATIRIMLARI A.Ş.</v>
          </cell>
          <cell r="B63" t="str">
            <v>TRY</v>
          </cell>
        </row>
        <row r="64">
          <cell r="A64" t="str">
            <v>HAVAALANLARI YER HİZ. A.Ş.</v>
          </cell>
          <cell r="B64" t="str">
            <v>TRY</v>
          </cell>
        </row>
        <row r="65">
          <cell r="A65" t="str">
            <v>İST GÜVEN İSTANBUL GÜVENLİK A.Ş.</v>
          </cell>
          <cell r="B65" t="str">
            <v>TRY</v>
          </cell>
        </row>
        <row r="66">
          <cell r="A66" t="str">
            <v>İTKİB GENEL SEKRETERLİĞİ</v>
          </cell>
          <cell r="B66" t="str">
            <v>TRY</v>
          </cell>
        </row>
        <row r="67">
          <cell r="A67" t="str">
            <v>İTOB ORGANİZE SANAYİ BÖLGESİ</v>
          </cell>
          <cell r="B67" t="str">
            <v>TRY</v>
          </cell>
        </row>
        <row r="68">
          <cell r="A68" t="str">
            <v>KODA BİLİŞİM SANAYİ VE TİCARET A.Ş.</v>
          </cell>
          <cell r="B68" t="str">
            <v>TRY</v>
          </cell>
        </row>
        <row r="69">
          <cell r="A69" t="str">
            <v>MAYA GAYRİMENKUL GELİŞTİRME A.Ş.</v>
          </cell>
          <cell r="B69" t="str">
            <v>TRY</v>
          </cell>
        </row>
        <row r="70">
          <cell r="A70" t="str">
            <v>MEDİFEMA ÖZEL SĞLIK HİZ.İNŞ.TUR.SAN.VE TİC.A.Ş.</v>
          </cell>
          <cell r="B70" t="str">
            <v>TRY</v>
          </cell>
        </row>
        <row r="71">
          <cell r="A71" t="str">
            <v>MEF ÜNİVERSİTESİ</v>
          </cell>
          <cell r="B71" t="str">
            <v>TRY</v>
          </cell>
        </row>
        <row r="72">
          <cell r="A72" t="str">
            <v>METROPOL EREN YÖNETİMİ</v>
          </cell>
          <cell r="B72" t="str">
            <v>TRY</v>
          </cell>
        </row>
        <row r="73">
          <cell r="A73" t="str">
            <v>PEGASUS HAVA TAŞIMACILIĞI A.Ş.</v>
          </cell>
          <cell r="B73" t="str">
            <v>TRY</v>
          </cell>
        </row>
        <row r="74">
          <cell r="A74" t="str">
            <v>SİNPAŞ GYO AYDOS COUNTRY TOPLU YAPI SİTESİ</v>
          </cell>
          <cell r="B74" t="str">
            <v>TRY</v>
          </cell>
        </row>
        <row r="75">
          <cell r="A75" t="str">
            <v>SİTE TURİZM TİCARET İNŞAAT VE SANAYİ A.Ş.</v>
          </cell>
          <cell r="B75" t="str">
            <v>TRY</v>
          </cell>
        </row>
        <row r="76">
          <cell r="A76" t="str">
            <v>SKYLINE HAVACILIK VE SAVUNMA SANAYİ TİC. A.Ş.</v>
          </cell>
          <cell r="B76" t="str">
            <v>EUR</v>
          </cell>
        </row>
        <row r="77">
          <cell r="A77" t="str">
            <v>SKYTANKING HAVACILIK HİZMETLERİ ANONİM ŞİRKETİ</v>
          </cell>
          <cell r="B77" t="str">
            <v>TRY</v>
          </cell>
        </row>
        <row r="78">
          <cell r="A78" t="str">
            <v>TAV YATIRIM HOLDİNG A.Ş.</v>
          </cell>
          <cell r="B78" t="str">
            <v>TRY</v>
          </cell>
        </row>
        <row r="79">
          <cell r="A79" t="str">
            <v>TÜRK HAVA YOLLARI A.O.</v>
          </cell>
          <cell r="B79" t="str">
            <v>EUR</v>
          </cell>
        </row>
        <row r="80">
          <cell r="A80" t="str">
            <v>TÜRK HAVA YOLLARI A.O.</v>
          </cell>
          <cell r="B80" t="str">
            <v>TRY</v>
          </cell>
        </row>
        <row r="81">
          <cell r="A81" t="str">
            <v>AD-ROSSEN TARIM SANAYİ VE TİCARET A.Ş.</v>
          </cell>
          <cell r="B81" t="str">
            <v>TRY</v>
          </cell>
        </row>
        <row r="82">
          <cell r="A82" t="str">
            <v>AGROBEST GRUP TARIM İLAÇLARI TOH.İML.İTH.İHR.SAN.VE TİC.A.Ş.</v>
          </cell>
          <cell r="B82" t="str">
            <v>TRY</v>
          </cell>
        </row>
        <row r="83">
          <cell r="A83" t="str">
            <v>ALPİN ÇORAP SAN.VE TİC. A.Ş.</v>
          </cell>
          <cell r="B83" t="str">
            <v>TRY</v>
          </cell>
        </row>
        <row r="84">
          <cell r="A84" t="str">
            <v>ANTALYA TAV SERA ADİ ORTAKLIĞI</v>
          </cell>
          <cell r="B84" t="str">
            <v>TRY</v>
          </cell>
        </row>
        <row r="85">
          <cell r="A85" t="str">
            <v>AZURO KİMYA SAN. VE TİC. A.Ş.</v>
          </cell>
          <cell r="B85" t="str">
            <v>TRY</v>
          </cell>
        </row>
        <row r="86">
          <cell r="A86" t="str">
            <v>ÇUBUK HAYVANCILIK İHTİSAS ORG.SAN.BÖLGESİ</v>
          </cell>
          <cell r="B86" t="str">
            <v>TRY</v>
          </cell>
        </row>
        <row r="87">
          <cell r="A87" t="str">
            <v>EGE İHRACATÇI BİRLİKLERİ</v>
          </cell>
          <cell r="B87" t="str">
            <v>TRY</v>
          </cell>
        </row>
        <row r="88">
          <cell r="A88" t="str">
            <v>GENS İNŞAAT MÜH. İTH. İHR. SAN. TIC. LTD. ŞTI</v>
          </cell>
          <cell r="B88" t="str">
            <v>TRY</v>
          </cell>
        </row>
        <row r="89">
          <cell r="A89" t="str">
            <v>HİTİT TRANS ULUSLARARASI NAKLİYAT GÜM.MÜŞ.SAN.VE TİC.LTD.ŞTİ.</v>
          </cell>
          <cell r="B89" t="str">
            <v>TRY</v>
          </cell>
        </row>
        <row r="90">
          <cell r="A90" t="str">
            <v>IRAK CUMHURİYETİ İSTANBUL BAŞKONSOLOSLUĞU</v>
          </cell>
          <cell r="B90" t="str">
            <v>USD</v>
          </cell>
        </row>
        <row r="91">
          <cell r="A91" t="str">
            <v>MACARİSTAN BÜYÜKELÇİLİĞİ</v>
          </cell>
          <cell r="B91" t="str">
            <v>TRY</v>
          </cell>
        </row>
        <row r="92">
          <cell r="A92" t="str">
            <v>MİLAGRO TARIM VE GIDA SAN.TİC.LTD.ŞTİ</v>
          </cell>
          <cell r="B92" t="str">
            <v>TRY</v>
          </cell>
        </row>
        <row r="93">
          <cell r="A93" t="str">
            <v>OFİS YEM GIDA SANAYİ TİCARET A.Ş</v>
          </cell>
          <cell r="B93" t="str">
            <v>TRY</v>
          </cell>
        </row>
        <row r="94">
          <cell r="A94" t="str">
            <v>STC ENDÜSTRİYEL TİC.VE SAN.A.Ş.</v>
          </cell>
          <cell r="B94" t="str">
            <v>TRY</v>
          </cell>
        </row>
        <row r="95">
          <cell r="A95" t="str">
            <v>UYSALGAZİ ALIŞVERİŞ MERKEZİ TİC. A.Ş.</v>
          </cell>
          <cell r="B95" t="str">
            <v>TRY</v>
          </cell>
        </row>
        <row r="96">
          <cell r="A96" t="str">
            <v>ÜNİTEKS TEKS. GIDA MOTOR ARAÇ.SAN.VE TİC.A.Ş.</v>
          </cell>
          <cell r="B96" t="str">
            <v>TRY</v>
          </cell>
        </row>
        <row r="97">
          <cell r="A97" t="str">
            <v>VİTA LOFT BUCA SİTESİ</v>
          </cell>
          <cell r="B97" t="str">
            <v>TRY</v>
          </cell>
        </row>
        <row r="98">
          <cell r="A98" t="str">
            <v>YALIKONAK EVLERİ SİTE YÖNETİMİ</v>
          </cell>
          <cell r="B98" t="str">
            <v>TRY</v>
          </cell>
        </row>
        <row r="99">
          <cell r="A99" t="str">
            <v>PEGASUS HAVA TAŞIMACILIĞI A.Ş.</v>
          </cell>
          <cell r="B99" t="str">
            <v>EUR</v>
          </cell>
        </row>
        <row r="100">
          <cell r="A100" t="str">
            <v>TAV EGE TERMİNAL YAT.YAP.VE İŞL.A.Ş.</v>
          </cell>
          <cell r="B100" t="str">
            <v>TRY</v>
          </cell>
        </row>
        <row r="101">
          <cell r="A101" t="str">
            <v>ALPİN AKTİF GİYİM SAN.VE TİC. A.Ş</v>
          </cell>
          <cell r="B101" t="str">
            <v>TRY</v>
          </cell>
        </row>
        <row r="102">
          <cell r="A102" t="str">
            <v>ASAV LOJİSTİK HİZMETLERİ A.Ş.</v>
          </cell>
          <cell r="B102" t="str">
            <v>TRY</v>
          </cell>
        </row>
        <row r="103">
          <cell r="A103" t="str">
            <v>ATLAS ÇORAP SAN.VE TİC.LTD.ŞTİ.</v>
          </cell>
          <cell r="B103" t="str">
            <v>TRY</v>
          </cell>
        </row>
        <row r="104">
          <cell r="A104" t="str">
            <v>AVRUPA KONAKLARI FLORYA SİTE YÖNETİMİ</v>
          </cell>
          <cell r="B104" t="str">
            <v>TRY</v>
          </cell>
        </row>
        <row r="105">
          <cell r="A105" t="str">
            <v>AVRUPA KONUTLARI KALE TOPKAPI KONUT BLOKLARI YÖNETİMİ</v>
          </cell>
          <cell r="B105" t="str">
            <v>TRY</v>
          </cell>
        </row>
        <row r="106">
          <cell r="A106" t="str">
            <v>BOYTEK REÇİNE BOYA VE KİMYA SANAİİ TİCARET A.Ş.</v>
          </cell>
          <cell r="B106" t="str">
            <v>TRY</v>
          </cell>
        </row>
        <row r="107">
          <cell r="A107" t="str">
            <v>ERTUĞRUL DOĞAN</v>
          </cell>
          <cell r="B107" t="str">
            <v>TRY</v>
          </cell>
        </row>
        <row r="108">
          <cell r="A108" t="str">
            <v>ES YÖNETİM DANIŞMANLIĞI VE YATIRIM PROJE GELİŞTİRME A.Ş.</v>
          </cell>
          <cell r="B108" t="str">
            <v>TRY</v>
          </cell>
        </row>
        <row r="109">
          <cell r="A109" t="str">
            <v>ETAL MEDİKAL SANAYİ VE TİCARET ANONİM ŞİRKETİ</v>
          </cell>
          <cell r="B109" t="str">
            <v>TRY</v>
          </cell>
        </row>
        <row r="110">
          <cell r="A110" t="str">
            <v>FEVZİ GANDUR LOJİSTİK A.Ş.</v>
          </cell>
          <cell r="B110" t="str">
            <v>TRY</v>
          </cell>
        </row>
        <row r="111">
          <cell r="A111" t="str">
            <v>GENEL ENERGY YÖN.HİZM.A.Ş.</v>
          </cell>
          <cell r="B111" t="str">
            <v>TRY</v>
          </cell>
        </row>
        <row r="112">
          <cell r="A112" t="str">
            <v>KATAR DEVLETİ İSTANBUL BAŞKONSOLOSLUĞU</v>
          </cell>
          <cell r="B112" t="str">
            <v>TRY</v>
          </cell>
        </row>
        <row r="113">
          <cell r="A113" t="str">
            <v>KÖLEOĞLU YAPI GAYRİMENKUL TİC.A.Ş.</v>
          </cell>
          <cell r="B113" t="str">
            <v>TRY</v>
          </cell>
        </row>
        <row r="114">
          <cell r="A114" t="str">
            <v>TAVROS GROUP OTELCİLİK VE YATIRIM A.Ş.</v>
          </cell>
          <cell r="B114" t="str">
            <v>TRY</v>
          </cell>
        </row>
        <row r="115">
          <cell r="A115" t="str">
            <v>ULAK HABERLEŞME A.Ş.</v>
          </cell>
          <cell r="B115" t="str">
            <v>TRY</v>
          </cell>
        </row>
        <row r="116">
          <cell r="A116" t="str">
            <v>ZİPEX ENDÜSTRİYEL TEKS.ÜRNL.SAN.VE TİC.A.Ş.</v>
          </cell>
          <cell r="B116" t="str">
            <v>TRY</v>
          </cell>
        </row>
        <row r="117">
          <cell r="A117" t="str">
            <v>HAVAALANLARI YER HİZ. A.Ş.</v>
          </cell>
          <cell r="B117" t="str">
            <v>EUR</v>
          </cell>
        </row>
        <row r="118">
          <cell r="A118" t="str">
            <v>EGİS TÜNEL İŞLETMECİLİĞİ A.Ş.</v>
          </cell>
          <cell r="B118" t="str">
            <v>TRY</v>
          </cell>
        </row>
        <row r="119">
          <cell r="A119" t="str">
            <v>BEŞİKTAŞ EMLAK YAT.VE TUR.A.Ş.</v>
          </cell>
          <cell r="B119" t="str">
            <v>TRY</v>
          </cell>
        </row>
        <row r="120">
          <cell r="A120" t="str">
            <v>İSVİÇRE BÜYÜKELÇİLİĞİ</v>
          </cell>
          <cell r="B120" t="str">
            <v>TRY</v>
          </cell>
        </row>
        <row r="121">
          <cell r="A121" t="str">
            <v>ACM AIR CHARTER MARKET UÇ.SER.TUR.HİZ.LTD.ŞTİ.</v>
          </cell>
          <cell r="B121" t="str">
            <v>TRY</v>
          </cell>
        </row>
        <row r="122">
          <cell r="A122" t="str">
            <v>BRİNKS GÜVENLİK HİZMETLERİ A.Ş.</v>
          </cell>
          <cell r="B122" t="str">
            <v>TRY</v>
          </cell>
        </row>
        <row r="123">
          <cell r="A123" t="str">
            <v>BÜYÜKHANLI KARDEŞLER İNŞ.TURZ.VE TİC.A.Ş.</v>
          </cell>
          <cell r="B123" t="str">
            <v>TRY</v>
          </cell>
        </row>
        <row r="124">
          <cell r="A124" t="str">
            <v>DANISH RETURN AGENCY</v>
          </cell>
          <cell r="B124" t="str">
            <v>EUR</v>
          </cell>
        </row>
        <row r="125">
          <cell r="A125" t="str">
            <v>EGYPTAIR MISIR HAVAY. HAV.STI.MRK.MISIR TURK IST SB.</v>
          </cell>
          <cell r="B125" t="str">
            <v>TRY</v>
          </cell>
        </row>
        <row r="126">
          <cell r="A126" t="str">
            <v>EGYPTAIR MISIR HAVAY. HAV.STI.MRK.MISIR TURK IST SB.</v>
          </cell>
          <cell r="B126" t="str">
            <v>USD</v>
          </cell>
        </row>
        <row r="127">
          <cell r="A127" t="str">
            <v>ETIHAD AIRWAYS</v>
          </cell>
          <cell r="B127" t="str">
            <v>TRY</v>
          </cell>
        </row>
        <row r="128">
          <cell r="A128" t="str">
            <v>GULF AIR B.S.C.(C) MERKEZİ BAHRAİN İSTANBUL ŞUBESİ</v>
          </cell>
          <cell r="B128" t="str">
            <v>TRY</v>
          </cell>
        </row>
        <row r="129">
          <cell r="A129" t="str">
            <v>İSTANBUL FLORENCE NIGHTINGALE HASTANESİ A.Ş.</v>
          </cell>
          <cell r="B129" t="str">
            <v>TRY</v>
          </cell>
        </row>
        <row r="130">
          <cell r="A130" t="str">
            <v>İTALYA BAŞKONSOLOSLUĞU</v>
          </cell>
          <cell r="B130" t="str">
            <v>EUR</v>
          </cell>
        </row>
        <row r="131">
          <cell r="A131" t="str">
            <v>İTALYA BAŞKONSOLOSLUĞU</v>
          </cell>
          <cell r="B131" t="str">
            <v>TRY</v>
          </cell>
        </row>
        <row r="132">
          <cell r="A132" t="str">
            <v>K.L.M. HOLLANDA KRALİYET HAVA YOLLARI A.Ş.</v>
          </cell>
          <cell r="B132" t="str">
            <v>EUR</v>
          </cell>
        </row>
        <row r="133">
          <cell r="A133" t="str">
            <v>KUWAIT AIRWAYS CORPORATION MERKEZİ KUVEYT İSTANBUL MERKEZ ŞUBESİ</v>
          </cell>
          <cell r="B133" t="str">
            <v>USD</v>
          </cell>
        </row>
        <row r="134">
          <cell r="A134" t="str">
            <v>SOCIETE AIR FRANCE MERKEZİ FRANSA İSTANBUL MERKEZ ŞUBESİ</v>
          </cell>
          <cell r="B134" t="str">
            <v>EUR</v>
          </cell>
        </row>
        <row r="135">
          <cell r="A135" t="str">
            <v>SOCIETE AIR FRANCE MERKEZİ FRANSA İSTANBUL MERKEZ ŞUBESİ</v>
          </cell>
          <cell r="B135" t="str">
            <v>TRY</v>
          </cell>
        </row>
        <row r="136">
          <cell r="A136" t="str">
            <v>TALU TEKSTİL SANAYİ VE TİCARET A.Ş.</v>
          </cell>
          <cell r="B136" t="str">
            <v>TRY</v>
          </cell>
        </row>
        <row r="137">
          <cell r="A137" t="str">
            <v>TÜRKİYE İHRACATÇILAR MECLİSİ GENEL SEKRETERLİĞİ</v>
          </cell>
          <cell r="B137" t="str">
            <v>TRY</v>
          </cell>
        </row>
        <row r="138">
          <cell r="A138" t="str">
            <v>VADİSTANBUL BULVAR TOPLU YAPI YÖNETİMİ</v>
          </cell>
          <cell r="B138" t="str">
            <v>TRY</v>
          </cell>
        </row>
        <row r="139">
          <cell r="A139" t="str">
            <v>VADİSTANBUL PARK OFİS BLOKLARI YÖNETİMİ</v>
          </cell>
          <cell r="B139" t="str">
            <v>TRY</v>
          </cell>
        </row>
        <row r="140">
          <cell r="A140" t="str">
            <v>INTERGLOBE AVIATION LTD.JANPATH/NEW DELHI</v>
          </cell>
          <cell r="B140" t="str">
            <v>EUR</v>
          </cell>
        </row>
        <row r="141">
          <cell r="A141" t="str">
            <v>SUUDİ ARABİSTAN HAVAYOLLARI</v>
          </cell>
          <cell r="B141" t="str">
            <v>TRY</v>
          </cell>
        </row>
        <row r="142">
          <cell r="A142" t="str">
            <v>AZERBAYCAN HAVAYOLLARI KAPALI A.Ş.</v>
          </cell>
          <cell r="B142" t="str">
            <v>TRY</v>
          </cell>
        </row>
        <row r="143">
          <cell r="A143" t="str">
            <v>RAMSES TURİZM İŞLT.DAN.ORG.HAV.TİC.LTD.ŞTİ.</v>
          </cell>
          <cell r="B143" t="str">
            <v>EUR</v>
          </cell>
        </row>
        <row r="144">
          <cell r="A144" t="str">
            <v>SOMPO SİGORTA A.Ş.</v>
          </cell>
          <cell r="B144" t="str">
            <v>TRY</v>
          </cell>
        </row>
        <row r="145">
          <cell r="A145" t="str">
            <v>TAV İSTANBUL TERMİNAL İŞLETMECİLİĞİ A.Ş.</v>
          </cell>
          <cell r="B145" t="str">
            <v>TRY</v>
          </cell>
        </row>
        <row r="146">
          <cell r="A146" t="str">
            <v>BTA UNLU MAMULLER GIDA ÜRETİM SANAYİ VE TİCARET ANONİM ŞİRKETİ</v>
          </cell>
          <cell r="B146" t="str">
            <v>TRY</v>
          </cell>
        </row>
        <row r="147">
          <cell r="A147" t="str">
            <v>İSTANBUL İHRACATÇI BİRLİKLERİ GENEL SEKRETERLİĞİ</v>
          </cell>
          <cell r="B147" t="str">
            <v>TRY</v>
          </cell>
        </row>
        <row r="148">
          <cell r="A148" t="str">
            <v>ÇELEBİ HAVA SERVİSİ A.Ş.</v>
          </cell>
          <cell r="B148" t="str">
            <v>EUR</v>
          </cell>
        </row>
        <row r="149">
          <cell r="A149" t="str">
            <v>ISS PROSER KORUMA VEGÜVENLİK HİZMETLERİA.Ş.</v>
          </cell>
          <cell r="B149" t="str">
            <v>TRY</v>
          </cell>
        </row>
        <row r="150">
          <cell r="A150" t="str">
            <v>BEYMETAL ALÜMINYUM SANAYI VE TIC.LTD.ŞTİ.</v>
          </cell>
          <cell r="B150" t="str">
            <v>TRY</v>
          </cell>
        </row>
        <row r="151">
          <cell r="A151" t="str">
            <v>HARUN AVCI, NUR-ZEN İNŞ.ADİ ORTAKLIĞI</v>
          </cell>
          <cell r="B151" t="str">
            <v>TRY</v>
          </cell>
        </row>
        <row r="152">
          <cell r="A152" t="str">
            <v>AÇIKKENT MEDYA REKLAMCILIK DANIŞMANLIK ORGANİZASYON VE TİC.LTD.ŞTİ.</v>
          </cell>
          <cell r="B152" t="str">
            <v>TRY</v>
          </cell>
        </row>
        <row r="153">
          <cell r="A153" t="str">
            <v>LİSBETH AHMAN</v>
          </cell>
          <cell r="B153" t="str">
            <v>USD</v>
          </cell>
        </row>
        <row r="154">
          <cell r="A154" t="str">
            <v>NATIONAL POLICE IMMIGRATION SERVICE OF NORWAY</v>
          </cell>
          <cell r="B154" t="str">
            <v>USD</v>
          </cell>
        </row>
        <row r="155">
          <cell r="A155" t="str">
            <v>NOW HAPPENS AND PARTNERS REKLAM ORGANİZASYON LTD.ŞTİ.</v>
          </cell>
          <cell r="B155" t="str">
            <v>TRY</v>
          </cell>
        </row>
        <row r="156">
          <cell r="A156" t="str">
            <v>RYANAIR DAC</v>
          </cell>
          <cell r="B156" t="str">
            <v>EUR</v>
          </cell>
        </row>
        <row r="157">
          <cell r="A157" t="str">
            <v>S.SİSTEM LOJİSTİK HİZMETLERİ A.Ş.</v>
          </cell>
          <cell r="B157" t="str">
            <v>TRY</v>
          </cell>
        </row>
        <row r="158">
          <cell r="A158" t="str">
            <v>CHANEL MODA LÜKS TÜK.ÜRÜN.LTD.ŞTİ.</v>
          </cell>
          <cell r="B158" t="str">
            <v>TRY</v>
          </cell>
        </row>
        <row r="159">
          <cell r="A159" t="str">
            <v>ATÜ ANTALYA MAGAZA ISLETMECILIGI A.Ş.</v>
          </cell>
          <cell r="B159" t="str">
            <v>TRY</v>
          </cell>
        </row>
        <row r="160">
          <cell r="A160" t="str">
            <v>GÖKOVA ÖREN MARİNA TUR.İNŞ.VE TİC.A.Ş.</v>
          </cell>
          <cell r="B160" t="str">
            <v>TRY</v>
          </cell>
        </row>
        <row r="161">
          <cell r="A161" t="str">
            <v>TAV HAVALİMANLARI HOLDİNG A.Ş.</v>
          </cell>
          <cell r="B161" t="str">
            <v>TRY</v>
          </cell>
        </row>
        <row r="162">
          <cell r="A162" t="str">
            <v>TAV ÖZEL GÜVENLİK PERSONEL DİĞER</v>
          </cell>
          <cell r="B162" t="str">
            <v>USD</v>
          </cell>
        </row>
        <row r="163">
          <cell r="A163" t="str">
            <v>ASAL ECE GAYRİMENKUL YATIRIM.AŞ.</v>
          </cell>
          <cell r="B163" t="str">
            <v>TRY</v>
          </cell>
        </row>
        <row r="164">
          <cell r="A164" t="str">
            <v>BFA  ANTALYA  HAVALİMANI  YİYECEK  VE  İÇECEK  HİZM.A.Ş.</v>
          </cell>
          <cell r="B164" t="str">
            <v>TRY</v>
          </cell>
        </row>
        <row r="165">
          <cell r="A165" t="str">
            <v>ÇELEBİ HAVA SERVİSİ A.Ş.</v>
          </cell>
          <cell r="B165" t="str">
            <v>TRY</v>
          </cell>
        </row>
        <row r="166">
          <cell r="A166" t="str">
            <v>ELRON İNŞ. TAAH. VE TİC. A.Ş</v>
          </cell>
          <cell r="B166" t="str">
            <v>TRY</v>
          </cell>
        </row>
        <row r="167">
          <cell r="A167" t="str">
            <v>K.L.M. HOLLANDA KRALİYET HAVA YOLLARI A.Ş.</v>
          </cell>
          <cell r="B167" t="str">
            <v>TRY</v>
          </cell>
        </row>
        <row r="168">
          <cell r="A168" t="str">
            <v>KADIKÖY TERMİNAL GAYRİMENKUL HİZM.TİC.A.Ş.</v>
          </cell>
          <cell r="B168" t="str">
            <v>TRY</v>
          </cell>
        </row>
        <row r="169">
          <cell r="A169" t="str">
            <v>ÖZBEKİSTAN HAVAYOLLARI TÜRKİYE ŞUBESİ</v>
          </cell>
          <cell r="B169" t="str">
            <v>EUR</v>
          </cell>
        </row>
        <row r="170">
          <cell r="A170" t="str">
            <v>SİENZİ LOJİSTİK ANTREPO VE DIŞ TİC. LTD. ŞTİ</v>
          </cell>
          <cell r="B170" t="str">
            <v>TRY</v>
          </cell>
        </row>
        <row r="171">
          <cell r="A171" t="str">
            <v>TÜYA TURİSTİK YATIRIMLAR VE İNŞAAT A.Ş.</v>
          </cell>
          <cell r="B171" t="str">
            <v>TRY</v>
          </cell>
        </row>
        <row r="172">
          <cell r="A172" t="str">
            <v>ZEY MEDYA REKLAM ORG LTD ŞTİ</v>
          </cell>
          <cell r="B172" t="str">
            <v>TRY</v>
          </cell>
        </row>
        <row r="173">
          <cell r="A173" t="str">
            <v>CEYHAN TARÇAN</v>
          </cell>
          <cell r="B173" t="str">
            <v>TRY</v>
          </cell>
        </row>
        <row r="174">
          <cell r="A174" t="str">
            <v>Ryanair UK Limited.</v>
          </cell>
          <cell r="B174" t="str">
            <v>EUR</v>
          </cell>
        </row>
        <row r="175">
          <cell r="A175" t="str">
            <v>ASTAŞ YAPI VE YAPI ADİ ORTAKLIĞI</v>
          </cell>
          <cell r="B175" t="str">
            <v>TRY</v>
          </cell>
        </row>
        <row r="176">
          <cell r="A176" t="str">
            <v>ATLAS ÇORAP ENERJI SAN.TİC.LTD.ŞTİ.</v>
          </cell>
          <cell r="B176" t="str">
            <v>TRY</v>
          </cell>
        </row>
        <row r="177">
          <cell r="A177" t="str">
            <v>ATÜ ANTALYA MAĞAZA İŞLETMECİLİĞİ A.Ş.</v>
          </cell>
          <cell r="B177" t="str">
            <v>TRY</v>
          </cell>
        </row>
        <row r="178">
          <cell r="A178" t="str">
            <v>ETE DENEY EĞİTİM VE DEĞERLENDİRME TEKN. A.Ş.</v>
          </cell>
          <cell r="B178" t="str">
            <v>TRY</v>
          </cell>
        </row>
        <row r="179">
          <cell r="A179" t="str">
            <v>HİLMİ SELVİLİ BY AVCILAR EXCLUSİVE YÖNETİCİLİĞİ</v>
          </cell>
          <cell r="B179" t="str">
            <v>TRY</v>
          </cell>
        </row>
        <row r="180">
          <cell r="A180" t="str">
            <v>MECİDİYEKÖY GAYRİMENKUL YATIRIM İNŞ.TURZ.SAN VE TİC.A.Ş.</v>
          </cell>
          <cell r="B180" t="str">
            <v>TRY</v>
          </cell>
        </row>
        <row r="181">
          <cell r="A181" t="str">
            <v>MEŞEBÜKÜ TURİZM İŞLETMELERİ A.Ş.</v>
          </cell>
          <cell r="B181" t="str">
            <v>TRY</v>
          </cell>
        </row>
        <row r="182">
          <cell r="A182" t="str">
            <v>SANMAR DENIZCILIK MAKINA VE TIC.A.Ş.</v>
          </cell>
          <cell r="B182" t="str">
            <v>TRY</v>
          </cell>
        </row>
        <row r="183">
          <cell r="A183" t="str">
            <v>GAMZE KÖLEOĞLU BÜYÜKALP</v>
          </cell>
          <cell r="B183" t="str">
            <v>TRY</v>
          </cell>
        </row>
        <row r="184">
          <cell r="A184" t="str">
            <v>HAKVAR TURİZM LİMİTED ŞİRKETİ</v>
          </cell>
          <cell r="B184" t="str">
            <v>TRY</v>
          </cell>
        </row>
        <row r="185">
          <cell r="A185" t="str">
            <v>M.E.B.ÖZEL İTALYAN LİSESİ</v>
          </cell>
          <cell r="B185" t="str">
            <v>TRY</v>
          </cell>
        </row>
        <row r="186">
          <cell r="A186" t="str">
            <v>MÜCEVHER İHRACATÇILARI BİRLİĞİ</v>
          </cell>
          <cell r="B186" t="str">
            <v>TRY</v>
          </cell>
        </row>
        <row r="187">
          <cell r="A187" t="str">
            <v>İSTANBUL DEMİR VE DEMİR DIŞI METALLER İHR.BİRLİĞİ</v>
          </cell>
          <cell r="B187" t="str">
            <v>TRY</v>
          </cell>
        </row>
        <row r="188">
          <cell r="A188" t="str">
            <v>ANIK TUR. SAN. VE TİC. A.Ş.</v>
          </cell>
          <cell r="B188" t="str">
            <v>TRY</v>
          </cell>
        </row>
        <row r="189">
          <cell r="A189" t="str">
            <v>ELEKTRİK VE ELKETRONİK İHRACATÇILARI BİRLİĞİ</v>
          </cell>
          <cell r="B189" t="str">
            <v>TRY</v>
          </cell>
        </row>
        <row r="190">
          <cell r="A190" t="str">
            <v>KARAKAYA AVM YÖN. HİZ. DAN. VE ORG. A.Ş.</v>
          </cell>
          <cell r="B190" t="str">
            <v>TRY</v>
          </cell>
        </row>
        <row r="191">
          <cell r="A191" t="str">
            <v>PALMİYE TATİL KÖYÜ İŞLETMELERİ TURİZM TİC.AŞ.</v>
          </cell>
          <cell r="B191" t="str">
            <v>TRY</v>
          </cell>
        </row>
        <row r="192">
          <cell r="A192" t="str">
            <v>RICHEMONT İSTANBUL LÜKS EŞYA DAĞITIMA.Ş.</v>
          </cell>
          <cell r="B192" t="str">
            <v>TRY</v>
          </cell>
        </row>
        <row r="193">
          <cell r="A193" t="str">
            <v>SHAYA KAHVE SAN.TİC.A.Ş.</v>
          </cell>
          <cell r="B193" t="str">
            <v>TRY</v>
          </cell>
        </row>
        <row r="194">
          <cell r="A194" t="str">
            <v>SHAYA MAĞAZACILIK A.Ş.</v>
          </cell>
          <cell r="B194" t="str">
            <v>TRY</v>
          </cell>
        </row>
        <row r="195">
          <cell r="A195" t="str">
            <v>TRANSAVIA HOLLAND B.V.</v>
          </cell>
          <cell r="B195" t="str">
            <v>EUR</v>
          </cell>
        </row>
        <row r="196">
          <cell r="A196" t="str">
            <v>EGE YÖNETİM SİSTEMLERİ GAYRİMENKUL DANIŞMANLIĞI A.Ş.</v>
          </cell>
          <cell r="B196" t="str">
            <v>TRY</v>
          </cell>
        </row>
        <row r="197">
          <cell r="A197" t="str">
            <v>İTALYA BÜYÜKELÇİLİĞİ</v>
          </cell>
          <cell r="B197" t="str">
            <v>TRY</v>
          </cell>
        </row>
        <row r="198">
          <cell r="A198" t="str">
            <v>ROMANYA BÜYÜKELÇİLİĞİ</v>
          </cell>
          <cell r="B198" t="str">
            <v>TRY</v>
          </cell>
        </row>
        <row r="199">
          <cell r="A199" t="str">
            <v>HAKCEL GROUP OTELCİLİK VE YATIRIM A.Ş.</v>
          </cell>
          <cell r="B199" t="str">
            <v>TRY</v>
          </cell>
        </row>
        <row r="200">
          <cell r="A200" t="str">
            <v>İTALYA BÜYÜKELÇİLİĞİ</v>
          </cell>
          <cell r="B200" t="str">
            <v>EUR</v>
          </cell>
        </row>
        <row r="201">
          <cell r="A201" t="str">
            <v>ROMANYA BÜYÜKELÇİLİĞİ</v>
          </cell>
          <cell r="B201" t="str">
            <v>EUR</v>
          </cell>
        </row>
        <row r="202">
          <cell r="A202" t="str">
            <v>İNTAYA İNTES İNŞAAT TAAHHÜT YATIRIM TİC.A.Ş.</v>
          </cell>
          <cell r="B202" t="str">
            <v>TRY</v>
          </cell>
        </row>
        <row r="203">
          <cell r="A203" t="str">
            <v>AIR ANKA HAVAYOLLARI A.Ş.</v>
          </cell>
          <cell r="B203" t="str">
            <v>EUR</v>
          </cell>
        </row>
        <row r="204">
          <cell r="A204" t="str">
            <v>AVENUE İNŞAAT TURİZM VE İŞLETMECİLİK A.Ş.</v>
          </cell>
          <cell r="B204" t="str">
            <v>TRY</v>
          </cell>
        </row>
        <row r="205">
          <cell r="A205" t="str">
            <v>BTA UNLU MAMULLER GIDA ÜRETİM SAN.VE TİC.A.Ş.</v>
          </cell>
          <cell r="B205" t="str">
            <v>TRY</v>
          </cell>
        </row>
        <row r="206">
          <cell r="A206" t="str">
            <v>CORTEX HAVACILIK VE TUR.TİC.A.Ş.</v>
          </cell>
          <cell r="B206" t="str">
            <v>TRY</v>
          </cell>
        </row>
        <row r="207">
          <cell r="A207" t="str">
            <v>TAV ANKARA YATIRIM YAPIM VE İŞLETME A.Ş.</v>
          </cell>
          <cell r="B207" t="str">
            <v>TRY</v>
          </cell>
        </row>
        <row r="208">
          <cell r="A208" t="str">
            <v>S.S.VİLLA BELDE SİTE İŞLETME KOOPERATİFİ</v>
          </cell>
          <cell r="B208" t="str">
            <v>TRY</v>
          </cell>
        </row>
        <row r="209">
          <cell r="A209" t="str">
            <v>TERRACE PLUS SİTE YÖNETİMİ</v>
          </cell>
          <cell r="B209" t="str">
            <v>TRY</v>
          </cell>
        </row>
        <row r="210">
          <cell r="A210" t="str">
            <v>ATELYE KEPİ DEKORASYON VE MOBİLYA SAN.TİC.LTD.ŞTİ</v>
          </cell>
          <cell r="B210" t="str">
            <v>TRY</v>
          </cell>
        </row>
        <row r="211">
          <cell r="A211" t="str">
            <v>EMSİAR TURİZM OTELCİLİK GAYRİMENKUL YATIRIM İNŞAAT SANAYİ TİCARET ANONİM ŞİRKETİ</v>
          </cell>
          <cell r="B211" t="str">
            <v>TRY</v>
          </cell>
        </row>
        <row r="212">
          <cell r="A212" t="str">
            <v>INTERNATİONAL ORGANİZATİON FOR MİGRATİON (IOM)</v>
          </cell>
          <cell r="B212" t="str">
            <v>TRY</v>
          </cell>
        </row>
        <row r="213">
          <cell r="A213" t="str">
            <v>NİDA YÖNETİM VE HİZMET A.Ş.</v>
          </cell>
          <cell r="B213" t="str">
            <v>TRY</v>
          </cell>
        </row>
        <row r="214">
          <cell r="A214" t="str">
            <v>VADİSTANBUL PARK KONUT SİTE YÖNETİMİ</v>
          </cell>
          <cell r="B214" t="str">
            <v>TRY</v>
          </cell>
        </row>
        <row r="215">
          <cell r="A215" t="str">
            <v>AIRPORT OTEL TIC.A.Ş.</v>
          </cell>
          <cell r="B215" t="str">
            <v>TRY</v>
          </cell>
        </row>
        <row r="216">
          <cell r="A216" t="str">
            <v>AL SRAİYA SECURİTY SERVİCES WLL</v>
          </cell>
          <cell r="B216" t="str">
            <v>USD</v>
          </cell>
        </row>
        <row r="217">
          <cell r="A217" t="str">
            <v>İÇTUR YİYECEK VE İÇECEK HİZ.TUR.SAN.TİC.A.Ş.</v>
          </cell>
          <cell r="B217" t="str">
            <v>TRY</v>
          </cell>
        </row>
        <row r="218">
          <cell r="A218" t="str">
            <v>MNG ORKO MADENCİLİK A.Ş</v>
          </cell>
          <cell r="B218" t="str">
            <v>TRY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4B68-FEB8-4BA7-B592-6CCB76908CA4}">
  <sheetPr codeName="Sheet2"/>
  <dimension ref="A1:N15"/>
  <sheetViews>
    <sheetView workbookViewId="0"/>
  </sheetViews>
  <sheetFormatPr defaultRowHeight="14.5" x14ac:dyDescent="0.35"/>
  <cols>
    <col min="1" max="1" width="20.453125" bestFit="1" customWidth="1"/>
    <col min="5" max="5" width="48.90625" bestFit="1" customWidth="1"/>
    <col min="6" max="6" width="19.54296875" bestFit="1" customWidth="1"/>
    <col min="7" max="7" width="12.36328125" style="1" bestFit="1" customWidth="1"/>
    <col min="8" max="8" width="24.08984375" style="1" bestFit="1" customWidth="1"/>
    <col min="9" max="11" width="18.7265625" style="1" bestFit="1" customWidth="1"/>
    <col min="12" max="12" width="19.81640625" style="1" bestFit="1" customWidth="1"/>
    <col min="13" max="13" width="20.54296875" style="1" bestFit="1" customWidth="1"/>
    <col min="14" max="14" width="17.54296875" style="1" bestFit="1" customWidth="1"/>
  </cols>
  <sheetData>
    <row r="1" spans="1:14" x14ac:dyDescent="0.35">
      <c r="A1" s="28" t="s">
        <v>176</v>
      </c>
      <c r="G1"/>
      <c r="H1"/>
      <c r="I1"/>
      <c r="J1"/>
      <c r="K1"/>
      <c r="L1"/>
      <c r="M1"/>
      <c r="N1"/>
    </row>
    <row r="2" spans="1:14" x14ac:dyDescent="0.35">
      <c r="A2" s="28" t="s">
        <v>177</v>
      </c>
      <c r="G2"/>
      <c r="H2" t="s">
        <v>179</v>
      </c>
      <c r="I2"/>
      <c r="J2"/>
      <c r="K2"/>
      <c r="L2"/>
      <c r="M2"/>
      <c r="N2"/>
    </row>
    <row r="3" spans="1:14" x14ac:dyDescent="0.35">
      <c r="A3" s="28" t="s">
        <v>178</v>
      </c>
      <c r="G3"/>
      <c r="H3"/>
      <c r="I3"/>
      <c r="J3"/>
      <c r="K3"/>
      <c r="L3"/>
      <c r="M3"/>
      <c r="N3"/>
    </row>
    <row r="4" spans="1:14" x14ac:dyDescent="0.35">
      <c r="A4" s="28" t="s">
        <v>179</v>
      </c>
      <c r="E4" s="10" t="s">
        <v>158</v>
      </c>
      <c r="F4" s="2" t="s">
        <v>147</v>
      </c>
      <c r="G4" s="5" t="s">
        <v>220</v>
      </c>
      <c r="H4" s="28" t="s">
        <v>176</v>
      </c>
      <c r="I4" s="28" t="s">
        <v>177</v>
      </c>
      <c r="J4" s="28" t="s">
        <v>178</v>
      </c>
      <c r="K4" s="28" t="s">
        <v>179</v>
      </c>
      <c r="L4" s="28" t="s">
        <v>180</v>
      </c>
      <c r="M4" s="28" t="s">
        <v>181</v>
      </c>
      <c r="N4" s="28" t="s">
        <v>182</v>
      </c>
    </row>
    <row r="5" spans="1:14" x14ac:dyDescent="0.35">
      <c r="A5" s="28" t="s">
        <v>180</v>
      </c>
      <c r="E5" t="str" cm="1">
        <f t="array" ref="E5:N15">_xlfn.LET(_xlpm.secim,CLEAN(TRIM($H$2)),_xlpm.baslik,CLEAN(TRIM(_xlfn.TOCOL('DETAY-yaslandırma'!$A$4:$J$4,1))),_xlpm.veri,'DETAY-yaslandırma'!$A$5:$J$261,_xlpm.col,_xlfn.XMATCH(_xlpm.secim,_xlpm.baslik,0),_xlpm.tutar,INDEX(_xlpm.veri,,_xlpm.col),_xlfn._xlws.FILTER(_xlpm.veri,IFERROR(_xlfn.NUMBERVALUE(_xlpm.tutar,",","."),0)&gt;0,"Bu seçimde bakiyesi olan müşteri yok"))</f>
        <v>TAV MİLAS BODRUM TERMİNAL İŞL.A.Ş.</v>
      </c>
      <c r="F5" t="str">
        <v>TRY</v>
      </c>
      <c r="G5" s="1">
        <v>69342595</v>
      </c>
      <c r="H5" s="1">
        <v>52283.22</v>
      </c>
      <c r="I5" s="1">
        <v>33752598.060000002</v>
      </c>
      <c r="J5" s="1">
        <v>21504298.48</v>
      </c>
      <c r="K5" s="1">
        <v>14033415.24</v>
      </c>
      <c r="L5" s="1">
        <v>0</v>
      </c>
      <c r="M5" s="1">
        <v>0</v>
      </c>
      <c r="N5" s="1">
        <v>0</v>
      </c>
    </row>
    <row r="6" spans="1:14" x14ac:dyDescent="0.35">
      <c r="A6" s="28" t="s">
        <v>181</v>
      </c>
      <c r="E6" t="str">
        <v>TAV GAZİPAŞA ALANYA HAVALİMANI İŞLETMECİLİĞİ A.Ş.</v>
      </c>
      <c r="F6" t="str">
        <v>TRY</v>
      </c>
      <c r="G6" s="1">
        <v>81119839.640000001</v>
      </c>
      <c r="H6" s="1">
        <v>91931.65</v>
      </c>
      <c r="I6" s="1">
        <v>18840609.059999999</v>
      </c>
      <c r="J6" s="1">
        <v>12373494.539999999</v>
      </c>
      <c r="K6" s="1">
        <v>12249990.9</v>
      </c>
      <c r="L6" s="1">
        <v>37563813.490000002</v>
      </c>
      <c r="M6" s="1">
        <v>0</v>
      </c>
      <c r="N6" s="1">
        <v>0</v>
      </c>
    </row>
    <row r="7" spans="1:14" x14ac:dyDescent="0.35">
      <c r="A7" s="28" t="s">
        <v>182</v>
      </c>
      <c r="E7" t="str">
        <v>POLYAK EYNEZ ENERJİ ÜRETİM MADENCİLİK SAN. VE TİC. A.Ş.</v>
      </c>
      <c r="F7" t="str">
        <v>TRY</v>
      </c>
      <c r="G7" s="1">
        <v>6160844.6400000006</v>
      </c>
      <c r="H7" s="1">
        <v>3139618.56</v>
      </c>
      <c r="I7" s="1">
        <v>0</v>
      </c>
      <c r="J7" s="1">
        <v>0</v>
      </c>
      <c r="K7" s="1">
        <v>3021226.08</v>
      </c>
      <c r="L7" s="1">
        <v>0</v>
      </c>
      <c r="M7" s="1">
        <v>0</v>
      </c>
      <c r="N7" s="1">
        <v>0</v>
      </c>
    </row>
    <row r="8" spans="1:14" x14ac:dyDescent="0.35">
      <c r="E8" t="str">
        <v>FLORENCE NIGHTINGALE TIP MERKEZİ A.Ş.</v>
      </c>
      <c r="F8" t="str">
        <v>TRY</v>
      </c>
      <c r="G8" s="1">
        <v>1149520.8999999999</v>
      </c>
      <c r="H8" s="1">
        <v>476888.76</v>
      </c>
      <c r="I8" s="1">
        <v>0</v>
      </c>
      <c r="J8" s="1">
        <v>475206.44</v>
      </c>
      <c r="K8" s="1">
        <v>197425.7</v>
      </c>
      <c r="L8" s="1">
        <v>0</v>
      </c>
      <c r="M8" s="1">
        <v>0</v>
      </c>
      <c r="N8" s="1">
        <v>0</v>
      </c>
    </row>
    <row r="9" spans="1:14" x14ac:dyDescent="0.35">
      <c r="E9" t="str">
        <v>5K YÜZEY TEKNOLOJİLERİ ORMAN ÜRÜNLERİ MOB.SAN.VE TİC.A.Ş.</v>
      </c>
      <c r="F9" t="str">
        <v>TRY</v>
      </c>
      <c r="G9" s="1">
        <v>1435720.02</v>
      </c>
      <c r="H9" s="1">
        <v>273736.8</v>
      </c>
      <c r="I9" s="1">
        <v>127788.4</v>
      </c>
      <c r="J9" s="1">
        <v>273736.8</v>
      </c>
      <c r="K9" s="1">
        <v>201862.12</v>
      </c>
      <c r="L9" s="1">
        <v>201862.12</v>
      </c>
      <c r="M9" s="1">
        <v>356733.78</v>
      </c>
      <c r="N9" s="1">
        <v>0</v>
      </c>
    </row>
    <row r="10" spans="1:14" x14ac:dyDescent="0.35">
      <c r="E10" t="str">
        <v>INTERGLOBE AVIATION LTD.JANPATH/NEW DELHI</v>
      </c>
      <c r="F10" t="str">
        <v>TRY</v>
      </c>
      <c r="G10" s="1">
        <v>42922.720000000001</v>
      </c>
      <c r="H10" s="1">
        <v>0</v>
      </c>
      <c r="I10" s="1">
        <v>0</v>
      </c>
      <c r="J10" s="1">
        <v>0</v>
      </c>
      <c r="K10" s="1">
        <v>2655.36</v>
      </c>
      <c r="L10" s="1">
        <v>0</v>
      </c>
      <c r="M10" s="1">
        <v>38376.399999999994</v>
      </c>
      <c r="N10" s="1">
        <v>1890.96</v>
      </c>
    </row>
    <row r="11" spans="1:14" x14ac:dyDescent="0.35">
      <c r="E11" t="str">
        <v>ANTALYA TAV SERA ADİ ORTAKLIĞI</v>
      </c>
      <c r="F11" t="str">
        <v>TRY</v>
      </c>
      <c r="G11" s="1">
        <v>5551326.7599999979</v>
      </c>
      <c r="H11" s="1">
        <v>0</v>
      </c>
      <c r="I11" s="1">
        <v>0</v>
      </c>
      <c r="J11" s="1">
        <v>268198.09999999998</v>
      </c>
      <c r="K11" s="1">
        <v>536396.19999999995</v>
      </c>
      <c r="L11" s="1">
        <v>2608945.54</v>
      </c>
      <c r="M11" s="1">
        <v>2137786.92</v>
      </c>
      <c r="N11" s="1">
        <v>0</v>
      </c>
    </row>
    <row r="12" spans="1:14" x14ac:dyDescent="0.35">
      <c r="E12" t="str">
        <v>BFA  ANTALYA  HAVALİMANI  YİYECEK  VE  İÇECEK  HİZM.A.Ş.</v>
      </c>
      <c r="F12" t="str">
        <v>TRY</v>
      </c>
      <c r="G12" s="1">
        <v>629581.82999999996</v>
      </c>
      <c r="H12" s="1">
        <v>0</v>
      </c>
      <c r="I12" s="1">
        <v>209860.4</v>
      </c>
      <c r="J12" s="1">
        <v>209860.4</v>
      </c>
      <c r="K12" s="1">
        <v>209860.4</v>
      </c>
      <c r="L12" s="1">
        <v>0.01</v>
      </c>
      <c r="M12" s="1">
        <v>0.62</v>
      </c>
      <c r="N12" s="1">
        <v>0</v>
      </c>
    </row>
    <row r="13" spans="1:14" x14ac:dyDescent="0.35">
      <c r="E13" t="str">
        <v>MEŞEBÜKÜ TURİZM İŞLETMELERİ A.Ş.</v>
      </c>
      <c r="F13" t="str">
        <v>TRY</v>
      </c>
      <c r="G13" s="1">
        <v>1019543.75</v>
      </c>
      <c r="H13" s="1">
        <v>0</v>
      </c>
      <c r="I13" s="1">
        <v>0</v>
      </c>
      <c r="J13" s="1">
        <v>543564.16</v>
      </c>
      <c r="K13" s="1">
        <v>381790.08</v>
      </c>
      <c r="L13" s="1">
        <v>94189.51</v>
      </c>
      <c r="M13" s="1">
        <v>0</v>
      </c>
      <c r="N13" s="1">
        <v>0</v>
      </c>
    </row>
    <row r="14" spans="1:14" x14ac:dyDescent="0.35">
      <c r="E14" t="str">
        <v>HAKCEL GROUP OTELCİLİK VE YATIRIM A.Ş.</v>
      </c>
      <c r="F14" t="str">
        <v>TRY</v>
      </c>
      <c r="G14" s="1">
        <v>1207159.73</v>
      </c>
      <c r="H14" s="1">
        <v>0</v>
      </c>
      <c r="I14" s="1">
        <v>1207157.73</v>
      </c>
      <c r="J14" s="1">
        <v>0</v>
      </c>
      <c r="K14" s="1">
        <v>2</v>
      </c>
      <c r="L14" s="1">
        <v>0</v>
      </c>
      <c r="M14" s="1">
        <v>0</v>
      </c>
      <c r="N14" s="1">
        <v>0</v>
      </c>
    </row>
    <row r="15" spans="1:14" x14ac:dyDescent="0.35">
      <c r="E15" t="str">
        <v>HDI SİGORTA ANONİM ŞİRKETİ</v>
      </c>
      <c r="F15" t="str">
        <v>TRY</v>
      </c>
      <c r="G15" s="1">
        <v>78650</v>
      </c>
      <c r="H15" s="1">
        <v>0</v>
      </c>
      <c r="I15" s="1">
        <v>0</v>
      </c>
      <c r="J15" s="1">
        <v>0</v>
      </c>
      <c r="K15" s="1">
        <v>78650</v>
      </c>
      <c r="L15" s="1">
        <v>0</v>
      </c>
      <c r="M15" s="1">
        <v>0</v>
      </c>
      <c r="N15" s="1">
        <v>0</v>
      </c>
    </row>
  </sheetData>
  <dataValidations count="1">
    <dataValidation type="list" allowBlank="1" showInputMessage="1" showErrorMessage="1" sqref="H2" xr:uid="{7FC5E08F-C9D2-4F04-BD4F-73FDB0037E93}">
      <formula1>$A$1:$A$7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4E51-89B3-4FC5-BF57-95044EFDE9F1}">
  <sheetPr codeName="Sheet4"/>
  <dimension ref="A1:BS268"/>
  <sheetViews>
    <sheetView topLeftCell="M248" workbookViewId="0">
      <selection activeCell="T270" sqref="T270"/>
    </sheetView>
  </sheetViews>
  <sheetFormatPr defaultRowHeight="14.5" x14ac:dyDescent="0.35"/>
  <cols>
    <col min="1" max="1" width="50.6328125" customWidth="1"/>
    <col min="2" max="2" width="21.81640625" bestFit="1" customWidth="1"/>
    <col min="3" max="10" width="14.7265625" style="1" customWidth="1"/>
    <col min="11" max="18" width="15.6328125" style="1" customWidth="1"/>
    <col min="19" max="19" width="13.54296875" style="1" customWidth="1"/>
    <col min="20" max="20" width="12.08984375" customWidth="1"/>
    <col min="21" max="21" width="13.54296875" bestFit="1" customWidth="1"/>
  </cols>
  <sheetData>
    <row r="1" spans="1:71" ht="15" thickBot="1" x14ac:dyDescent="0.4">
      <c r="BS1" t="str">
        <f t="shared" ref="BS1:BS4" si="0">LEFT(BN1,3)</f>
        <v/>
      </c>
    </row>
    <row r="2" spans="1:71" x14ac:dyDescent="0.35">
      <c r="A2" s="26"/>
      <c r="B2" s="9"/>
      <c r="C2" s="14">
        <f t="shared" ref="C2:U2" si="1">SUBTOTAL(9,C5:C1048576)</f>
        <v>240743342.76000002</v>
      </c>
      <c r="D2" s="14">
        <f t="shared" si="1"/>
        <v>37735588.350000009</v>
      </c>
      <c r="E2" s="14">
        <f t="shared" si="1"/>
        <v>85934082.350000039</v>
      </c>
      <c r="F2" s="14">
        <f t="shared" si="1"/>
        <v>42926231.889999978</v>
      </c>
      <c r="G2" s="14">
        <f t="shared" si="1"/>
        <v>30913274.079999994</v>
      </c>
      <c r="H2" s="14">
        <f t="shared" si="1"/>
        <v>40529378.869999997</v>
      </c>
      <c r="I2" s="14">
        <f t="shared" si="1"/>
        <v>2687689.48</v>
      </c>
      <c r="J2" s="14">
        <f t="shared" si="1"/>
        <v>17097.739999999998</v>
      </c>
      <c r="K2" s="14">
        <f t="shared" si="1"/>
        <v>182870184.48999998</v>
      </c>
      <c r="L2" s="14">
        <f t="shared" si="1"/>
        <v>137622452.34999999</v>
      </c>
      <c r="M2" s="14">
        <f t="shared" si="1"/>
        <v>31108244.470000006</v>
      </c>
      <c r="N2" s="14">
        <f t="shared" si="1"/>
        <v>14139487.670000002</v>
      </c>
      <c r="O2" s="14">
        <f t="shared" si="1"/>
        <v>0</v>
      </c>
      <c r="P2" s="14">
        <f t="shared" si="1"/>
        <v>0</v>
      </c>
      <c r="Q2" s="14">
        <f t="shared" si="1"/>
        <v>0</v>
      </c>
      <c r="R2" s="14">
        <f t="shared" si="1"/>
        <v>0</v>
      </c>
      <c r="S2" s="14">
        <f t="shared" si="1"/>
        <v>423613527.25</v>
      </c>
      <c r="T2" s="14">
        <f t="shared" si="1"/>
        <v>0</v>
      </c>
      <c r="U2" s="15">
        <f t="shared" si="1"/>
        <v>0</v>
      </c>
      <c r="BS2" t="str">
        <f t="shared" si="0"/>
        <v/>
      </c>
    </row>
    <row r="3" spans="1:71" x14ac:dyDescent="0.35">
      <c r="A3" s="10" t="s">
        <v>222</v>
      </c>
      <c r="B3" s="2"/>
      <c r="C3" s="43" t="s">
        <v>220</v>
      </c>
      <c r="D3" s="43"/>
      <c r="E3" s="43"/>
      <c r="F3" s="43"/>
      <c r="G3" s="43"/>
      <c r="H3" s="43"/>
      <c r="I3" s="43"/>
      <c r="J3" s="43"/>
      <c r="K3" s="44" t="s">
        <v>221</v>
      </c>
      <c r="L3" s="44"/>
      <c r="M3" s="44"/>
      <c r="N3" s="44"/>
      <c r="O3" s="44"/>
      <c r="P3" s="44"/>
      <c r="Q3" s="44"/>
      <c r="R3" s="44"/>
      <c r="S3" s="3"/>
      <c r="T3" s="2"/>
      <c r="U3" s="13"/>
      <c r="BS3" t="str">
        <f t="shared" si="0"/>
        <v/>
      </c>
    </row>
    <row r="4" spans="1:71" ht="21" x14ac:dyDescent="0.35">
      <c r="A4" s="10" t="s">
        <v>158</v>
      </c>
      <c r="B4" s="2" t="s">
        <v>147</v>
      </c>
      <c r="C4" s="5" t="s">
        <v>220</v>
      </c>
      <c r="D4" s="6" t="s">
        <v>176</v>
      </c>
      <c r="E4" s="6" t="s">
        <v>177</v>
      </c>
      <c r="F4" s="6" t="s">
        <v>178</v>
      </c>
      <c r="G4" s="6" t="s">
        <v>179</v>
      </c>
      <c r="H4" s="6" t="s">
        <v>180</v>
      </c>
      <c r="I4" s="6" t="s">
        <v>181</v>
      </c>
      <c r="J4" s="6" t="s">
        <v>182</v>
      </c>
      <c r="K4" s="7" t="s">
        <v>221</v>
      </c>
      <c r="L4" s="8" t="s">
        <v>169</v>
      </c>
      <c r="M4" s="8" t="s">
        <v>170</v>
      </c>
      <c r="N4" s="8" t="s">
        <v>171</v>
      </c>
      <c r="O4" s="8" t="s">
        <v>172</v>
      </c>
      <c r="P4" s="8" t="s">
        <v>173</v>
      </c>
      <c r="Q4" s="8" t="s">
        <v>174</v>
      </c>
      <c r="R4" s="8" t="s">
        <v>175</v>
      </c>
      <c r="S4" s="3" t="s">
        <v>150</v>
      </c>
      <c r="T4" s="3" t="s">
        <v>223</v>
      </c>
      <c r="U4" s="11" t="s">
        <v>223</v>
      </c>
      <c r="BS4" t="str">
        <f t="shared" si="0"/>
        <v/>
      </c>
    </row>
    <row r="5" spans="1:71" x14ac:dyDescent="0.35">
      <c r="A5" s="10" t="s">
        <v>68</v>
      </c>
      <c r="B5" s="2" t="s">
        <v>11</v>
      </c>
      <c r="C5" s="5">
        <f>SUMIFS(DETAY!C:C,DETAY!A:A,'DETAY-yaslandırma'!A5,DETAY!B:B,'DETAY-yaslandırma'!B5)</f>
        <v>69342595</v>
      </c>
      <c r="D5" s="5">
        <f>SUMIFS(ham_data!AB:AB,ham_data!$J:$J,'DETAY-yaslandırma'!$B5,ham_data!$E:$E,'DETAY-yaslandırma'!$A5)</f>
        <v>52283.22</v>
      </c>
      <c r="E5" s="5">
        <f>SUMIFS(ham_data!AC:AC,ham_data!$J:$J,'DETAY-yaslandırma'!$B5,ham_data!$E:$E,'DETAY-yaslandırma'!$A5)</f>
        <v>33752598.060000002</v>
      </c>
      <c r="F5" s="5">
        <f>SUMIFS(ham_data!AD:AD,ham_data!$J:$J,'DETAY-yaslandırma'!$B5,ham_data!$E:$E,'DETAY-yaslandırma'!$A5)</f>
        <v>21504298.48</v>
      </c>
      <c r="G5" s="5">
        <f>SUMIFS(ham_data!AE:AE,ham_data!$J:$J,'DETAY-yaslandırma'!$B5,ham_data!$E:$E,'DETAY-yaslandırma'!$A5)</f>
        <v>14033415.24</v>
      </c>
      <c r="H5" s="5">
        <f>SUMIFS(ham_data!AF:AF,ham_data!$J:$J,'DETAY-yaslandırma'!$B5,ham_data!$E:$E,'DETAY-yaslandırma'!$A5)</f>
        <v>0</v>
      </c>
      <c r="I5" s="5">
        <f>SUMIFS(ham_data!AG:AG,ham_data!$J:$J,'DETAY-yaslandırma'!$B5,ham_data!$E:$E,'DETAY-yaslandırma'!$A5)</f>
        <v>0</v>
      </c>
      <c r="J5" s="5">
        <f>SUMIFS(ham_data!AH:AH,ham_data!$J:$J,'DETAY-yaslandırma'!$B5,ham_data!$E:$E,'DETAY-yaslandırma'!$A5)</f>
        <v>0</v>
      </c>
      <c r="K5" s="7">
        <f>SUMIFS(DETAY!D:D,DETAY!A:A,'DETAY-yaslandırma'!A5,DETAY!B:B,'DETAY-yaslandırma'!B5)</f>
        <v>27745187.43</v>
      </c>
      <c r="L5" s="7">
        <f>SUMIFS(ham_data!U:U,ham_data!$J:$J,'DETAY-yaslandırma'!$B5,ham_data!$E:$E,'DETAY-yaslandırma'!$A5)</f>
        <v>27745187.43</v>
      </c>
      <c r="M5" s="7">
        <f>SUMIFS(ham_data!V:V,ham_data!$J:$J,'DETAY-yaslandırma'!$B5,ham_data!$E:$E,'DETAY-yaslandırma'!$A5)</f>
        <v>0</v>
      </c>
      <c r="N5" s="7">
        <f>SUMIFS(ham_data!W:W,ham_data!$J:$J,'DETAY-yaslandırma'!$B5,ham_data!$E:$E,'DETAY-yaslandırma'!$A5)</f>
        <v>0</v>
      </c>
      <c r="O5" s="7">
        <f>SUMIFS(ham_data!X:X,ham_data!$J:$J,'DETAY-yaslandırma'!$B5,ham_data!$E:$E,'DETAY-yaslandırma'!$A5)</f>
        <v>0</v>
      </c>
      <c r="P5" s="7">
        <f>SUMIFS(ham_data!Y:Y,ham_data!$J:$J,'DETAY-yaslandırma'!$B5,ham_data!$E:$E,'DETAY-yaslandırma'!$A5)</f>
        <v>0</v>
      </c>
      <c r="Q5" s="7">
        <f>SUMIFS(ham_data!Z:Z,ham_data!$J:$J,'DETAY-yaslandırma'!$B5,ham_data!$E:$E,'DETAY-yaslandırma'!$A5)</f>
        <v>0</v>
      </c>
      <c r="R5" s="7">
        <f>SUMIFS(ham_data!AA:AA,ham_data!$J:$J,'DETAY-yaslandırma'!$B5,ham_data!$E:$E,'DETAY-yaslandırma'!$A5)</f>
        <v>0</v>
      </c>
      <c r="S5" s="3">
        <f>SUMIFS(DETAY!E:E,DETAY!A:A,'DETAY-yaslandırma'!A5,DETAY!B:B,'DETAY-yaslandırma'!B5)</f>
        <v>97087782.430000007</v>
      </c>
      <c r="T5" s="3">
        <f t="shared" ref="T5" si="2">C5-SUM(D5:J5)</f>
        <v>0</v>
      </c>
      <c r="U5" s="11">
        <f t="shared" ref="U5" si="3">K5-SUM(L5:R5)</f>
        <v>0</v>
      </c>
    </row>
    <row r="6" spans="1:71" x14ac:dyDescent="0.35">
      <c r="A6" s="10" t="s">
        <v>9</v>
      </c>
      <c r="B6" s="2" t="s">
        <v>11</v>
      </c>
      <c r="C6" s="5">
        <f>SUMIFS(DETAY!C:C,DETAY!A:A,'DETAY-yaslandırma'!A6,DETAY!B:B,'DETAY-yaslandırma'!B6)</f>
        <v>81119839.640000001</v>
      </c>
      <c r="D6" s="5">
        <f>SUMIFS(ham_data!AB:AB,ham_data!$J:$J,'DETAY-yaslandırma'!$B6,ham_data!$E:$E,'DETAY-yaslandırma'!$A6)</f>
        <v>91931.65</v>
      </c>
      <c r="E6" s="5">
        <f>SUMIFS(ham_data!AC:AC,ham_data!$J:$J,'DETAY-yaslandırma'!$B6,ham_data!$E:$E,'DETAY-yaslandırma'!$A6)</f>
        <v>18840609.059999999</v>
      </c>
      <c r="F6" s="5">
        <f>SUMIFS(ham_data!AD:AD,ham_data!$J:$J,'DETAY-yaslandırma'!$B6,ham_data!$E:$E,'DETAY-yaslandırma'!$A6)</f>
        <v>12373494.539999999</v>
      </c>
      <c r="G6" s="5">
        <f>SUMIFS(ham_data!AE:AE,ham_data!$J:$J,'DETAY-yaslandırma'!$B6,ham_data!$E:$E,'DETAY-yaslandırma'!$A6)</f>
        <v>12249990.9</v>
      </c>
      <c r="H6" s="5">
        <f>SUMIFS(ham_data!AF:AF,ham_data!$J:$J,'DETAY-yaslandırma'!$B6,ham_data!$E:$E,'DETAY-yaslandırma'!$A6)</f>
        <v>37563813.490000002</v>
      </c>
      <c r="I6" s="5">
        <f>SUMIFS(ham_data!AG:AG,ham_data!$J:$J,'DETAY-yaslandırma'!$B6,ham_data!$E:$E,'DETAY-yaslandırma'!$A6)</f>
        <v>0</v>
      </c>
      <c r="J6" s="5">
        <f>SUMIFS(ham_data!AH:AH,ham_data!$J:$J,'DETAY-yaslandırma'!$B6,ham_data!$E:$E,'DETAY-yaslandırma'!$A6)</f>
        <v>0</v>
      </c>
      <c r="K6" s="7">
        <f>SUMIFS(DETAY!D:D,DETAY!A:A,'DETAY-yaslandırma'!A6,DETAY!B:B,'DETAY-yaslandırma'!B6)</f>
        <v>17332734.140000001</v>
      </c>
      <c r="L6" s="7">
        <f>SUMIFS(ham_data!U:U,ham_data!$J:$J,'DETAY-yaslandırma'!$B6,ham_data!$E:$E,'DETAY-yaslandırma'!$A6)</f>
        <v>17332734.140000001</v>
      </c>
      <c r="M6" s="7">
        <f>SUMIFS(ham_data!V:V,ham_data!$J:$J,'DETAY-yaslandırma'!$B6,ham_data!$E:$E,'DETAY-yaslandırma'!$A6)</f>
        <v>0</v>
      </c>
      <c r="N6" s="7">
        <f>SUMIFS(ham_data!W:W,ham_data!$J:$J,'DETAY-yaslandırma'!$B6,ham_data!$E:$E,'DETAY-yaslandırma'!$A6)</f>
        <v>0</v>
      </c>
      <c r="O6" s="7">
        <f>SUMIFS(ham_data!X:X,ham_data!$J:$J,'DETAY-yaslandırma'!$B6,ham_data!$E:$E,'DETAY-yaslandırma'!$A6)</f>
        <v>0</v>
      </c>
      <c r="P6" s="7">
        <f>SUMIFS(ham_data!Y:Y,ham_data!$J:$J,'DETAY-yaslandırma'!$B6,ham_data!$E:$E,'DETAY-yaslandırma'!$A6)</f>
        <v>0</v>
      </c>
      <c r="Q6" s="7">
        <f>SUMIFS(ham_data!Z:Z,ham_data!$J:$J,'DETAY-yaslandırma'!$B6,ham_data!$E:$E,'DETAY-yaslandırma'!$A6)</f>
        <v>0</v>
      </c>
      <c r="R6" s="7">
        <f>SUMIFS(ham_data!AA:AA,ham_data!$J:$J,'DETAY-yaslandırma'!$B6,ham_data!$E:$E,'DETAY-yaslandırma'!$A6)</f>
        <v>0</v>
      </c>
      <c r="S6" s="3">
        <f>SUMIFS(DETAY!E:E,DETAY!A:A,'DETAY-yaslandırma'!A6,DETAY!B:B,'DETAY-yaslandırma'!B6)</f>
        <v>98452573.780000001</v>
      </c>
      <c r="T6" s="3">
        <f t="shared" ref="T6:T69" si="4">C6-SUM(D6:J6)</f>
        <v>0</v>
      </c>
      <c r="U6" s="11">
        <f t="shared" ref="U6:U69" si="5">K6-SUM(L6:R6)</f>
        <v>0</v>
      </c>
    </row>
    <row r="7" spans="1:71" x14ac:dyDescent="0.35">
      <c r="A7" s="10" t="s">
        <v>111</v>
      </c>
      <c r="B7" s="2" t="s">
        <v>11</v>
      </c>
      <c r="C7" s="5">
        <f>SUMIFS(DETAY!C:C,DETAY!A:A,'DETAY-yaslandırma'!A7,DETAY!B:B,'DETAY-yaslandırma'!B7)</f>
        <v>14522885.409999996</v>
      </c>
      <c r="D7" s="5">
        <f>SUMIFS(ham_data!AB:AB,ham_data!$J:$J,'DETAY-yaslandırma'!$B7,ham_data!$E:$E,'DETAY-yaslandırma'!$A7)</f>
        <v>5655327.0199999996</v>
      </c>
      <c r="E7" s="5">
        <f>SUMIFS(ham_data!AC:AC,ham_data!$J:$J,'DETAY-yaslandırma'!$B7,ham_data!$E:$E,'DETAY-yaslandırma'!$A7)</f>
        <v>5635121.6999999993</v>
      </c>
      <c r="F7" s="5">
        <f>SUMIFS(ham_data!AD:AD,ham_data!$J:$J,'DETAY-yaslandırma'!$B7,ham_data!$E:$E,'DETAY-yaslandırma'!$A7)</f>
        <v>3232436.69</v>
      </c>
      <c r="G7" s="5">
        <f>SUMIFS(ham_data!AE:AE,ham_data!$J:$J,'DETAY-yaslandırma'!$B7,ham_data!$E:$E,'DETAY-yaslandırma'!$A7)</f>
        <v>0</v>
      </c>
      <c r="H7" s="5">
        <f>SUMIFS(ham_data!AF:AF,ham_data!$J:$J,'DETAY-yaslandırma'!$B7,ham_data!$E:$E,'DETAY-yaslandırma'!$A7)</f>
        <v>0</v>
      </c>
      <c r="I7" s="5">
        <f>SUMIFS(ham_data!AG:AG,ham_data!$J:$J,'DETAY-yaslandırma'!$B7,ham_data!$E:$E,'DETAY-yaslandırma'!$A7)</f>
        <v>0</v>
      </c>
      <c r="J7" s="5">
        <f>SUMIFS(ham_data!AH:AH,ham_data!$J:$J,'DETAY-yaslandırma'!$B7,ham_data!$E:$E,'DETAY-yaslandırma'!$A7)</f>
        <v>0</v>
      </c>
      <c r="K7" s="7">
        <f>SUMIFS(DETAY!D:D,DETAY!A:A,'DETAY-yaslandırma'!A7,DETAY!B:B,'DETAY-yaslandırma'!B7)</f>
        <v>7904386.0200000014</v>
      </c>
      <c r="L7" s="7">
        <f>SUMIFS(ham_data!U:U,ham_data!$J:$J,'DETAY-yaslandırma'!$B7,ham_data!$E:$E,'DETAY-yaslandırma'!$A7)</f>
        <v>3111980.2300000004</v>
      </c>
      <c r="M7" s="7">
        <f>SUMIFS(ham_data!V:V,ham_data!$J:$J,'DETAY-yaslandırma'!$B7,ham_data!$E:$E,'DETAY-yaslandırma'!$A7)</f>
        <v>4792405.79</v>
      </c>
      <c r="N7" s="7">
        <f>SUMIFS(ham_data!W:W,ham_data!$J:$J,'DETAY-yaslandırma'!$B7,ham_data!$E:$E,'DETAY-yaslandırma'!$A7)</f>
        <v>0</v>
      </c>
      <c r="O7" s="7">
        <f>SUMIFS(ham_data!X:X,ham_data!$J:$J,'DETAY-yaslandırma'!$B7,ham_data!$E:$E,'DETAY-yaslandırma'!$A7)</f>
        <v>0</v>
      </c>
      <c r="P7" s="7">
        <f>SUMIFS(ham_data!Y:Y,ham_data!$J:$J,'DETAY-yaslandırma'!$B7,ham_data!$E:$E,'DETAY-yaslandırma'!$A7)</f>
        <v>0</v>
      </c>
      <c r="Q7" s="7">
        <f>SUMIFS(ham_data!Z:Z,ham_data!$J:$J,'DETAY-yaslandırma'!$B7,ham_data!$E:$E,'DETAY-yaslandırma'!$A7)</f>
        <v>0</v>
      </c>
      <c r="R7" s="7">
        <f>SUMIFS(ham_data!AA:AA,ham_data!$J:$J,'DETAY-yaslandırma'!$B7,ham_data!$E:$E,'DETAY-yaslandırma'!$A7)</f>
        <v>0</v>
      </c>
      <c r="S7" s="3">
        <f>SUMIFS(DETAY!E:E,DETAY!A:A,'DETAY-yaslandırma'!A7,DETAY!B:B,'DETAY-yaslandırma'!B7)</f>
        <v>22427271.43</v>
      </c>
      <c r="T7" s="3">
        <f t="shared" si="4"/>
        <v>0</v>
      </c>
      <c r="U7" s="11">
        <f t="shared" si="5"/>
        <v>0</v>
      </c>
    </row>
    <row r="8" spans="1:71" x14ac:dyDescent="0.35">
      <c r="A8" s="10" t="s">
        <v>17</v>
      </c>
      <c r="B8" s="2" t="s">
        <v>11</v>
      </c>
      <c r="C8" s="5">
        <f>SUMIFS(DETAY!C:C,DETAY!A:A,'DETAY-yaslandırma'!A8,DETAY!B:B,'DETAY-yaslandırma'!B8)</f>
        <v>0</v>
      </c>
      <c r="D8" s="5">
        <f>SUMIFS(ham_data!AB:AB,ham_data!$J:$J,'DETAY-yaslandırma'!$B8,ham_data!$E:$E,'DETAY-yaslandırma'!$A8)</f>
        <v>0</v>
      </c>
      <c r="E8" s="5">
        <f>SUMIFS(ham_data!AC:AC,ham_data!$J:$J,'DETAY-yaslandırma'!$B8,ham_data!$E:$E,'DETAY-yaslandırma'!$A8)</f>
        <v>0</v>
      </c>
      <c r="F8" s="5">
        <f>SUMIFS(ham_data!AD:AD,ham_data!$J:$J,'DETAY-yaslandırma'!$B8,ham_data!$E:$E,'DETAY-yaslandırma'!$A8)</f>
        <v>0</v>
      </c>
      <c r="G8" s="5">
        <f>SUMIFS(ham_data!AE:AE,ham_data!$J:$J,'DETAY-yaslandırma'!$B8,ham_data!$E:$E,'DETAY-yaslandırma'!$A8)</f>
        <v>0</v>
      </c>
      <c r="H8" s="5">
        <f>SUMIFS(ham_data!AF:AF,ham_data!$J:$J,'DETAY-yaslandırma'!$B8,ham_data!$E:$E,'DETAY-yaslandırma'!$A8)</f>
        <v>0</v>
      </c>
      <c r="I8" s="5">
        <f>SUMIFS(ham_data!AG:AG,ham_data!$J:$J,'DETAY-yaslandırma'!$B8,ham_data!$E:$E,'DETAY-yaslandırma'!$A8)</f>
        <v>0</v>
      </c>
      <c r="J8" s="5">
        <f>SUMIFS(ham_data!AH:AH,ham_data!$J:$J,'DETAY-yaslandırma'!$B8,ham_data!$E:$E,'DETAY-yaslandırma'!$A8)</f>
        <v>0</v>
      </c>
      <c r="K8" s="7">
        <f>SUMIFS(DETAY!D:D,DETAY!A:A,'DETAY-yaslandırma'!A8,DETAY!B:B,'DETAY-yaslandırma'!B8)</f>
        <v>0</v>
      </c>
      <c r="L8" s="7">
        <f>SUMIFS(ham_data!U:U,ham_data!$J:$J,'DETAY-yaslandırma'!$B8,ham_data!$E:$E,'DETAY-yaslandırma'!$A8)</f>
        <v>0</v>
      </c>
      <c r="M8" s="7">
        <f>SUMIFS(ham_data!V:V,ham_data!$J:$J,'DETAY-yaslandırma'!$B8,ham_data!$E:$E,'DETAY-yaslandırma'!$A8)</f>
        <v>0</v>
      </c>
      <c r="N8" s="7">
        <f>SUMIFS(ham_data!W:W,ham_data!$J:$J,'DETAY-yaslandırma'!$B8,ham_data!$E:$E,'DETAY-yaslandırma'!$A8)</f>
        <v>0</v>
      </c>
      <c r="O8" s="7">
        <f>SUMIFS(ham_data!X:X,ham_data!$J:$J,'DETAY-yaslandırma'!$B8,ham_data!$E:$E,'DETAY-yaslandırma'!$A8)</f>
        <v>0</v>
      </c>
      <c r="P8" s="7">
        <f>SUMIFS(ham_data!Y:Y,ham_data!$J:$J,'DETAY-yaslandırma'!$B8,ham_data!$E:$E,'DETAY-yaslandırma'!$A8)</f>
        <v>0</v>
      </c>
      <c r="Q8" s="7">
        <f>SUMIFS(ham_data!Z:Z,ham_data!$J:$J,'DETAY-yaslandırma'!$B8,ham_data!$E:$E,'DETAY-yaslandırma'!$A8)</f>
        <v>0</v>
      </c>
      <c r="R8" s="7">
        <f>SUMIFS(ham_data!AA:AA,ham_data!$J:$J,'DETAY-yaslandırma'!$B8,ham_data!$E:$E,'DETAY-yaslandırma'!$A8)</f>
        <v>0</v>
      </c>
      <c r="S8" s="3">
        <f>SUMIFS(DETAY!E:E,DETAY!A:A,'DETAY-yaslandırma'!A8,DETAY!B:B,'DETAY-yaslandırma'!B8)</f>
        <v>0</v>
      </c>
      <c r="T8" s="3">
        <f t="shared" si="4"/>
        <v>0</v>
      </c>
      <c r="U8" s="11">
        <f t="shared" si="5"/>
        <v>0</v>
      </c>
    </row>
    <row r="9" spans="1:71" x14ac:dyDescent="0.35">
      <c r="A9" s="10" t="s">
        <v>88</v>
      </c>
      <c r="B9" s="2" t="s">
        <v>11</v>
      </c>
      <c r="C9" s="5">
        <f>SUMIFS(DETAY!C:C,DETAY!A:A,'DETAY-yaslandırma'!A9,DETAY!B:B,'DETAY-yaslandırma'!B9)</f>
        <v>0</v>
      </c>
      <c r="D9" s="5">
        <f>SUMIFS(ham_data!AB:AB,ham_data!$J:$J,'DETAY-yaslandırma'!$B9,ham_data!$E:$E,'DETAY-yaslandırma'!$A9)</f>
        <v>0</v>
      </c>
      <c r="E9" s="5">
        <f>SUMIFS(ham_data!AC:AC,ham_data!$J:$J,'DETAY-yaslandırma'!$B9,ham_data!$E:$E,'DETAY-yaslandırma'!$A9)</f>
        <v>0</v>
      </c>
      <c r="F9" s="5">
        <f>SUMIFS(ham_data!AD:AD,ham_data!$J:$J,'DETAY-yaslandırma'!$B9,ham_data!$E:$E,'DETAY-yaslandırma'!$A9)</f>
        <v>0</v>
      </c>
      <c r="G9" s="5">
        <f>SUMIFS(ham_data!AE:AE,ham_data!$J:$J,'DETAY-yaslandırma'!$B9,ham_data!$E:$E,'DETAY-yaslandırma'!$A9)</f>
        <v>0</v>
      </c>
      <c r="H9" s="5">
        <f>SUMIFS(ham_data!AF:AF,ham_data!$J:$J,'DETAY-yaslandırma'!$B9,ham_data!$E:$E,'DETAY-yaslandırma'!$A9)</f>
        <v>0</v>
      </c>
      <c r="I9" s="5">
        <f>SUMIFS(ham_data!AG:AG,ham_data!$J:$J,'DETAY-yaslandırma'!$B9,ham_data!$E:$E,'DETAY-yaslandırma'!$A9)</f>
        <v>0</v>
      </c>
      <c r="J9" s="5">
        <f>SUMIFS(ham_data!AH:AH,ham_data!$J:$J,'DETAY-yaslandırma'!$B9,ham_data!$E:$E,'DETAY-yaslandırma'!$A9)</f>
        <v>0</v>
      </c>
      <c r="K9" s="7">
        <f>SUMIFS(DETAY!D:D,DETAY!A:A,'DETAY-yaslandırma'!A9,DETAY!B:B,'DETAY-yaslandırma'!B9)</f>
        <v>12813751.800000001</v>
      </c>
      <c r="L9" s="7">
        <f>SUMIFS(ham_data!U:U,ham_data!$J:$J,'DETAY-yaslandırma'!$B9,ham_data!$E:$E,'DETAY-yaslandırma'!$A9)</f>
        <v>4997784.84</v>
      </c>
      <c r="M9" s="7">
        <f>SUMIFS(ham_data!V:V,ham_data!$J:$J,'DETAY-yaslandırma'!$B9,ham_data!$E:$E,'DETAY-yaslandırma'!$A9)</f>
        <v>0</v>
      </c>
      <c r="N9" s="7">
        <f>SUMIFS(ham_data!W:W,ham_data!$J:$J,'DETAY-yaslandırma'!$B9,ham_data!$E:$E,'DETAY-yaslandırma'!$A9)</f>
        <v>7815966.9600000009</v>
      </c>
      <c r="O9" s="7">
        <f>SUMIFS(ham_data!X:X,ham_data!$J:$J,'DETAY-yaslandırma'!$B9,ham_data!$E:$E,'DETAY-yaslandırma'!$A9)</f>
        <v>0</v>
      </c>
      <c r="P9" s="7">
        <f>SUMIFS(ham_data!Y:Y,ham_data!$J:$J,'DETAY-yaslandırma'!$B9,ham_data!$E:$E,'DETAY-yaslandırma'!$A9)</f>
        <v>0</v>
      </c>
      <c r="Q9" s="7">
        <f>SUMIFS(ham_data!Z:Z,ham_data!$J:$J,'DETAY-yaslandırma'!$B9,ham_data!$E:$E,'DETAY-yaslandırma'!$A9)</f>
        <v>0</v>
      </c>
      <c r="R9" s="7">
        <f>SUMIFS(ham_data!AA:AA,ham_data!$J:$J,'DETAY-yaslandırma'!$B9,ham_data!$E:$E,'DETAY-yaslandırma'!$A9)</f>
        <v>0</v>
      </c>
      <c r="S9" s="3">
        <f>SUMIFS(DETAY!E:E,DETAY!A:A,'DETAY-yaslandırma'!A9,DETAY!B:B,'DETAY-yaslandırma'!B9)</f>
        <v>12813751.800000001</v>
      </c>
      <c r="T9" s="3">
        <f t="shared" si="4"/>
        <v>0</v>
      </c>
      <c r="U9" s="11">
        <f t="shared" si="5"/>
        <v>0</v>
      </c>
    </row>
    <row r="10" spans="1:71" x14ac:dyDescent="0.35">
      <c r="A10" s="10" t="s">
        <v>65</v>
      </c>
      <c r="B10" s="2" t="s">
        <v>11</v>
      </c>
      <c r="C10" s="5">
        <f>SUMIFS(DETAY!C:C,DETAY!A:A,'DETAY-yaslandırma'!A10,DETAY!B:B,'DETAY-yaslandırma'!B10)</f>
        <v>775264.48</v>
      </c>
      <c r="D10" s="5">
        <f>SUMIFS(ham_data!AB:AB,ham_data!$J:$J,'DETAY-yaslandırma'!$B10,ham_data!$E:$E,'DETAY-yaslandırma'!$A10)</f>
        <v>0</v>
      </c>
      <c r="E10" s="5">
        <f>SUMIFS(ham_data!AC:AC,ham_data!$J:$J,'DETAY-yaslandırma'!$B10,ham_data!$E:$E,'DETAY-yaslandırma'!$A10)</f>
        <v>775264.47</v>
      </c>
      <c r="F10" s="5">
        <f>SUMIFS(ham_data!AD:AD,ham_data!$J:$J,'DETAY-yaslandırma'!$B10,ham_data!$E:$E,'DETAY-yaslandırma'!$A10)</f>
        <v>0.01</v>
      </c>
      <c r="G10" s="5">
        <f>SUMIFS(ham_data!AE:AE,ham_data!$J:$J,'DETAY-yaslandırma'!$B10,ham_data!$E:$E,'DETAY-yaslandırma'!$A10)</f>
        <v>0</v>
      </c>
      <c r="H10" s="5">
        <f>SUMIFS(ham_data!AF:AF,ham_data!$J:$J,'DETAY-yaslandırma'!$B10,ham_data!$E:$E,'DETAY-yaslandırma'!$A10)</f>
        <v>0</v>
      </c>
      <c r="I10" s="5">
        <f>SUMIFS(ham_data!AG:AG,ham_data!$J:$J,'DETAY-yaslandırma'!$B10,ham_data!$E:$E,'DETAY-yaslandırma'!$A10)</f>
        <v>0</v>
      </c>
      <c r="J10" s="5">
        <f>SUMIFS(ham_data!AH:AH,ham_data!$J:$J,'DETAY-yaslandırma'!$B10,ham_data!$E:$E,'DETAY-yaslandırma'!$A10)</f>
        <v>0</v>
      </c>
      <c r="K10" s="7">
        <f>SUMIFS(DETAY!D:D,DETAY!A:A,'DETAY-yaslandırma'!A10,DETAY!B:B,'DETAY-yaslandırma'!B10)</f>
        <v>0</v>
      </c>
      <c r="L10" s="7">
        <f>SUMIFS(ham_data!U:U,ham_data!$J:$J,'DETAY-yaslandırma'!$B10,ham_data!$E:$E,'DETAY-yaslandırma'!$A10)</f>
        <v>0</v>
      </c>
      <c r="M10" s="7">
        <f>SUMIFS(ham_data!V:V,ham_data!$J:$J,'DETAY-yaslandırma'!$B10,ham_data!$E:$E,'DETAY-yaslandırma'!$A10)</f>
        <v>0</v>
      </c>
      <c r="N10" s="7">
        <f>SUMIFS(ham_data!W:W,ham_data!$J:$J,'DETAY-yaslandırma'!$B10,ham_data!$E:$E,'DETAY-yaslandırma'!$A10)</f>
        <v>0</v>
      </c>
      <c r="O10" s="7">
        <f>SUMIFS(ham_data!X:X,ham_data!$J:$J,'DETAY-yaslandırma'!$B10,ham_data!$E:$E,'DETAY-yaslandırma'!$A10)</f>
        <v>0</v>
      </c>
      <c r="P10" s="7">
        <f>SUMIFS(ham_data!Y:Y,ham_data!$J:$J,'DETAY-yaslandırma'!$B10,ham_data!$E:$E,'DETAY-yaslandırma'!$A10)</f>
        <v>0</v>
      </c>
      <c r="Q10" s="7">
        <f>SUMIFS(ham_data!Z:Z,ham_data!$J:$J,'DETAY-yaslandırma'!$B10,ham_data!$E:$E,'DETAY-yaslandırma'!$A10)</f>
        <v>0</v>
      </c>
      <c r="R10" s="7">
        <f>SUMIFS(ham_data!AA:AA,ham_data!$J:$J,'DETAY-yaslandırma'!$B10,ham_data!$E:$E,'DETAY-yaslandırma'!$A10)</f>
        <v>0</v>
      </c>
      <c r="S10" s="3">
        <f>SUMIFS(DETAY!E:E,DETAY!A:A,'DETAY-yaslandırma'!A10,DETAY!B:B,'DETAY-yaslandırma'!B10)</f>
        <v>775264.48</v>
      </c>
      <c r="T10" s="3">
        <f t="shared" si="4"/>
        <v>0</v>
      </c>
      <c r="U10" s="11">
        <f t="shared" si="5"/>
        <v>0</v>
      </c>
    </row>
    <row r="11" spans="1:71" x14ac:dyDescent="0.35">
      <c r="A11" s="10" t="s">
        <v>92</v>
      </c>
      <c r="B11" s="2" t="s">
        <v>11</v>
      </c>
      <c r="C11" s="5">
        <f>SUMIFS(DETAY!C:C,DETAY!A:A,'DETAY-yaslandırma'!A11,DETAY!B:B,'DETAY-yaslandırma'!B11)</f>
        <v>6160844.6400000006</v>
      </c>
      <c r="D11" s="5">
        <f>SUMIFS(ham_data!AB:AB,ham_data!$J:$J,'DETAY-yaslandırma'!$B11,ham_data!$E:$E,'DETAY-yaslandırma'!$A11)</f>
        <v>3139618.56</v>
      </c>
      <c r="E11" s="5">
        <f>SUMIFS(ham_data!AC:AC,ham_data!$J:$J,'DETAY-yaslandırma'!$B11,ham_data!$E:$E,'DETAY-yaslandırma'!$A11)</f>
        <v>0</v>
      </c>
      <c r="F11" s="5">
        <f>SUMIFS(ham_data!AD:AD,ham_data!$J:$J,'DETAY-yaslandırma'!$B11,ham_data!$E:$E,'DETAY-yaslandırma'!$A11)</f>
        <v>0</v>
      </c>
      <c r="G11" s="5">
        <f>SUMIFS(ham_data!AE:AE,ham_data!$J:$J,'DETAY-yaslandırma'!$B11,ham_data!$E:$E,'DETAY-yaslandırma'!$A11)</f>
        <v>3021226.08</v>
      </c>
      <c r="H11" s="5">
        <f>SUMIFS(ham_data!AF:AF,ham_data!$J:$J,'DETAY-yaslandırma'!$B11,ham_data!$E:$E,'DETAY-yaslandırma'!$A11)</f>
        <v>0</v>
      </c>
      <c r="I11" s="5">
        <f>SUMIFS(ham_data!AG:AG,ham_data!$J:$J,'DETAY-yaslandırma'!$B11,ham_data!$E:$E,'DETAY-yaslandırma'!$A11)</f>
        <v>0</v>
      </c>
      <c r="J11" s="5">
        <f>SUMIFS(ham_data!AH:AH,ham_data!$J:$J,'DETAY-yaslandırma'!$B11,ham_data!$E:$E,'DETAY-yaslandırma'!$A11)</f>
        <v>0</v>
      </c>
      <c r="K11" s="7">
        <f>SUMIFS(DETAY!D:D,DETAY!A:A,'DETAY-yaslandırma'!A11,DETAY!B:B,'DETAY-yaslandırma'!B11)</f>
        <v>0</v>
      </c>
      <c r="L11" s="7">
        <f>SUMIFS(ham_data!U:U,ham_data!$J:$J,'DETAY-yaslandırma'!$B11,ham_data!$E:$E,'DETAY-yaslandırma'!$A11)</f>
        <v>0</v>
      </c>
      <c r="M11" s="7">
        <f>SUMIFS(ham_data!V:V,ham_data!$J:$J,'DETAY-yaslandırma'!$B11,ham_data!$E:$E,'DETAY-yaslandırma'!$A11)</f>
        <v>0</v>
      </c>
      <c r="N11" s="7">
        <f>SUMIFS(ham_data!W:W,ham_data!$J:$J,'DETAY-yaslandırma'!$B11,ham_data!$E:$E,'DETAY-yaslandırma'!$A11)</f>
        <v>0</v>
      </c>
      <c r="O11" s="7">
        <f>SUMIFS(ham_data!X:X,ham_data!$J:$J,'DETAY-yaslandırma'!$B11,ham_data!$E:$E,'DETAY-yaslandırma'!$A11)</f>
        <v>0</v>
      </c>
      <c r="P11" s="7">
        <f>SUMIFS(ham_data!Y:Y,ham_data!$J:$J,'DETAY-yaslandırma'!$B11,ham_data!$E:$E,'DETAY-yaslandırma'!$A11)</f>
        <v>0</v>
      </c>
      <c r="Q11" s="7">
        <f>SUMIFS(ham_data!Z:Z,ham_data!$J:$J,'DETAY-yaslandırma'!$B11,ham_data!$E:$E,'DETAY-yaslandırma'!$A11)</f>
        <v>0</v>
      </c>
      <c r="R11" s="7">
        <f>SUMIFS(ham_data!AA:AA,ham_data!$J:$J,'DETAY-yaslandırma'!$B11,ham_data!$E:$E,'DETAY-yaslandırma'!$A11)</f>
        <v>0</v>
      </c>
      <c r="S11" s="3">
        <f>SUMIFS(DETAY!E:E,DETAY!A:A,'DETAY-yaslandırma'!A11,DETAY!B:B,'DETAY-yaslandırma'!B11)</f>
        <v>6160844.6400000006</v>
      </c>
      <c r="T11" s="3">
        <f t="shared" si="4"/>
        <v>0</v>
      </c>
      <c r="U11" s="11">
        <f t="shared" si="5"/>
        <v>0</v>
      </c>
    </row>
    <row r="12" spans="1:71" x14ac:dyDescent="0.35">
      <c r="A12" s="10" t="s">
        <v>54</v>
      </c>
      <c r="B12" s="2" t="s">
        <v>11</v>
      </c>
      <c r="C12" s="5">
        <f>SUMIFS(DETAY!C:C,DETAY!A:A,'DETAY-yaslandırma'!A12,DETAY!B:B,'DETAY-yaslandırma'!B12)</f>
        <v>2160661.4500000002</v>
      </c>
      <c r="D12" s="5">
        <f>SUMIFS(ham_data!AB:AB,ham_data!$J:$J,'DETAY-yaslandırma'!$B12,ham_data!$E:$E,'DETAY-yaslandırma'!$A12)</f>
        <v>2160661.4500000002</v>
      </c>
      <c r="E12" s="5">
        <f>SUMIFS(ham_data!AC:AC,ham_data!$J:$J,'DETAY-yaslandırma'!$B12,ham_data!$E:$E,'DETAY-yaslandırma'!$A12)</f>
        <v>0</v>
      </c>
      <c r="F12" s="5">
        <f>SUMIFS(ham_data!AD:AD,ham_data!$J:$J,'DETAY-yaslandırma'!$B12,ham_data!$E:$E,'DETAY-yaslandırma'!$A12)</f>
        <v>0</v>
      </c>
      <c r="G12" s="5">
        <f>SUMIFS(ham_data!AE:AE,ham_data!$J:$J,'DETAY-yaslandırma'!$B12,ham_data!$E:$E,'DETAY-yaslandırma'!$A12)</f>
        <v>0</v>
      </c>
      <c r="H12" s="5">
        <f>SUMIFS(ham_data!AF:AF,ham_data!$J:$J,'DETAY-yaslandırma'!$B12,ham_data!$E:$E,'DETAY-yaslandırma'!$A12)</f>
        <v>0</v>
      </c>
      <c r="I12" s="5">
        <f>SUMIFS(ham_data!AG:AG,ham_data!$J:$J,'DETAY-yaslandırma'!$B12,ham_data!$E:$E,'DETAY-yaslandırma'!$A12)</f>
        <v>0</v>
      </c>
      <c r="J12" s="5">
        <f>SUMIFS(ham_data!AH:AH,ham_data!$J:$J,'DETAY-yaslandırma'!$B12,ham_data!$E:$E,'DETAY-yaslandırma'!$A12)</f>
        <v>0</v>
      </c>
      <c r="K12" s="7">
        <f>SUMIFS(DETAY!D:D,DETAY!A:A,'DETAY-yaslandırma'!A12,DETAY!B:B,'DETAY-yaslandırma'!B12)</f>
        <v>0</v>
      </c>
      <c r="L12" s="7">
        <f>SUMIFS(ham_data!U:U,ham_data!$J:$J,'DETAY-yaslandırma'!$B12,ham_data!$E:$E,'DETAY-yaslandırma'!$A12)</f>
        <v>0</v>
      </c>
      <c r="M12" s="7">
        <f>SUMIFS(ham_data!V:V,ham_data!$J:$J,'DETAY-yaslandırma'!$B12,ham_data!$E:$E,'DETAY-yaslandırma'!$A12)</f>
        <v>0</v>
      </c>
      <c r="N12" s="7">
        <f>SUMIFS(ham_data!W:W,ham_data!$J:$J,'DETAY-yaslandırma'!$B12,ham_data!$E:$E,'DETAY-yaslandırma'!$A12)</f>
        <v>0</v>
      </c>
      <c r="O12" s="7">
        <f>SUMIFS(ham_data!X:X,ham_data!$J:$J,'DETAY-yaslandırma'!$B12,ham_data!$E:$E,'DETAY-yaslandırma'!$A12)</f>
        <v>0</v>
      </c>
      <c r="P12" s="7">
        <f>SUMIFS(ham_data!Y:Y,ham_data!$J:$J,'DETAY-yaslandırma'!$B12,ham_data!$E:$E,'DETAY-yaslandırma'!$A12)</f>
        <v>0</v>
      </c>
      <c r="Q12" s="7">
        <f>SUMIFS(ham_data!Z:Z,ham_data!$J:$J,'DETAY-yaslandırma'!$B12,ham_data!$E:$E,'DETAY-yaslandırma'!$A12)</f>
        <v>0</v>
      </c>
      <c r="R12" s="7">
        <f>SUMIFS(ham_data!AA:AA,ham_data!$J:$J,'DETAY-yaslandırma'!$B12,ham_data!$E:$E,'DETAY-yaslandırma'!$A12)</f>
        <v>0</v>
      </c>
      <c r="S12" s="3">
        <f>SUMIFS(DETAY!E:E,DETAY!A:A,'DETAY-yaslandırma'!A12,DETAY!B:B,'DETAY-yaslandırma'!B12)</f>
        <v>2160661.4500000002</v>
      </c>
      <c r="T12" s="3">
        <f t="shared" si="4"/>
        <v>0</v>
      </c>
      <c r="U12" s="11">
        <f t="shared" si="5"/>
        <v>0</v>
      </c>
    </row>
    <row r="13" spans="1:71" x14ac:dyDescent="0.35">
      <c r="A13" s="10" t="s">
        <v>149</v>
      </c>
      <c r="B13" s="2" t="s">
        <v>11</v>
      </c>
      <c r="C13" s="5">
        <f>SUMIFS(DETAY!C:C,DETAY!A:A,'DETAY-yaslandırma'!A13,DETAY!B:B,'DETAY-yaslandırma'!B13)</f>
        <v>0</v>
      </c>
      <c r="D13" s="5">
        <f>SUMIFS(ham_data!AB:AB,ham_data!$J:$J,'DETAY-yaslandırma'!$B13,ham_data!$E:$E,'DETAY-yaslandırma'!$A13)</f>
        <v>0</v>
      </c>
      <c r="E13" s="5">
        <f>SUMIFS(ham_data!AC:AC,ham_data!$J:$J,'DETAY-yaslandırma'!$B13,ham_data!$E:$E,'DETAY-yaslandırma'!$A13)</f>
        <v>0</v>
      </c>
      <c r="F13" s="5">
        <f>SUMIFS(ham_data!AD:AD,ham_data!$J:$J,'DETAY-yaslandırma'!$B13,ham_data!$E:$E,'DETAY-yaslandırma'!$A13)</f>
        <v>0</v>
      </c>
      <c r="G13" s="5">
        <f>SUMIFS(ham_data!AE:AE,ham_data!$J:$J,'DETAY-yaslandırma'!$B13,ham_data!$E:$E,'DETAY-yaslandırma'!$A13)</f>
        <v>0</v>
      </c>
      <c r="H13" s="5">
        <f>SUMIFS(ham_data!AF:AF,ham_data!$J:$J,'DETAY-yaslandırma'!$B13,ham_data!$E:$E,'DETAY-yaslandırma'!$A13)</f>
        <v>0</v>
      </c>
      <c r="I13" s="5">
        <f>SUMIFS(ham_data!AG:AG,ham_data!$J:$J,'DETAY-yaslandırma'!$B13,ham_data!$E:$E,'DETAY-yaslandırma'!$A13)</f>
        <v>0</v>
      </c>
      <c r="J13" s="5">
        <f>SUMIFS(ham_data!AH:AH,ham_data!$J:$J,'DETAY-yaslandırma'!$B13,ham_data!$E:$E,'DETAY-yaslandırma'!$A13)</f>
        <v>0</v>
      </c>
      <c r="K13" s="7">
        <f>SUMIFS(DETAY!D:D,DETAY!A:A,'DETAY-yaslandırma'!A13,DETAY!B:B,'DETAY-yaslandırma'!B13)</f>
        <v>0</v>
      </c>
      <c r="L13" s="7">
        <f>SUMIFS(ham_data!U:U,ham_data!$J:$J,'DETAY-yaslandırma'!$B13,ham_data!$E:$E,'DETAY-yaslandırma'!$A13)</f>
        <v>0</v>
      </c>
      <c r="M13" s="7">
        <f>SUMIFS(ham_data!V:V,ham_data!$J:$J,'DETAY-yaslandırma'!$B13,ham_data!$E:$E,'DETAY-yaslandırma'!$A13)</f>
        <v>0</v>
      </c>
      <c r="N13" s="7">
        <f>SUMIFS(ham_data!W:W,ham_data!$J:$J,'DETAY-yaslandırma'!$B13,ham_data!$E:$E,'DETAY-yaslandırma'!$A13)</f>
        <v>0</v>
      </c>
      <c r="O13" s="7">
        <f>SUMIFS(ham_data!X:X,ham_data!$J:$J,'DETAY-yaslandırma'!$B13,ham_data!$E:$E,'DETAY-yaslandırma'!$A13)</f>
        <v>0</v>
      </c>
      <c r="P13" s="7">
        <f>SUMIFS(ham_data!Y:Y,ham_data!$J:$J,'DETAY-yaslandırma'!$B13,ham_data!$E:$E,'DETAY-yaslandırma'!$A13)</f>
        <v>0</v>
      </c>
      <c r="Q13" s="7">
        <f>SUMIFS(ham_data!Z:Z,ham_data!$J:$J,'DETAY-yaslandırma'!$B13,ham_data!$E:$E,'DETAY-yaslandırma'!$A13)</f>
        <v>0</v>
      </c>
      <c r="R13" s="7">
        <f>SUMIFS(ham_data!AA:AA,ham_data!$J:$J,'DETAY-yaslandırma'!$B13,ham_data!$E:$E,'DETAY-yaslandırma'!$A13)</f>
        <v>0</v>
      </c>
      <c r="S13" s="3">
        <f>SUMIFS(DETAY!E:E,DETAY!A:A,'DETAY-yaslandırma'!A13,DETAY!B:B,'DETAY-yaslandırma'!B13)</f>
        <v>0</v>
      </c>
      <c r="T13" s="3">
        <f t="shared" si="4"/>
        <v>0</v>
      </c>
      <c r="U13" s="11">
        <f t="shared" si="5"/>
        <v>0</v>
      </c>
    </row>
    <row r="14" spans="1:71" x14ac:dyDescent="0.35">
      <c r="A14" s="10" t="s">
        <v>48</v>
      </c>
      <c r="B14" s="2" t="s">
        <v>11</v>
      </c>
      <c r="C14" s="5">
        <f>SUMIFS(DETAY!C:C,DETAY!A:A,'DETAY-yaslandırma'!A14,DETAY!B:B,'DETAY-yaslandırma'!B14)</f>
        <v>3222570.09</v>
      </c>
      <c r="D14" s="5">
        <f>SUMIFS(ham_data!AB:AB,ham_data!$J:$J,'DETAY-yaslandırma'!$B14,ham_data!$E:$E,'DETAY-yaslandırma'!$A14)</f>
        <v>3222570.09</v>
      </c>
      <c r="E14" s="5">
        <f>SUMIFS(ham_data!AC:AC,ham_data!$J:$J,'DETAY-yaslandırma'!$B14,ham_data!$E:$E,'DETAY-yaslandırma'!$A14)</f>
        <v>0</v>
      </c>
      <c r="F14" s="5">
        <f>SUMIFS(ham_data!AD:AD,ham_data!$J:$J,'DETAY-yaslandırma'!$B14,ham_data!$E:$E,'DETAY-yaslandırma'!$A14)</f>
        <v>0</v>
      </c>
      <c r="G14" s="5">
        <f>SUMIFS(ham_data!AE:AE,ham_data!$J:$J,'DETAY-yaslandırma'!$B14,ham_data!$E:$E,'DETAY-yaslandırma'!$A14)</f>
        <v>0</v>
      </c>
      <c r="H14" s="5">
        <f>SUMIFS(ham_data!AF:AF,ham_data!$J:$J,'DETAY-yaslandırma'!$B14,ham_data!$E:$E,'DETAY-yaslandırma'!$A14)</f>
        <v>0</v>
      </c>
      <c r="I14" s="5">
        <f>SUMIFS(ham_data!AG:AG,ham_data!$J:$J,'DETAY-yaslandırma'!$B14,ham_data!$E:$E,'DETAY-yaslandırma'!$A14)</f>
        <v>0</v>
      </c>
      <c r="J14" s="5">
        <f>SUMIFS(ham_data!AH:AH,ham_data!$J:$J,'DETAY-yaslandırma'!$B14,ham_data!$E:$E,'DETAY-yaslandırma'!$A14)</f>
        <v>0</v>
      </c>
      <c r="K14" s="7">
        <f>SUMIFS(DETAY!D:D,DETAY!A:A,'DETAY-yaslandırma'!A14,DETAY!B:B,'DETAY-yaslandırma'!B14)</f>
        <v>4732580.1899999995</v>
      </c>
      <c r="L14" s="7">
        <f>SUMIFS(ham_data!U:U,ham_data!$J:$J,'DETAY-yaslandırma'!$B14,ham_data!$E:$E,'DETAY-yaslandırma'!$A14)</f>
        <v>0</v>
      </c>
      <c r="M14" s="7">
        <f>SUMIFS(ham_data!V:V,ham_data!$J:$J,'DETAY-yaslandırma'!$B14,ham_data!$E:$E,'DETAY-yaslandırma'!$A14)</f>
        <v>4732580.1899999995</v>
      </c>
      <c r="N14" s="7">
        <f>SUMIFS(ham_data!W:W,ham_data!$J:$J,'DETAY-yaslandırma'!$B14,ham_data!$E:$E,'DETAY-yaslandırma'!$A14)</f>
        <v>0</v>
      </c>
      <c r="O14" s="7">
        <f>SUMIFS(ham_data!X:X,ham_data!$J:$J,'DETAY-yaslandırma'!$B14,ham_data!$E:$E,'DETAY-yaslandırma'!$A14)</f>
        <v>0</v>
      </c>
      <c r="P14" s="7">
        <f>SUMIFS(ham_data!Y:Y,ham_data!$J:$J,'DETAY-yaslandırma'!$B14,ham_data!$E:$E,'DETAY-yaslandırma'!$A14)</f>
        <v>0</v>
      </c>
      <c r="Q14" s="7">
        <f>SUMIFS(ham_data!Z:Z,ham_data!$J:$J,'DETAY-yaslandırma'!$B14,ham_data!$E:$E,'DETAY-yaslandırma'!$A14)</f>
        <v>0</v>
      </c>
      <c r="R14" s="7">
        <f>SUMIFS(ham_data!AA:AA,ham_data!$J:$J,'DETAY-yaslandırma'!$B14,ham_data!$E:$E,'DETAY-yaslandırma'!$A14)</f>
        <v>0</v>
      </c>
      <c r="S14" s="3">
        <f>SUMIFS(DETAY!E:E,DETAY!A:A,'DETAY-yaslandırma'!A14,DETAY!B:B,'DETAY-yaslandırma'!B14)</f>
        <v>7955150.2799999993</v>
      </c>
      <c r="T14" s="3">
        <f t="shared" si="4"/>
        <v>0</v>
      </c>
      <c r="U14" s="11">
        <f t="shared" si="5"/>
        <v>0</v>
      </c>
    </row>
    <row r="15" spans="1:71" x14ac:dyDescent="0.35">
      <c r="A15" s="10" t="s">
        <v>45</v>
      </c>
      <c r="B15" s="2" t="s">
        <v>11</v>
      </c>
      <c r="C15" s="5">
        <f>SUMIFS(DETAY!C:C,DETAY!A:A,'DETAY-yaslandırma'!A15,DETAY!B:B,'DETAY-yaslandırma'!B15)</f>
        <v>1867712.35</v>
      </c>
      <c r="D15" s="5">
        <f>SUMIFS(ham_data!AB:AB,ham_data!$J:$J,'DETAY-yaslandırma'!$B15,ham_data!$E:$E,'DETAY-yaslandırma'!$A15)</f>
        <v>986970</v>
      </c>
      <c r="E15" s="5">
        <f>SUMIFS(ham_data!AC:AC,ham_data!$J:$J,'DETAY-yaslandırma'!$B15,ham_data!$E:$E,'DETAY-yaslandırma'!$A15)</f>
        <v>0</v>
      </c>
      <c r="F15" s="5">
        <f>SUMIFS(ham_data!AD:AD,ham_data!$J:$J,'DETAY-yaslandırma'!$B15,ham_data!$E:$E,'DETAY-yaslandırma'!$A15)</f>
        <v>880742.35</v>
      </c>
      <c r="G15" s="5">
        <f>SUMIFS(ham_data!AE:AE,ham_data!$J:$J,'DETAY-yaslandırma'!$B15,ham_data!$E:$E,'DETAY-yaslandırma'!$A15)</f>
        <v>0</v>
      </c>
      <c r="H15" s="5">
        <f>SUMIFS(ham_data!AF:AF,ham_data!$J:$J,'DETAY-yaslandırma'!$B15,ham_data!$E:$E,'DETAY-yaslandırma'!$A15)</f>
        <v>0</v>
      </c>
      <c r="I15" s="5">
        <f>SUMIFS(ham_data!AG:AG,ham_data!$J:$J,'DETAY-yaslandırma'!$B15,ham_data!$E:$E,'DETAY-yaslandırma'!$A15)</f>
        <v>0</v>
      </c>
      <c r="J15" s="5">
        <f>SUMIFS(ham_data!AH:AH,ham_data!$J:$J,'DETAY-yaslandırma'!$B15,ham_data!$E:$E,'DETAY-yaslandırma'!$A15)</f>
        <v>0</v>
      </c>
      <c r="K15" s="7">
        <f>SUMIFS(DETAY!D:D,DETAY!A:A,'DETAY-yaslandırma'!A15,DETAY!B:B,'DETAY-yaslandırma'!B15)</f>
        <v>0</v>
      </c>
      <c r="L15" s="7">
        <f>SUMIFS(ham_data!U:U,ham_data!$J:$J,'DETAY-yaslandırma'!$B15,ham_data!$E:$E,'DETAY-yaslandırma'!$A15)</f>
        <v>0</v>
      </c>
      <c r="M15" s="7">
        <f>SUMIFS(ham_data!V:V,ham_data!$J:$J,'DETAY-yaslandırma'!$B15,ham_data!$E:$E,'DETAY-yaslandırma'!$A15)</f>
        <v>0</v>
      </c>
      <c r="N15" s="7">
        <f>SUMIFS(ham_data!W:W,ham_data!$J:$J,'DETAY-yaslandırma'!$B15,ham_data!$E:$E,'DETAY-yaslandırma'!$A15)</f>
        <v>0</v>
      </c>
      <c r="O15" s="7">
        <f>SUMIFS(ham_data!X:X,ham_data!$J:$J,'DETAY-yaslandırma'!$B15,ham_data!$E:$E,'DETAY-yaslandırma'!$A15)</f>
        <v>0</v>
      </c>
      <c r="P15" s="7">
        <f>SUMIFS(ham_data!Y:Y,ham_data!$J:$J,'DETAY-yaslandırma'!$B15,ham_data!$E:$E,'DETAY-yaslandırma'!$A15)</f>
        <v>0</v>
      </c>
      <c r="Q15" s="7">
        <f>SUMIFS(ham_data!Z:Z,ham_data!$J:$J,'DETAY-yaslandırma'!$B15,ham_data!$E:$E,'DETAY-yaslandırma'!$A15)</f>
        <v>0</v>
      </c>
      <c r="R15" s="7">
        <f>SUMIFS(ham_data!AA:AA,ham_data!$J:$J,'DETAY-yaslandırma'!$B15,ham_data!$E:$E,'DETAY-yaslandırma'!$A15)</f>
        <v>0</v>
      </c>
      <c r="S15" s="3">
        <f>SUMIFS(DETAY!E:E,DETAY!A:A,'DETAY-yaslandırma'!A15,DETAY!B:B,'DETAY-yaslandırma'!B15)</f>
        <v>1867712.35</v>
      </c>
      <c r="T15" s="3">
        <f t="shared" si="4"/>
        <v>0</v>
      </c>
      <c r="U15" s="11">
        <f t="shared" si="5"/>
        <v>0</v>
      </c>
    </row>
    <row r="16" spans="1:71" x14ac:dyDescent="0.35">
      <c r="A16" s="10" t="s">
        <v>27</v>
      </c>
      <c r="B16" s="2" t="s">
        <v>11</v>
      </c>
      <c r="C16" s="5">
        <f>SUMIFS(DETAY!C:C,DETAY!A:A,'DETAY-yaslandırma'!A16,DETAY!B:B,'DETAY-yaslandırma'!B16)</f>
        <v>0</v>
      </c>
      <c r="D16" s="5">
        <f>SUMIFS(ham_data!AB:AB,ham_data!$J:$J,'DETAY-yaslandırma'!$B16,ham_data!$E:$E,'DETAY-yaslandırma'!$A16)</f>
        <v>0</v>
      </c>
      <c r="E16" s="5">
        <f>SUMIFS(ham_data!AC:AC,ham_data!$J:$J,'DETAY-yaslandırma'!$B16,ham_data!$E:$E,'DETAY-yaslandırma'!$A16)</f>
        <v>0</v>
      </c>
      <c r="F16" s="5">
        <f>SUMIFS(ham_data!AD:AD,ham_data!$J:$J,'DETAY-yaslandırma'!$B16,ham_data!$E:$E,'DETAY-yaslandırma'!$A16)</f>
        <v>0</v>
      </c>
      <c r="G16" s="5">
        <f>SUMIFS(ham_data!AE:AE,ham_data!$J:$J,'DETAY-yaslandırma'!$B16,ham_data!$E:$E,'DETAY-yaslandırma'!$A16)</f>
        <v>0</v>
      </c>
      <c r="H16" s="5">
        <f>SUMIFS(ham_data!AF:AF,ham_data!$J:$J,'DETAY-yaslandırma'!$B16,ham_data!$E:$E,'DETAY-yaslandırma'!$A16)</f>
        <v>0</v>
      </c>
      <c r="I16" s="5">
        <f>SUMIFS(ham_data!AG:AG,ham_data!$J:$J,'DETAY-yaslandırma'!$B16,ham_data!$E:$E,'DETAY-yaslandırma'!$A16)</f>
        <v>0</v>
      </c>
      <c r="J16" s="5">
        <f>SUMIFS(ham_data!AH:AH,ham_data!$J:$J,'DETAY-yaslandırma'!$B16,ham_data!$E:$E,'DETAY-yaslandırma'!$A16)</f>
        <v>0</v>
      </c>
      <c r="K16" s="7">
        <f>SUMIFS(DETAY!D:D,DETAY!A:A,'DETAY-yaslandırma'!A16,DETAY!B:B,'DETAY-yaslandırma'!B16)</f>
        <v>0</v>
      </c>
      <c r="L16" s="7">
        <f>SUMIFS(ham_data!U:U,ham_data!$J:$J,'DETAY-yaslandırma'!$B16,ham_data!$E:$E,'DETAY-yaslandırma'!$A16)</f>
        <v>0</v>
      </c>
      <c r="M16" s="7">
        <f>SUMIFS(ham_data!V:V,ham_data!$J:$J,'DETAY-yaslandırma'!$B16,ham_data!$E:$E,'DETAY-yaslandırma'!$A16)</f>
        <v>0</v>
      </c>
      <c r="N16" s="7">
        <f>SUMIFS(ham_data!W:W,ham_data!$J:$J,'DETAY-yaslandırma'!$B16,ham_data!$E:$E,'DETAY-yaslandırma'!$A16)</f>
        <v>0</v>
      </c>
      <c r="O16" s="7">
        <f>SUMIFS(ham_data!X:X,ham_data!$J:$J,'DETAY-yaslandırma'!$B16,ham_data!$E:$E,'DETAY-yaslandırma'!$A16)</f>
        <v>0</v>
      </c>
      <c r="P16" s="7">
        <f>SUMIFS(ham_data!Y:Y,ham_data!$J:$J,'DETAY-yaslandırma'!$B16,ham_data!$E:$E,'DETAY-yaslandırma'!$A16)</f>
        <v>0</v>
      </c>
      <c r="Q16" s="7">
        <f>SUMIFS(ham_data!Z:Z,ham_data!$J:$J,'DETAY-yaslandırma'!$B16,ham_data!$E:$E,'DETAY-yaslandırma'!$A16)</f>
        <v>0</v>
      </c>
      <c r="R16" s="7">
        <f>SUMIFS(ham_data!AA:AA,ham_data!$J:$J,'DETAY-yaslandırma'!$B16,ham_data!$E:$E,'DETAY-yaslandırma'!$A16)</f>
        <v>0</v>
      </c>
      <c r="S16" s="3">
        <f>SUMIFS(DETAY!E:E,DETAY!A:A,'DETAY-yaslandırma'!A16,DETAY!B:B,'DETAY-yaslandırma'!B16)</f>
        <v>0</v>
      </c>
      <c r="T16" s="3">
        <f t="shared" si="4"/>
        <v>0</v>
      </c>
      <c r="U16" s="11">
        <f t="shared" si="5"/>
        <v>0</v>
      </c>
    </row>
    <row r="17" spans="1:21" x14ac:dyDescent="0.35">
      <c r="A17" s="10" t="s">
        <v>80</v>
      </c>
      <c r="B17" s="2" t="s">
        <v>11</v>
      </c>
      <c r="C17" s="5">
        <f>SUMIFS(DETAY!C:C,DETAY!A:A,'DETAY-yaslandırma'!A17,DETAY!B:B,'DETAY-yaslandırma'!B17)</f>
        <v>2285789.6800000002</v>
      </c>
      <c r="D17" s="5">
        <f>SUMIFS(ham_data!AB:AB,ham_data!$J:$J,'DETAY-yaslandırma'!$B17,ham_data!$E:$E,'DETAY-yaslandırma'!$A17)</f>
        <v>1843968.08</v>
      </c>
      <c r="E17" s="5">
        <f>SUMIFS(ham_data!AC:AC,ham_data!$J:$J,'DETAY-yaslandırma'!$B17,ham_data!$E:$E,'DETAY-yaslandırma'!$A17)</f>
        <v>0</v>
      </c>
      <c r="F17" s="5">
        <f>SUMIFS(ham_data!AD:AD,ham_data!$J:$J,'DETAY-yaslandırma'!$B17,ham_data!$E:$E,'DETAY-yaslandırma'!$A17)</f>
        <v>441821.6</v>
      </c>
      <c r="G17" s="5">
        <f>SUMIFS(ham_data!AE:AE,ham_data!$J:$J,'DETAY-yaslandırma'!$B17,ham_data!$E:$E,'DETAY-yaslandırma'!$A17)</f>
        <v>0</v>
      </c>
      <c r="H17" s="5">
        <f>SUMIFS(ham_data!AF:AF,ham_data!$J:$J,'DETAY-yaslandırma'!$B17,ham_data!$E:$E,'DETAY-yaslandırma'!$A17)</f>
        <v>0</v>
      </c>
      <c r="I17" s="5">
        <f>SUMIFS(ham_data!AG:AG,ham_data!$J:$J,'DETAY-yaslandırma'!$B17,ham_data!$E:$E,'DETAY-yaslandırma'!$A17)</f>
        <v>0</v>
      </c>
      <c r="J17" s="5">
        <f>SUMIFS(ham_data!AH:AH,ham_data!$J:$J,'DETAY-yaslandırma'!$B17,ham_data!$E:$E,'DETAY-yaslandırma'!$A17)</f>
        <v>0</v>
      </c>
      <c r="K17" s="7">
        <f>SUMIFS(DETAY!D:D,DETAY!A:A,'DETAY-yaslandırma'!A17,DETAY!B:B,'DETAY-yaslandırma'!B17)</f>
        <v>0</v>
      </c>
      <c r="L17" s="7">
        <f>SUMIFS(ham_data!U:U,ham_data!$J:$J,'DETAY-yaslandırma'!$B17,ham_data!$E:$E,'DETAY-yaslandırma'!$A17)</f>
        <v>0</v>
      </c>
      <c r="M17" s="7">
        <f>SUMIFS(ham_data!V:V,ham_data!$J:$J,'DETAY-yaslandırma'!$B17,ham_data!$E:$E,'DETAY-yaslandırma'!$A17)</f>
        <v>0</v>
      </c>
      <c r="N17" s="7">
        <f>SUMIFS(ham_data!W:W,ham_data!$J:$J,'DETAY-yaslandırma'!$B17,ham_data!$E:$E,'DETAY-yaslandırma'!$A17)</f>
        <v>0</v>
      </c>
      <c r="O17" s="7">
        <f>SUMIFS(ham_data!X:X,ham_data!$J:$J,'DETAY-yaslandırma'!$B17,ham_data!$E:$E,'DETAY-yaslandırma'!$A17)</f>
        <v>0</v>
      </c>
      <c r="P17" s="7">
        <f>SUMIFS(ham_data!Y:Y,ham_data!$J:$J,'DETAY-yaslandırma'!$B17,ham_data!$E:$E,'DETAY-yaslandırma'!$A17)</f>
        <v>0</v>
      </c>
      <c r="Q17" s="7">
        <f>SUMIFS(ham_data!Z:Z,ham_data!$J:$J,'DETAY-yaslandırma'!$B17,ham_data!$E:$E,'DETAY-yaslandırma'!$A17)</f>
        <v>0</v>
      </c>
      <c r="R17" s="7">
        <f>SUMIFS(ham_data!AA:AA,ham_data!$J:$J,'DETAY-yaslandırma'!$B17,ham_data!$E:$E,'DETAY-yaslandırma'!$A17)</f>
        <v>0</v>
      </c>
      <c r="S17" s="3">
        <f>SUMIFS(DETAY!E:E,DETAY!A:A,'DETAY-yaslandırma'!A17,DETAY!B:B,'DETAY-yaslandırma'!B17)</f>
        <v>2285789.6800000002</v>
      </c>
      <c r="T17" s="3">
        <f t="shared" si="4"/>
        <v>0</v>
      </c>
      <c r="U17" s="11">
        <f t="shared" si="5"/>
        <v>0</v>
      </c>
    </row>
    <row r="18" spans="1:21" x14ac:dyDescent="0.35">
      <c r="A18" s="10" t="s">
        <v>95</v>
      </c>
      <c r="B18" s="2" t="s">
        <v>11</v>
      </c>
      <c r="C18" s="5">
        <f>SUMIFS(DETAY!C:C,DETAY!A:A,'DETAY-yaslandırma'!A18,DETAY!B:B,'DETAY-yaslandırma'!B18)</f>
        <v>0</v>
      </c>
      <c r="D18" s="5">
        <f>SUMIFS(ham_data!AB:AB,ham_data!$J:$J,'DETAY-yaslandırma'!$B18,ham_data!$E:$E,'DETAY-yaslandırma'!$A18)</f>
        <v>0</v>
      </c>
      <c r="E18" s="5">
        <f>SUMIFS(ham_data!AC:AC,ham_data!$J:$J,'DETAY-yaslandırma'!$B18,ham_data!$E:$E,'DETAY-yaslandırma'!$A18)</f>
        <v>0</v>
      </c>
      <c r="F18" s="5">
        <f>SUMIFS(ham_data!AD:AD,ham_data!$J:$J,'DETAY-yaslandırma'!$B18,ham_data!$E:$E,'DETAY-yaslandırma'!$A18)</f>
        <v>0</v>
      </c>
      <c r="G18" s="5">
        <f>SUMIFS(ham_data!AE:AE,ham_data!$J:$J,'DETAY-yaslandırma'!$B18,ham_data!$E:$E,'DETAY-yaslandırma'!$A18)</f>
        <v>0</v>
      </c>
      <c r="H18" s="5">
        <f>SUMIFS(ham_data!AF:AF,ham_data!$J:$J,'DETAY-yaslandırma'!$B18,ham_data!$E:$E,'DETAY-yaslandırma'!$A18)</f>
        <v>0</v>
      </c>
      <c r="I18" s="5">
        <f>SUMIFS(ham_data!AG:AG,ham_data!$J:$J,'DETAY-yaslandırma'!$B18,ham_data!$E:$E,'DETAY-yaslandırma'!$A18)</f>
        <v>0</v>
      </c>
      <c r="J18" s="5">
        <f>SUMIFS(ham_data!AH:AH,ham_data!$J:$J,'DETAY-yaslandırma'!$B18,ham_data!$E:$E,'DETAY-yaslandırma'!$A18)</f>
        <v>0</v>
      </c>
      <c r="K18" s="7">
        <f>SUMIFS(DETAY!D:D,DETAY!A:A,'DETAY-yaslandırma'!A18,DETAY!B:B,'DETAY-yaslandırma'!B18)</f>
        <v>5592594.2699999996</v>
      </c>
      <c r="L18" s="7">
        <f>SUMIFS(ham_data!U:U,ham_data!$J:$J,'DETAY-yaslandırma'!$B18,ham_data!$E:$E,'DETAY-yaslandırma'!$A18)</f>
        <v>3807199.35</v>
      </c>
      <c r="M18" s="7">
        <f>SUMIFS(ham_data!V:V,ham_data!$J:$J,'DETAY-yaslandırma'!$B18,ham_data!$E:$E,'DETAY-yaslandırma'!$A18)</f>
        <v>1785394.92</v>
      </c>
      <c r="N18" s="7">
        <f>SUMIFS(ham_data!W:W,ham_data!$J:$J,'DETAY-yaslandırma'!$B18,ham_data!$E:$E,'DETAY-yaslandırma'!$A18)</f>
        <v>0</v>
      </c>
      <c r="O18" s="7">
        <f>SUMIFS(ham_data!X:X,ham_data!$J:$J,'DETAY-yaslandırma'!$B18,ham_data!$E:$E,'DETAY-yaslandırma'!$A18)</f>
        <v>0</v>
      </c>
      <c r="P18" s="7">
        <f>SUMIFS(ham_data!Y:Y,ham_data!$J:$J,'DETAY-yaslandırma'!$B18,ham_data!$E:$E,'DETAY-yaslandırma'!$A18)</f>
        <v>0</v>
      </c>
      <c r="Q18" s="7">
        <f>SUMIFS(ham_data!Z:Z,ham_data!$J:$J,'DETAY-yaslandırma'!$B18,ham_data!$E:$E,'DETAY-yaslandırma'!$A18)</f>
        <v>0</v>
      </c>
      <c r="R18" s="7">
        <f>SUMIFS(ham_data!AA:AA,ham_data!$J:$J,'DETAY-yaslandırma'!$B18,ham_data!$E:$E,'DETAY-yaslandırma'!$A18)</f>
        <v>0</v>
      </c>
      <c r="S18" s="3">
        <f>SUMIFS(DETAY!E:E,DETAY!A:A,'DETAY-yaslandırma'!A18,DETAY!B:B,'DETAY-yaslandırma'!B18)</f>
        <v>5592594.2699999996</v>
      </c>
      <c r="T18" s="3">
        <f t="shared" si="4"/>
        <v>0</v>
      </c>
      <c r="U18" s="11">
        <f t="shared" si="5"/>
        <v>0</v>
      </c>
    </row>
    <row r="19" spans="1:21" x14ac:dyDescent="0.35">
      <c r="A19" s="10" t="s">
        <v>86</v>
      </c>
      <c r="B19" s="2" t="s">
        <v>11</v>
      </c>
      <c r="C19" s="5">
        <f>SUMIFS(DETAY!C:C,DETAY!A:A,'DETAY-yaslandırma'!A19,DETAY!B:B,'DETAY-yaslandırma'!B19)</f>
        <v>1516828.21</v>
      </c>
      <c r="D19" s="5">
        <f>SUMIFS(ham_data!AB:AB,ham_data!$J:$J,'DETAY-yaslandırma'!$B19,ham_data!$E:$E,'DETAY-yaslandırma'!$A19)</f>
        <v>1516828.21</v>
      </c>
      <c r="E19" s="5">
        <f>SUMIFS(ham_data!AC:AC,ham_data!$J:$J,'DETAY-yaslandırma'!$B19,ham_data!$E:$E,'DETAY-yaslandırma'!$A19)</f>
        <v>0</v>
      </c>
      <c r="F19" s="5">
        <f>SUMIFS(ham_data!AD:AD,ham_data!$J:$J,'DETAY-yaslandırma'!$B19,ham_data!$E:$E,'DETAY-yaslandırma'!$A19)</f>
        <v>0</v>
      </c>
      <c r="G19" s="5">
        <f>SUMIFS(ham_data!AE:AE,ham_data!$J:$J,'DETAY-yaslandırma'!$B19,ham_data!$E:$E,'DETAY-yaslandırma'!$A19)</f>
        <v>0</v>
      </c>
      <c r="H19" s="5">
        <f>SUMIFS(ham_data!AF:AF,ham_data!$J:$J,'DETAY-yaslandırma'!$B19,ham_data!$E:$E,'DETAY-yaslandırma'!$A19)</f>
        <v>0</v>
      </c>
      <c r="I19" s="5">
        <f>SUMIFS(ham_data!AG:AG,ham_data!$J:$J,'DETAY-yaslandırma'!$B19,ham_data!$E:$E,'DETAY-yaslandırma'!$A19)</f>
        <v>0</v>
      </c>
      <c r="J19" s="5">
        <f>SUMIFS(ham_data!AH:AH,ham_data!$J:$J,'DETAY-yaslandırma'!$B19,ham_data!$E:$E,'DETAY-yaslandırma'!$A19)</f>
        <v>0</v>
      </c>
      <c r="K19" s="7">
        <f>SUMIFS(DETAY!D:D,DETAY!A:A,'DETAY-yaslandırma'!A19,DETAY!B:B,'DETAY-yaslandırma'!B19)</f>
        <v>0</v>
      </c>
      <c r="L19" s="7">
        <f>SUMIFS(ham_data!U:U,ham_data!$J:$J,'DETAY-yaslandırma'!$B19,ham_data!$E:$E,'DETAY-yaslandırma'!$A19)</f>
        <v>0</v>
      </c>
      <c r="M19" s="7">
        <f>SUMIFS(ham_data!V:V,ham_data!$J:$J,'DETAY-yaslandırma'!$B19,ham_data!$E:$E,'DETAY-yaslandırma'!$A19)</f>
        <v>0</v>
      </c>
      <c r="N19" s="7">
        <f>SUMIFS(ham_data!W:W,ham_data!$J:$J,'DETAY-yaslandırma'!$B19,ham_data!$E:$E,'DETAY-yaslandırma'!$A19)</f>
        <v>0</v>
      </c>
      <c r="O19" s="7">
        <f>SUMIFS(ham_data!X:X,ham_data!$J:$J,'DETAY-yaslandırma'!$B19,ham_data!$E:$E,'DETAY-yaslandırma'!$A19)</f>
        <v>0</v>
      </c>
      <c r="P19" s="7">
        <f>SUMIFS(ham_data!Y:Y,ham_data!$J:$J,'DETAY-yaslandırma'!$B19,ham_data!$E:$E,'DETAY-yaslandırma'!$A19)</f>
        <v>0</v>
      </c>
      <c r="Q19" s="7">
        <f>SUMIFS(ham_data!Z:Z,ham_data!$J:$J,'DETAY-yaslandırma'!$B19,ham_data!$E:$E,'DETAY-yaslandırma'!$A19)</f>
        <v>0</v>
      </c>
      <c r="R19" s="7">
        <f>SUMIFS(ham_data!AA:AA,ham_data!$J:$J,'DETAY-yaslandırma'!$B19,ham_data!$E:$E,'DETAY-yaslandırma'!$A19)</f>
        <v>0</v>
      </c>
      <c r="S19" s="3">
        <f>SUMIFS(DETAY!E:E,DETAY!A:A,'DETAY-yaslandırma'!A19,DETAY!B:B,'DETAY-yaslandırma'!B19)</f>
        <v>1516828.21</v>
      </c>
      <c r="T19" s="3">
        <f t="shared" si="4"/>
        <v>0</v>
      </c>
      <c r="U19" s="11">
        <f t="shared" si="5"/>
        <v>0</v>
      </c>
    </row>
    <row r="20" spans="1:21" x14ac:dyDescent="0.35">
      <c r="A20" s="10" t="s">
        <v>78</v>
      </c>
      <c r="B20" s="2" t="s">
        <v>11</v>
      </c>
      <c r="C20" s="5">
        <f>SUMIFS(DETAY!C:C,DETAY!A:A,'DETAY-yaslandırma'!A20,DETAY!B:B,'DETAY-yaslandırma'!B20)</f>
        <v>0</v>
      </c>
      <c r="D20" s="5">
        <f>SUMIFS(ham_data!AB:AB,ham_data!$J:$J,'DETAY-yaslandırma'!$B20,ham_data!$E:$E,'DETAY-yaslandırma'!$A20)</f>
        <v>0</v>
      </c>
      <c r="E20" s="5">
        <f>SUMIFS(ham_data!AC:AC,ham_data!$J:$J,'DETAY-yaslandırma'!$B20,ham_data!$E:$E,'DETAY-yaslandırma'!$A20)</f>
        <v>0</v>
      </c>
      <c r="F20" s="5">
        <f>SUMIFS(ham_data!AD:AD,ham_data!$J:$J,'DETAY-yaslandırma'!$B20,ham_data!$E:$E,'DETAY-yaslandırma'!$A20)</f>
        <v>0</v>
      </c>
      <c r="G20" s="5">
        <f>SUMIFS(ham_data!AE:AE,ham_data!$J:$J,'DETAY-yaslandırma'!$B20,ham_data!$E:$E,'DETAY-yaslandırma'!$A20)</f>
        <v>0</v>
      </c>
      <c r="H20" s="5">
        <f>SUMIFS(ham_data!AF:AF,ham_data!$J:$J,'DETAY-yaslandırma'!$B20,ham_data!$E:$E,'DETAY-yaslandırma'!$A20)</f>
        <v>0</v>
      </c>
      <c r="I20" s="5">
        <f>SUMIFS(ham_data!AG:AG,ham_data!$J:$J,'DETAY-yaslandırma'!$B20,ham_data!$E:$E,'DETAY-yaslandırma'!$A20)</f>
        <v>0</v>
      </c>
      <c r="J20" s="5">
        <f>SUMIFS(ham_data!AH:AH,ham_data!$J:$J,'DETAY-yaslandırma'!$B20,ham_data!$E:$E,'DETAY-yaslandırma'!$A20)</f>
        <v>0</v>
      </c>
      <c r="K20" s="7">
        <f>SUMIFS(DETAY!D:D,DETAY!A:A,'DETAY-yaslandırma'!A20,DETAY!B:B,'DETAY-yaslandırma'!B20)</f>
        <v>230694.05</v>
      </c>
      <c r="L20" s="7">
        <f>SUMIFS(ham_data!U:U,ham_data!$J:$J,'DETAY-yaslandırma'!$B20,ham_data!$E:$E,'DETAY-yaslandırma'!$A20)</f>
        <v>230694.05</v>
      </c>
      <c r="M20" s="7">
        <f>SUMIFS(ham_data!V:V,ham_data!$J:$J,'DETAY-yaslandırma'!$B20,ham_data!$E:$E,'DETAY-yaslandırma'!$A20)</f>
        <v>0</v>
      </c>
      <c r="N20" s="7">
        <f>SUMIFS(ham_data!W:W,ham_data!$J:$J,'DETAY-yaslandırma'!$B20,ham_data!$E:$E,'DETAY-yaslandırma'!$A20)</f>
        <v>0</v>
      </c>
      <c r="O20" s="7">
        <f>SUMIFS(ham_data!X:X,ham_data!$J:$J,'DETAY-yaslandırma'!$B20,ham_data!$E:$E,'DETAY-yaslandırma'!$A20)</f>
        <v>0</v>
      </c>
      <c r="P20" s="7">
        <f>SUMIFS(ham_data!Y:Y,ham_data!$J:$J,'DETAY-yaslandırma'!$B20,ham_data!$E:$E,'DETAY-yaslandırma'!$A20)</f>
        <v>0</v>
      </c>
      <c r="Q20" s="7">
        <f>SUMIFS(ham_data!Z:Z,ham_data!$J:$J,'DETAY-yaslandırma'!$B20,ham_data!$E:$E,'DETAY-yaslandırma'!$A20)</f>
        <v>0</v>
      </c>
      <c r="R20" s="7">
        <f>SUMIFS(ham_data!AA:AA,ham_data!$J:$J,'DETAY-yaslandırma'!$B20,ham_data!$E:$E,'DETAY-yaslandırma'!$A20)</f>
        <v>0</v>
      </c>
      <c r="S20" s="3">
        <f>SUMIFS(DETAY!E:E,DETAY!A:A,'DETAY-yaslandırma'!A20,DETAY!B:B,'DETAY-yaslandırma'!B20)</f>
        <v>230694.05</v>
      </c>
      <c r="T20" s="3">
        <f t="shared" si="4"/>
        <v>0</v>
      </c>
      <c r="U20" s="11">
        <f t="shared" si="5"/>
        <v>0</v>
      </c>
    </row>
    <row r="21" spans="1:21" x14ac:dyDescent="0.35">
      <c r="A21" s="10" t="s">
        <v>100</v>
      </c>
      <c r="B21" s="2" t="s">
        <v>11</v>
      </c>
      <c r="C21" s="5">
        <f>SUMIFS(DETAY!C:C,DETAY!A:A,'DETAY-yaslandırma'!A21,DETAY!B:B,'DETAY-yaslandırma'!B21)</f>
        <v>1149520.8999999999</v>
      </c>
      <c r="D21" s="5">
        <f>SUMIFS(ham_data!AB:AB,ham_data!$J:$J,'DETAY-yaslandırma'!$B21,ham_data!$E:$E,'DETAY-yaslandırma'!$A21)</f>
        <v>476888.76</v>
      </c>
      <c r="E21" s="5">
        <f>SUMIFS(ham_data!AC:AC,ham_data!$J:$J,'DETAY-yaslandırma'!$B21,ham_data!$E:$E,'DETAY-yaslandırma'!$A21)</f>
        <v>0</v>
      </c>
      <c r="F21" s="5">
        <f>SUMIFS(ham_data!AD:AD,ham_data!$J:$J,'DETAY-yaslandırma'!$B21,ham_data!$E:$E,'DETAY-yaslandırma'!$A21)</f>
        <v>475206.44</v>
      </c>
      <c r="G21" s="5">
        <f>SUMIFS(ham_data!AE:AE,ham_data!$J:$J,'DETAY-yaslandırma'!$B21,ham_data!$E:$E,'DETAY-yaslandırma'!$A21)</f>
        <v>197425.7</v>
      </c>
      <c r="H21" s="5">
        <f>SUMIFS(ham_data!AF:AF,ham_data!$J:$J,'DETAY-yaslandırma'!$B21,ham_data!$E:$E,'DETAY-yaslandırma'!$A21)</f>
        <v>0</v>
      </c>
      <c r="I21" s="5">
        <f>SUMIFS(ham_data!AG:AG,ham_data!$J:$J,'DETAY-yaslandırma'!$B21,ham_data!$E:$E,'DETAY-yaslandırma'!$A21)</f>
        <v>0</v>
      </c>
      <c r="J21" s="5">
        <f>SUMIFS(ham_data!AH:AH,ham_data!$J:$J,'DETAY-yaslandırma'!$B21,ham_data!$E:$E,'DETAY-yaslandırma'!$A21)</f>
        <v>0</v>
      </c>
      <c r="K21" s="7">
        <f>SUMIFS(DETAY!D:D,DETAY!A:A,'DETAY-yaslandırma'!A21,DETAY!B:B,'DETAY-yaslandırma'!B21)</f>
        <v>0</v>
      </c>
      <c r="L21" s="7">
        <f>SUMIFS(ham_data!U:U,ham_data!$J:$J,'DETAY-yaslandırma'!$B21,ham_data!$E:$E,'DETAY-yaslandırma'!$A21)</f>
        <v>0</v>
      </c>
      <c r="M21" s="7">
        <f>SUMIFS(ham_data!V:V,ham_data!$J:$J,'DETAY-yaslandırma'!$B21,ham_data!$E:$E,'DETAY-yaslandırma'!$A21)</f>
        <v>0</v>
      </c>
      <c r="N21" s="7">
        <f>SUMIFS(ham_data!W:W,ham_data!$J:$J,'DETAY-yaslandırma'!$B21,ham_data!$E:$E,'DETAY-yaslandırma'!$A21)</f>
        <v>0</v>
      </c>
      <c r="O21" s="7">
        <f>SUMIFS(ham_data!X:X,ham_data!$J:$J,'DETAY-yaslandırma'!$B21,ham_data!$E:$E,'DETAY-yaslandırma'!$A21)</f>
        <v>0</v>
      </c>
      <c r="P21" s="7">
        <f>SUMIFS(ham_data!Y:Y,ham_data!$J:$J,'DETAY-yaslandırma'!$B21,ham_data!$E:$E,'DETAY-yaslandırma'!$A21)</f>
        <v>0</v>
      </c>
      <c r="Q21" s="7">
        <f>SUMIFS(ham_data!Z:Z,ham_data!$J:$J,'DETAY-yaslandırma'!$B21,ham_data!$E:$E,'DETAY-yaslandırma'!$A21)</f>
        <v>0</v>
      </c>
      <c r="R21" s="7">
        <f>SUMIFS(ham_data!AA:AA,ham_data!$J:$J,'DETAY-yaslandırma'!$B21,ham_data!$E:$E,'DETAY-yaslandırma'!$A21)</f>
        <v>0</v>
      </c>
      <c r="S21" s="3">
        <f>SUMIFS(DETAY!E:E,DETAY!A:A,'DETAY-yaslandırma'!A21,DETAY!B:B,'DETAY-yaslandırma'!B21)</f>
        <v>1149520.8999999999</v>
      </c>
      <c r="T21" s="3">
        <f t="shared" si="4"/>
        <v>0</v>
      </c>
      <c r="U21" s="11">
        <f t="shared" si="5"/>
        <v>0</v>
      </c>
    </row>
    <row r="22" spans="1:21" x14ac:dyDescent="0.35">
      <c r="A22" s="10" t="s">
        <v>23</v>
      </c>
      <c r="B22" s="2" t="s">
        <v>11</v>
      </c>
      <c r="C22" s="5">
        <f>SUMIFS(DETAY!C:C,DETAY!A:A,'DETAY-yaslandırma'!A22,DETAY!B:B,'DETAY-yaslandırma'!B22)</f>
        <v>945236.29</v>
      </c>
      <c r="D22" s="5">
        <f>SUMIFS(ham_data!AB:AB,ham_data!$J:$J,'DETAY-yaslandırma'!$B22,ham_data!$E:$E,'DETAY-yaslandırma'!$A22)</f>
        <v>344519.07</v>
      </c>
      <c r="E22" s="5">
        <f>SUMIFS(ham_data!AC:AC,ham_data!$J:$J,'DETAY-yaslandırma'!$B22,ham_data!$E:$E,'DETAY-yaslandırma'!$A22)</f>
        <v>344519.07</v>
      </c>
      <c r="F22" s="5">
        <f>SUMIFS(ham_data!AD:AD,ham_data!$J:$J,'DETAY-yaslandırma'!$B22,ham_data!$E:$E,'DETAY-yaslandırma'!$A22)</f>
        <v>256197.98</v>
      </c>
      <c r="G22" s="5">
        <f>SUMIFS(ham_data!AE:AE,ham_data!$J:$J,'DETAY-yaslandırma'!$B22,ham_data!$E:$E,'DETAY-yaslandırma'!$A22)</f>
        <v>0</v>
      </c>
      <c r="H22" s="5">
        <f>SUMIFS(ham_data!AF:AF,ham_data!$J:$J,'DETAY-yaslandırma'!$B22,ham_data!$E:$E,'DETAY-yaslandırma'!$A22)</f>
        <v>0.17</v>
      </c>
      <c r="I22" s="5">
        <f>SUMIFS(ham_data!AG:AG,ham_data!$J:$J,'DETAY-yaslandırma'!$B22,ham_data!$E:$E,'DETAY-yaslandırma'!$A22)</f>
        <v>0</v>
      </c>
      <c r="J22" s="5">
        <f>SUMIFS(ham_data!AH:AH,ham_data!$J:$J,'DETAY-yaslandırma'!$B22,ham_data!$E:$E,'DETAY-yaslandırma'!$A22)</f>
        <v>0</v>
      </c>
      <c r="K22" s="7">
        <f>SUMIFS(DETAY!D:D,DETAY!A:A,'DETAY-yaslandırma'!A22,DETAY!B:B,'DETAY-yaslandırma'!B22)</f>
        <v>344519.07</v>
      </c>
      <c r="L22" s="7">
        <f>SUMIFS(ham_data!U:U,ham_data!$J:$J,'DETAY-yaslandırma'!$B22,ham_data!$E:$E,'DETAY-yaslandırma'!$A22)</f>
        <v>0</v>
      </c>
      <c r="M22" s="7">
        <f>SUMIFS(ham_data!V:V,ham_data!$J:$J,'DETAY-yaslandırma'!$B22,ham_data!$E:$E,'DETAY-yaslandırma'!$A22)</f>
        <v>344519.07</v>
      </c>
      <c r="N22" s="7">
        <f>SUMIFS(ham_data!W:W,ham_data!$J:$J,'DETAY-yaslandırma'!$B22,ham_data!$E:$E,'DETAY-yaslandırma'!$A22)</f>
        <v>0</v>
      </c>
      <c r="O22" s="7">
        <f>SUMIFS(ham_data!X:X,ham_data!$J:$J,'DETAY-yaslandırma'!$B22,ham_data!$E:$E,'DETAY-yaslandırma'!$A22)</f>
        <v>0</v>
      </c>
      <c r="P22" s="7">
        <f>SUMIFS(ham_data!Y:Y,ham_data!$J:$J,'DETAY-yaslandırma'!$B22,ham_data!$E:$E,'DETAY-yaslandırma'!$A22)</f>
        <v>0</v>
      </c>
      <c r="Q22" s="7">
        <f>SUMIFS(ham_data!Z:Z,ham_data!$J:$J,'DETAY-yaslandırma'!$B22,ham_data!$E:$E,'DETAY-yaslandırma'!$A22)</f>
        <v>0</v>
      </c>
      <c r="R22" s="7">
        <f>SUMIFS(ham_data!AA:AA,ham_data!$J:$J,'DETAY-yaslandırma'!$B22,ham_data!$E:$E,'DETAY-yaslandırma'!$A22)</f>
        <v>0</v>
      </c>
      <c r="S22" s="3">
        <f>SUMIFS(DETAY!E:E,DETAY!A:A,'DETAY-yaslandırma'!A22,DETAY!B:B,'DETAY-yaslandırma'!B22)</f>
        <v>1289755.3600000001</v>
      </c>
      <c r="T22" s="3">
        <f t="shared" si="4"/>
        <v>0</v>
      </c>
      <c r="U22" s="11">
        <f t="shared" si="5"/>
        <v>0</v>
      </c>
    </row>
    <row r="23" spans="1:21" x14ac:dyDescent="0.35">
      <c r="A23" s="10" t="s">
        <v>125</v>
      </c>
      <c r="B23" s="2" t="s">
        <v>11</v>
      </c>
      <c r="C23" s="5">
        <f>SUMIFS(DETAY!C:C,DETAY!A:A,'DETAY-yaslandırma'!A23,DETAY!B:B,'DETAY-yaslandırma'!B23)</f>
        <v>0</v>
      </c>
      <c r="D23" s="5">
        <f>SUMIFS(ham_data!AB:AB,ham_data!$J:$J,'DETAY-yaslandırma'!$B23,ham_data!$E:$E,'DETAY-yaslandırma'!$A23)</f>
        <v>0</v>
      </c>
      <c r="E23" s="5">
        <f>SUMIFS(ham_data!AC:AC,ham_data!$J:$J,'DETAY-yaslandırma'!$B23,ham_data!$E:$E,'DETAY-yaslandırma'!$A23)</f>
        <v>0</v>
      </c>
      <c r="F23" s="5">
        <f>SUMIFS(ham_data!AD:AD,ham_data!$J:$J,'DETAY-yaslandırma'!$B23,ham_data!$E:$E,'DETAY-yaslandırma'!$A23)</f>
        <v>0</v>
      </c>
      <c r="G23" s="5">
        <f>SUMIFS(ham_data!AE:AE,ham_data!$J:$J,'DETAY-yaslandırma'!$B23,ham_data!$E:$E,'DETAY-yaslandırma'!$A23)</f>
        <v>0</v>
      </c>
      <c r="H23" s="5">
        <f>SUMIFS(ham_data!AF:AF,ham_data!$J:$J,'DETAY-yaslandırma'!$B23,ham_data!$E:$E,'DETAY-yaslandırma'!$A23)</f>
        <v>0</v>
      </c>
      <c r="I23" s="5">
        <f>SUMIFS(ham_data!AG:AG,ham_data!$J:$J,'DETAY-yaslandırma'!$B23,ham_data!$E:$E,'DETAY-yaslandırma'!$A23)</f>
        <v>0</v>
      </c>
      <c r="J23" s="5">
        <f>SUMIFS(ham_data!AH:AH,ham_data!$J:$J,'DETAY-yaslandırma'!$B23,ham_data!$E:$E,'DETAY-yaslandırma'!$A23)</f>
        <v>0</v>
      </c>
      <c r="K23" s="7">
        <f>SUMIFS(DETAY!D:D,DETAY!A:A,'DETAY-yaslandırma'!A23,DETAY!B:B,'DETAY-yaslandırma'!B23)</f>
        <v>0</v>
      </c>
      <c r="L23" s="7">
        <f>SUMIFS(ham_data!U:U,ham_data!$J:$J,'DETAY-yaslandırma'!$B23,ham_data!$E:$E,'DETAY-yaslandırma'!$A23)</f>
        <v>0</v>
      </c>
      <c r="M23" s="7">
        <f>SUMIFS(ham_data!V:V,ham_data!$J:$J,'DETAY-yaslandırma'!$B23,ham_data!$E:$E,'DETAY-yaslandırma'!$A23)</f>
        <v>0</v>
      </c>
      <c r="N23" s="7">
        <f>SUMIFS(ham_data!W:W,ham_data!$J:$J,'DETAY-yaslandırma'!$B23,ham_data!$E:$E,'DETAY-yaslandırma'!$A23)</f>
        <v>0</v>
      </c>
      <c r="O23" s="7">
        <f>SUMIFS(ham_data!X:X,ham_data!$J:$J,'DETAY-yaslandırma'!$B23,ham_data!$E:$E,'DETAY-yaslandırma'!$A23)</f>
        <v>0</v>
      </c>
      <c r="P23" s="7">
        <f>SUMIFS(ham_data!Y:Y,ham_data!$J:$J,'DETAY-yaslandırma'!$B23,ham_data!$E:$E,'DETAY-yaslandırma'!$A23)</f>
        <v>0</v>
      </c>
      <c r="Q23" s="7">
        <f>SUMIFS(ham_data!Z:Z,ham_data!$J:$J,'DETAY-yaslandırma'!$B23,ham_data!$E:$E,'DETAY-yaslandırma'!$A23)</f>
        <v>0</v>
      </c>
      <c r="R23" s="7">
        <f>SUMIFS(ham_data!AA:AA,ham_data!$J:$J,'DETAY-yaslandırma'!$B23,ham_data!$E:$E,'DETAY-yaslandırma'!$A23)</f>
        <v>0</v>
      </c>
      <c r="S23" s="3">
        <f>SUMIFS(DETAY!E:E,DETAY!A:A,'DETAY-yaslandırma'!A23,DETAY!B:B,'DETAY-yaslandırma'!B23)</f>
        <v>0</v>
      </c>
      <c r="T23" s="3">
        <f t="shared" si="4"/>
        <v>0</v>
      </c>
      <c r="U23" s="11">
        <f t="shared" si="5"/>
        <v>0</v>
      </c>
    </row>
    <row r="24" spans="1:21" x14ac:dyDescent="0.35">
      <c r="A24" s="10" t="s">
        <v>126</v>
      </c>
      <c r="B24" s="2" t="s">
        <v>11</v>
      </c>
      <c r="C24" s="5">
        <f>SUMIFS(DETAY!C:C,DETAY!A:A,'DETAY-yaslandırma'!A24,DETAY!B:B,'DETAY-yaslandırma'!B24)</f>
        <v>0</v>
      </c>
      <c r="D24" s="5">
        <f>SUMIFS(ham_data!AB:AB,ham_data!$J:$J,'DETAY-yaslandırma'!$B24,ham_data!$E:$E,'DETAY-yaslandırma'!$A24)</f>
        <v>0</v>
      </c>
      <c r="E24" s="5">
        <f>SUMIFS(ham_data!AC:AC,ham_data!$J:$J,'DETAY-yaslandırma'!$B24,ham_data!$E:$E,'DETAY-yaslandırma'!$A24)</f>
        <v>0</v>
      </c>
      <c r="F24" s="5">
        <f>SUMIFS(ham_data!AD:AD,ham_data!$J:$J,'DETAY-yaslandırma'!$B24,ham_data!$E:$E,'DETAY-yaslandırma'!$A24)</f>
        <v>0</v>
      </c>
      <c r="G24" s="5">
        <f>SUMIFS(ham_data!AE:AE,ham_data!$J:$J,'DETAY-yaslandırma'!$B24,ham_data!$E:$E,'DETAY-yaslandırma'!$A24)</f>
        <v>0</v>
      </c>
      <c r="H24" s="5">
        <f>SUMIFS(ham_data!AF:AF,ham_data!$J:$J,'DETAY-yaslandırma'!$B24,ham_data!$E:$E,'DETAY-yaslandırma'!$A24)</f>
        <v>0</v>
      </c>
      <c r="I24" s="5">
        <f>SUMIFS(ham_data!AG:AG,ham_data!$J:$J,'DETAY-yaslandırma'!$B24,ham_data!$E:$E,'DETAY-yaslandırma'!$A24)</f>
        <v>0</v>
      </c>
      <c r="J24" s="5">
        <f>SUMIFS(ham_data!AH:AH,ham_data!$J:$J,'DETAY-yaslandırma'!$B24,ham_data!$E:$E,'DETAY-yaslandırma'!$A24)</f>
        <v>0</v>
      </c>
      <c r="K24" s="7">
        <f>SUMIFS(DETAY!D:D,DETAY!A:A,'DETAY-yaslandırma'!A24,DETAY!B:B,'DETAY-yaslandırma'!B24)</f>
        <v>0</v>
      </c>
      <c r="L24" s="7">
        <f>SUMIFS(ham_data!U:U,ham_data!$J:$J,'DETAY-yaslandırma'!$B24,ham_data!$E:$E,'DETAY-yaslandırma'!$A24)</f>
        <v>0</v>
      </c>
      <c r="M24" s="7">
        <f>SUMIFS(ham_data!V:V,ham_data!$J:$J,'DETAY-yaslandırma'!$B24,ham_data!$E:$E,'DETAY-yaslandırma'!$A24)</f>
        <v>0</v>
      </c>
      <c r="N24" s="7">
        <f>SUMIFS(ham_data!W:W,ham_data!$J:$J,'DETAY-yaslandırma'!$B24,ham_data!$E:$E,'DETAY-yaslandırma'!$A24)</f>
        <v>0</v>
      </c>
      <c r="O24" s="7">
        <f>SUMIFS(ham_data!X:X,ham_data!$J:$J,'DETAY-yaslandırma'!$B24,ham_data!$E:$E,'DETAY-yaslandırma'!$A24)</f>
        <v>0</v>
      </c>
      <c r="P24" s="7">
        <f>SUMIFS(ham_data!Y:Y,ham_data!$J:$J,'DETAY-yaslandırma'!$B24,ham_data!$E:$E,'DETAY-yaslandırma'!$A24)</f>
        <v>0</v>
      </c>
      <c r="Q24" s="7">
        <f>SUMIFS(ham_data!Z:Z,ham_data!$J:$J,'DETAY-yaslandırma'!$B24,ham_data!$E:$E,'DETAY-yaslandırma'!$A24)</f>
        <v>0</v>
      </c>
      <c r="R24" s="7">
        <f>SUMIFS(ham_data!AA:AA,ham_data!$J:$J,'DETAY-yaslandırma'!$B24,ham_data!$E:$E,'DETAY-yaslandırma'!$A24)</f>
        <v>0</v>
      </c>
      <c r="S24" s="3">
        <f>SUMIFS(DETAY!E:E,DETAY!A:A,'DETAY-yaslandırma'!A24,DETAY!B:B,'DETAY-yaslandırma'!B24)</f>
        <v>0</v>
      </c>
      <c r="T24" s="3">
        <f t="shared" si="4"/>
        <v>0</v>
      </c>
      <c r="U24" s="11">
        <f t="shared" si="5"/>
        <v>0</v>
      </c>
    </row>
    <row r="25" spans="1:21" x14ac:dyDescent="0.35">
      <c r="A25" s="10" t="s">
        <v>154</v>
      </c>
      <c r="B25" s="2" t="s">
        <v>11</v>
      </c>
      <c r="C25" s="5">
        <f>SUMIFS(DETAY!C:C,DETAY!A:A,'DETAY-yaslandırma'!A25,DETAY!B:B,'DETAY-yaslandırma'!B25)</f>
        <v>237679.73</v>
      </c>
      <c r="D25" s="5">
        <f>SUMIFS(ham_data!AB:AB,ham_data!$J:$J,'DETAY-yaslandırma'!$B25,ham_data!$E:$E,'DETAY-yaslandırma'!$A25)</f>
        <v>237679.73</v>
      </c>
      <c r="E25" s="5">
        <f>SUMIFS(ham_data!AC:AC,ham_data!$J:$J,'DETAY-yaslandırma'!$B25,ham_data!$E:$E,'DETAY-yaslandırma'!$A25)</f>
        <v>0</v>
      </c>
      <c r="F25" s="5">
        <f>SUMIFS(ham_data!AD:AD,ham_data!$J:$J,'DETAY-yaslandırma'!$B25,ham_data!$E:$E,'DETAY-yaslandırma'!$A25)</f>
        <v>0</v>
      </c>
      <c r="G25" s="5">
        <f>SUMIFS(ham_data!AE:AE,ham_data!$J:$J,'DETAY-yaslandırma'!$B25,ham_data!$E:$E,'DETAY-yaslandırma'!$A25)</f>
        <v>0</v>
      </c>
      <c r="H25" s="5">
        <f>SUMIFS(ham_data!AF:AF,ham_data!$J:$J,'DETAY-yaslandırma'!$B25,ham_data!$E:$E,'DETAY-yaslandırma'!$A25)</f>
        <v>0</v>
      </c>
      <c r="I25" s="5">
        <f>SUMIFS(ham_data!AG:AG,ham_data!$J:$J,'DETAY-yaslandırma'!$B25,ham_data!$E:$E,'DETAY-yaslandırma'!$A25)</f>
        <v>0</v>
      </c>
      <c r="J25" s="5">
        <f>SUMIFS(ham_data!AH:AH,ham_data!$J:$J,'DETAY-yaslandırma'!$B25,ham_data!$E:$E,'DETAY-yaslandırma'!$A25)</f>
        <v>0</v>
      </c>
      <c r="K25" s="7">
        <f>SUMIFS(DETAY!D:D,DETAY!A:A,'DETAY-yaslandırma'!A25,DETAY!B:B,'DETAY-yaslandırma'!B25)</f>
        <v>0</v>
      </c>
      <c r="L25" s="7">
        <f>SUMIFS(ham_data!U:U,ham_data!$J:$J,'DETAY-yaslandırma'!$B25,ham_data!$E:$E,'DETAY-yaslandırma'!$A25)</f>
        <v>0</v>
      </c>
      <c r="M25" s="7">
        <f>SUMIFS(ham_data!V:V,ham_data!$J:$J,'DETAY-yaslandırma'!$B25,ham_data!$E:$E,'DETAY-yaslandırma'!$A25)</f>
        <v>0</v>
      </c>
      <c r="N25" s="7">
        <f>SUMIFS(ham_data!W:W,ham_data!$J:$J,'DETAY-yaslandırma'!$B25,ham_data!$E:$E,'DETAY-yaslandırma'!$A25)</f>
        <v>0</v>
      </c>
      <c r="O25" s="7">
        <f>SUMIFS(ham_data!X:X,ham_data!$J:$J,'DETAY-yaslandırma'!$B25,ham_data!$E:$E,'DETAY-yaslandırma'!$A25)</f>
        <v>0</v>
      </c>
      <c r="P25" s="7">
        <f>SUMIFS(ham_data!Y:Y,ham_data!$J:$J,'DETAY-yaslandırma'!$B25,ham_data!$E:$E,'DETAY-yaslandırma'!$A25)</f>
        <v>0</v>
      </c>
      <c r="Q25" s="7">
        <f>SUMIFS(ham_data!Z:Z,ham_data!$J:$J,'DETAY-yaslandırma'!$B25,ham_data!$E:$E,'DETAY-yaslandırma'!$A25)</f>
        <v>0</v>
      </c>
      <c r="R25" s="7">
        <f>SUMIFS(ham_data!AA:AA,ham_data!$J:$J,'DETAY-yaslandırma'!$B25,ham_data!$E:$E,'DETAY-yaslandırma'!$A25)</f>
        <v>0</v>
      </c>
      <c r="S25" s="3">
        <f>SUMIFS(DETAY!E:E,DETAY!A:A,'DETAY-yaslandırma'!A25,DETAY!B:B,'DETAY-yaslandırma'!B25)</f>
        <v>237679.73</v>
      </c>
      <c r="T25" s="3">
        <f t="shared" si="4"/>
        <v>0</v>
      </c>
      <c r="U25" s="11">
        <f t="shared" si="5"/>
        <v>0</v>
      </c>
    </row>
    <row r="26" spans="1:21" x14ac:dyDescent="0.35">
      <c r="A26" s="10" t="s">
        <v>63</v>
      </c>
      <c r="B26" s="2" t="s">
        <v>11</v>
      </c>
      <c r="C26" s="5">
        <f>SUMIFS(DETAY!C:C,DETAY!A:A,'DETAY-yaslandırma'!A26,DETAY!B:B,'DETAY-yaslandırma'!B26)</f>
        <v>0</v>
      </c>
      <c r="D26" s="5">
        <f>SUMIFS(ham_data!AB:AB,ham_data!$J:$J,'DETAY-yaslandırma'!$B26,ham_data!$E:$E,'DETAY-yaslandırma'!$A26)</f>
        <v>0</v>
      </c>
      <c r="E26" s="5">
        <f>SUMIFS(ham_data!AC:AC,ham_data!$J:$J,'DETAY-yaslandırma'!$B26,ham_data!$E:$E,'DETAY-yaslandırma'!$A26)</f>
        <v>0</v>
      </c>
      <c r="F26" s="5">
        <f>SUMIFS(ham_data!AD:AD,ham_data!$J:$J,'DETAY-yaslandırma'!$B26,ham_data!$E:$E,'DETAY-yaslandırma'!$A26)</f>
        <v>0</v>
      </c>
      <c r="G26" s="5">
        <f>SUMIFS(ham_data!AE:AE,ham_data!$J:$J,'DETAY-yaslandırma'!$B26,ham_data!$E:$E,'DETAY-yaslandırma'!$A26)</f>
        <v>0</v>
      </c>
      <c r="H26" s="5">
        <f>SUMIFS(ham_data!AF:AF,ham_data!$J:$J,'DETAY-yaslandırma'!$B26,ham_data!$E:$E,'DETAY-yaslandırma'!$A26)</f>
        <v>0</v>
      </c>
      <c r="I26" s="5">
        <f>SUMIFS(ham_data!AG:AG,ham_data!$J:$J,'DETAY-yaslandırma'!$B26,ham_data!$E:$E,'DETAY-yaslandırma'!$A26)</f>
        <v>0</v>
      </c>
      <c r="J26" s="5">
        <f>SUMIFS(ham_data!AH:AH,ham_data!$J:$J,'DETAY-yaslandırma'!$B26,ham_data!$E:$E,'DETAY-yaslandırma'!$A26)</f>
        <v>0</v>
      </c>
      <c r="K26" s="7">
        <f>SUMIFS(DETAY!D:D,DETAY!A:A,'DETAY-yaslandırma'!A26,DETAY!B:B,'DETAY-yaslandırma'!B26)</f>
        <v>0</v>
      </c>
      <c r="L26" s="7">
        <f>SUMIFS(ham_data!U:U,ham_data!$J:$J,'DETAY-yaslandırma'!$B26,ham_data!$E:$E,'DETAY-yaslandırma'!$A26)</f>
        <v>0</v>
      </c>
      <c r="M26" s="7">
        <f>SUMIFS(ham_data!V:V,ham_data!$J:$J,'DETAY-yaslandırma'!$B26,ham_data!$E:$E,'DETAY-yaslandırma'!$A26)</f>
        <v>0</v>
      </c>
      <c r="N26" s="7">
        <f>SUMIFS(ham_data!W:W,ham_data!$J:$J,'DETAY-yaslandırma'!$B26,ham_data!$E:$E,'DETAY-yaslandırma'!$A26)</f>
        <v>0</v>
      </c>
      <c r="O26" s="7">
        <f>SUMIFS(ham_data!X:X,ham_data!$J:$J,'DETAY-yaslandırma'!$B26,ham_data!$E:$E,'DETAY-yaslandırma'!$A26)</f>
        <v>0</v>
      </c>
      <c r="P26" s="7">
        <f>SUMIFS(ham_data!Y:Y,ham_data!$J:$J,'DETAY-yaslandırma'!$B26,ham_data!$E:$E,'DETAY-yaslandırma'!$A26)</f>
        <v>0</v>
      </c>
      <c r="Q26" s="7">
        <f>SUMIFS(ham_data!Z:Z,ham_data!$J:$J,'DETAY-yaslandırma'!$B26,ham_data!$E:$E,'DETAY-yaslandırma'!$A26)</f>
        <v>0</v>
      </c>
      <c r="R26" s="7">
        <f>SUMIFS(ham_data!AA:AA,ham_data!$J:$J,'DETAY-yaslandırma'!$B26,ham_data!$E:$E,'DETAY-yaslandırma'!$A26)</f>
        <v>0</v>
      </c>
      <c r="S26" s="3">
        <f>SUMIFS(DETAY!E:E,DETAY!A:A,'DETAY-yaslandırma'!A26,DETAY!B:B,'DETAY-yaslandırma'!B26)</f>
        <v>0</v>
      </c>
      <c r="T26" s="3">
        <f t="shared" si="4"/>
        <v>0</v>
      </c>
      <c r="U26" s="11">
        <f t="shared" si="5"/>
        <v>0</v>
      </c>
    </row>
    <row r="27" spans="1:21" x14ac:dyDescent="0.35">
      <c r="A27" s="10" t="s">
        <v>43</v>
      </c>
      <c r="B27" s="2" t="s">
        <v>11</v>
      </c>
      <c r="C27" s="5">
        <f>SUMIFS(DETAY!C:C,DETAY!A:A,'DETAY-yaslandırma'!A27,DETAY!B:B,'DETAY-yaslandırma'!B27)</f>
        <v>0</v>
      </c>
      <c r="D27" s="5">
        <f>SUMIFS(ham_data!AB:AB,ham_data!$J:$J,'DETAY-yaslandırma'!$B27,ham_data!$E:$E,'DETAY-yaslandırma'!$A27)</f>
        <v>0</v>
      </c>
      <c r="E27" s="5">
        <f>SUMIFS(ham_data!AC:AC,ham_data!$J:$J,'DETAY-yaslandırma'!$B27,ham_data!$E:$E,'DETAY-yaslandırma'!$A27)</f>
        <v>0</v>
      </c>
      <c r="F27" s="5">
        <f>SUMIFS(ham_data!AD:AD,ham_data!$J:$J,'DETAY-yaslandırma'!$B27,ham_data!$E:$E,'DETAY-yaslandırma'!$A27)</f>
        <v>0</v>
      </c>
      <c r="G27" s="5">
        <f>SUMIFS(ham_data!AE:AE,ham_data!$J:$J,'DETAY-yaslandırma'!$B27,ham_data!$E:$E,'DETAY-yaslandırma'!$A27)</f>
        <v>0</v>
      </c>
      <c r="H27" s="5">
        <f>SUMIFS(ham_data!AF:AF,ham_data!$J:$J,'DETAY-yaslandırma'!$B27,ham_data!$E:$E,'DETAY-yaslandırma'!$A27)</f>
        <v>0</v>
      </c>
      <c r="I27" s="5">
        <f>SUMIFS(ham_data!AG:AG,ham_data!$J:$J,'DETAY-yaslandırma'!$B27,ham_data!$E:$E,'DETAY-yaslandırma'!$A27)</f>
        <v>0</v>
      </c>
      <c r="J27" s="5">
        <f>SUMIFS(ham_data!AH:AH,ham_data!$J:$J,'DETAY-yaslandırma'!$B27,ham_data!$E:$E,'DETAY-yaslandırma'!$A27)</f>
        <v>0</v>
      </c>
      <c r="K27" s="7">
        <f>SUMIFS(DETAY!D:D,DETAY!A:A,'DETAY-yaslandırma'!A27,DETAY!B:B,'DETAY-yaslandırma'!B27)</f>
        <v>0</v>
      </c>
      <c r="L27" s="7">
        <f>SUMIFS(ham_data!U:U,ham_data!$J:$J,'DETAY-yaslandırma'!$B27,ham_data!$E:$E,'DETAY-yaslandırma'!$A27)</f>
        <v>0</v>
      </c>
      <c r="M27" s="7">
        <f>SUMIFS(ham_data!V:V,ham_data!$J:$J,'DETAY-yaslandırma'!$B27,ham_data!$E:$E,'DETAY-yaslandırma'!$A27)</f>
        <v>0</v>
      </c>
      <c r="N27" s="7">
        <f>SUMIFS(ham_data!W:W,ham_data!$J:$J,'DETAY-yaslandırma'!$B27,ham_data!$E:$E,'DETAY-yaslandırma'!$A27)</f>
        <v>0</v>
      </c>
      <c r="O27" s="7">
        <f>SUMIFS(ham_data!X:X,ham_data!$J:$J,'DETAY-yaslandırma'!$B27,ham_data!$E:$E,'DETAY-yaslandırma'!$A27)</f>
        <v>0</v>
      </c>
      <c r="P27" s="7">
        <f>SUMIFS(ham_data!Y:Y,ham_data!$J:$J,'DETAY-yaslandırma'!$B27,ham_data!$E:$E,'DETAY-yaslandırma'!$A27)</f>
        <v>0</v>
      </c>
      <c r="Q27" s="7">
        <f>SUMIFS(ham_data!Z:Z,ham_data!$J:$J,'DETAY-yaslandırma'!$B27,ham_data!$E:$E,'DETAY-yaslandırma'!$A27)</f>
        <v>0</v>
      </c>
      <c r="R27" s="7">
        <f>SUMIFS(ham_data!AA:AA,ham_data!$J:$J,'DETAY-yaslandırma'!$B27,ham_data!$E:$E,'DETAY-yaslandırma'!$A27)</f>
        <v>0</v>
      </c>
      <c r="S27" s="3">
        <f>SUMIFS(DETAY!E:E,DETAY!A:A,'DETAY-yaslandırma'!A27,DETAY!B:B,'DETAY-yaslandırma'!B27)</f>
        <v>0</v>
      </c>
      <c r="T27" s="3">
        <f t="shared" si="4"/>
        <v>0</v>
      </c>
      <c r="U27" s="11">
        <f t="shared" si="5"/>
        <v>0</v>
      </c>
    </row>
    <row r="28" spans="1:21" x14ac:dyDescent="0.35">
      <c r="A28" s="10" t="s">
        <v>148</v>
      </c>
      <c r="B28" s="2" t="s">
        <v>11</v>
      </c>
      <c r="C28" s="5">
        <f>SUMIFS(DETAY!C:C,DETAY!A:A,'DETAY-yaslandırma'!A28,DETAY!B:B,'DETAY-yaslandırma'!B28)</f>
        <v>1435720.02</v>
      </c>
      <c r="D28" s="5">
        <f>SUMIFS(ham_data!AB:AB,ham_data!$J:$J,'DETAY-yaslandırma'!$B28,ham_data!$E:$E,'DETAY-yaslandırma'!$A28)</f>
        <v>273736.8</v>
      </c>
      <c r="E28" s="5">
        <f>SUMIFS(ham_data!AC:AC,ham_data!$J:$J,'DETAY-yaslandırma'!$B28,ham_data!$E:$E,'DETAY-yaslandırma'!$A28)</f>
        <v>127788.4</v>
      </c>
      <c r="F28" s="5">
        <f>SUMIFS(ham_data!AD:AD,ham_data!$J:$J,'DETAY-yaslandırma'!$B28,ham_data!$E:$E,'DETAY-yaslandırma'!$A28)</f>
        <v>273736.8</v>
      </c>
      <c r="G28" s="5">
        <f>SUMIFS(ham_data!AE:AE,ham_data!$J:$J,'DETAY-yaslandırma'!$B28,ham_data!$E:$E,'DETAY-yaslandırma'!$A28)</f>
        <v>201862.12</v>
      </c>
      <c r="H28" s="5">
        <f>SUMIFS(ham_data!AF:AF,ham_data!$J:$J,'DETAY-yaslandırma'!$B28,ham_data!$E:$E,'DETAY-yaslandırma'!$A28)</f>
        <v>201862.12</v>
      </c>
      <c r="I28" s="5">
        <f>SUMIFS(ham_data!AG:AG,ham_data!$J:$J,'DETAY-yaslandırma'!$B28,ham_data!$E:$E,'DETAY-yaslandırma'!$A28)</f>
        <v>356733.78</v>
      </c>
      <c r="J28" s="5">
        <f>SUMIFS(ham_data!AH:AH,ham_data!$J:$J,'DETAY-yaslandırma'!$B28,ham_data!$E:$E,'DETAY-yaslandırma'!$A28)</f>
        <v>0</v>
      </c>
      <c r="K28" s="7">
        <f>SUMIFS(DETAY!D:D,DETAY!A:A,'DETAY-yaslandırma'!A28,DETAY!B:B,'DETAY-yaslandırma'!B28)</f>
        <v>0</v>
      </c>
      <c r="L28" s="7">
        <f>SUMIFS(ham_data!U:U,ham_data!$J:$J,'DETAY-yaslandırma'!$B28,ham_data!$E:$E,'DETAY-yaslandırma'!$A28)</f>
        <v>0</v>
      </c>
      <c r="M28" s="7">
        <f>SUMIFS(ham_data!V:V,ham_data!$J:$J,'DETAY-yaslandırma'!$B28,ham_data!$E:$E,'DETAY-yaslandırma'!$A28)</f>
        <v>0</v>
      </c>
      <c r="N28" s="7">
        <f>SUMIFS(ham_data!W:W,ham_data!$J:$J,'DETAY-yaslandırma'!$B28,ham_data!$E:$E,'DETAY-yaslandırma'!$A28)</f>
        <v>0</v>
      </c>
      <c r="O28" s="7">
        <f>SUMIFS(ham_data!X:X,ham_data!$J:$J,'DETAY-yaslandırma'!$B28,ham_data!$E:$E,'DETAY-yaslandırma'!$A28)</f>
        <v>0</v>
      </c>
      <c r="P28" s="7">
        <f>SUMIFS(ham_data!Y:Y,ham_data!$J:$J,'DETAY-yaslandırma'!$B28,ham_data!$E:$E,'DETAY-yaslandırma'!$A28)</f>
        <v>0</v>
      </c>
      <c r="Q28" s="7">
        <f>SUMIFS(ham_data!Z:Z,ham_data!$J:$J,'DETAY-yaslandırma'!$B28,ham_data!$E:$E,'DETAY-yaslandırma'!$A28)</f>
        <v>0</v>
      </c>
      <c r="R28" s="7">
        <f>SUMIFS(ham_data!AA:AA,ham_data!$J:$J,'DETAY-yaslandırma'!$B28,ham_data!$E:$E,'DETAY-yaslandırma'!$A28)</f>
        <v>0</v>
      </c>
      <c r="S28" s="3">
        <f>SUMIFS(DETAY!E:E,DETAY!A:A,'DETAY-yaslandırma'!A28,DETAY!B:B,'DETAY-yaslandırma'!B28)</f>
        <v>1435720.02</v>
      </c>
      <c r="T28" s="3">
        <f t="shared" si="4"/>
        <v>0</v>
      </c>
      <c r="U28" s="11">
        <f t="shared" si="5"/>
        <v>0</v>
      </c>
    </row>
    <row r="29" spans="1:21" x14ac:dyDescent="0.35">
      <c r="A29" s="10" t="s">
        <v>130</v>
      </c>
      <c r="B29" s="2" t="s">
        <v>11</v>
      </c>
      <c r="C29" s="5">
        <f>SUMIFS(DETAY!C:C,DETAY!A:A,'DETAY-yaslandırma'!A29,DETAY!B:B,'DETAY-yaslandırma'!B29)</f>
        <v>0</v>
      </c>
      <c r="D29" s="5">
        <f>SUMIFS(ham_data!AB:AB,ham_data!$J:$J,'DETAY-yaslandırma'!$B29,ham_data!$E:$E,'DETAY-yaslandırma'!$A29)</f>
        <v>0</v>
      </c>
      <c r="E29" s="5">
        <f>SUMIFS(ham_data!AC:AC,ham_data!$J:$J,'DETAY-yaslandırma'!$B29,ham_data!$E:$E,'DETAY-yaslandırma'!$A29)</f>
        <v>0</v>
      </c>
      <c r="F29" s="5">
        <f>SUMIFS(ham_data!AD:AD,ham_data!$J:$J,'DETAY-yaslandırma'!$B29,ham_data!$E:$E,'DETAY-yaslandırma'!$A29)</f>
        <v>0</v>
      </c>
      <c r="G29" s="5">
        <f>SUMIFS(ham_data!AE:AE,ham_data!$J:$J,'DETAY-yaslandırma'!$B29,ham_data!$E:$E,'DETAY-yaslandırma'!$A29)</f>
        <v>0</v>
      </c>
      <c r="H29" s="5">
        <f>SUMIFS(ham_data!AF:AF,ham_data!$J:$J,'DETAY-yaslandırma'!$B29,ham_data!$E:$E,'DETAY-yaslandırma'!$A29)</f>
        <v>0</v>
      </c>
      <c r="I29" s="5">
        <f>SUMIFS(ham_data!AG:AG,ham_data!$J:$J,'DETAY-yaslandırma'!$B29,ham_data!$E:$E,'DETAY-yaslandırma'!$A29)</f>
        <v>0</v>
      </c>
      <c r="J29" s="5">
        <f>SUMIFS(ham_data!AH:AH,ham_data!$J:$J,'DETAY-yaslandırma'!$B29,ham_data!$E:$E,'DETAY-yaslandırma'!$A29)</f>
        <v>0</v>
      </c>
      <c r="K29" s="7">
        <f>SUMIFS(DETAY!D:D,DETAY!A:A,'DETAY-yaslandırma'!A29,DETAY!B:B,'DETAY-yaslandırma'!B29)</f>
        <v>0</v>
      </c>
      <c r="L29" s="7">
        <f>SUMIFS(ham_data!U:U,ham_data!$J:$J,'DETAY-yaslandırma'!$B29,ham_data!$E:$E,'DETAY-yaslandırma'!$A29)</f>
        <v>0</v>
      </c>
      <c r="M29" s="7">
        <f>SUMIFS(ham_data!V:V,ham_data!$J:$J,'DETAY-yaslandırma'!$B29,ham_data!$E:$E,'DETAY-yaslandırma'!$A29)</f>
        <v>0</v>
      </c>
      <c r="N29" s="7">
        <f>SUMIFS(ham_data!W:W,ham_data!$J:$J,'DETAY-yaslandırma'!$B29,ham_data!$E:$E,'DETAY-yaslandırma'!$A29)</f>
        <v>0</v>
      </c>
      <c r="O29" s="7">
        <f>SUMIFS(ham_data!X:X,ham_data!$J:$J,'DETAY-yaslandırma'!$B29,ham_data!$E:$E,'DETAY-yaslandırma'!$A29)</f>
        <v>0</v>
      </c>
      <c r="P29" s="7">
        <f>SUMIFS(ham_data!Y:Y,ham_data!$J:$J,'DETAY-yaslandırma'!$B29,ham_data!$E:$E,'DETAY-yaslandırma'!$A29)</f>
        <v>0</v>
      </c>
      <c r="Q29" s="7">
        <f>SUMIFS(ham_data!Z:Z,ham_data!$J:$J,'DETAY-yaslandırma'!$B29,ham_data!$E:$E,'DETAY-yaslandırma'!$A29)</f>
        <v>0</v>
      </c>
      <c r="R29" s="7">
        <f>SUMIFS(ham_data!AA:AA,ham_data!$J:$J,'DETAY-yaslandırma'!$B29,ham_data!$E:$E,'DETAY-yaslandırma'!$A29)</f>
        <v>0</v>
      </c>
      <c r="S29" s="3">
        <f>SUMIFS(DETAY!E:E,DETAY!A:A,'DETAY-yaslandırma'!A29,DETAY!B:B,'DETAY-yaslandırma'!B29)</f>
        <v>0</v>
      </c>
      <c r="T29" s="3">
        <f t="shared" si="4"/>
        <v>0</v>
      </c>
      <c r="U29" s="11">
        <f t="shared" si="5"/>
        <v>0</v>
      </c>
    </row>
    <row r="30" spans="1:21" x14ac:dyDescent="0.35">
      <c r="A30" s="10" t="s">
        <v>218</v>
      </c>
      <c r="B30" s="2" t="s">
        <v>11</v>
      </c>
      <c r="C30" s="5">
        <f>SUMIFS(DETAY!C:C,DETAY!A:A,'DETAY-yaslandırma'!A30,DETAY!B:B,'DETAY-yaslandırma'!B30)</f>
        <v>0</v>
      </c>
      <c r="D30" s="5">
        <f>SUMIFS(ham_data!AB:AB,ham_data!$J:$J,'DETAY-yaslandırma'!$B30,ham_data!$E:$E,'DETAY-yaslandırma'!$A30)</f>
        <v>0</v>
      </c>
      <c r="E30" s="5">
        <f>SUMIFS(ham_data!AC:AC,ham_data!$J:$J,'DETAY-yaslandırma'!$B30,ham_data!$E:$E,'DETAY-yaslandırma'!$A30)</f>
        <v>0</v>
      </c>
      <c r="F30" s="5">
        <f>SUMIFS(ham_data!AD:AD,ham_data!$J:$J,'DETAY-yaslandırma'!$B30,ham_data!$E:$E,'DETAY-yaslandırma'!$A30)</f>
        <v>0</v>
      </c>
      <c r="G30" s="5">
        <f>SUMIFS(ham_data!AE:AE,ham_data!$J:$J,'DETAY-yaslandırma'!$B30,ham_data!$E:$E,'DETAY-yaslandırma'!$A30)</f>
        <v>0</v>
      </c>
      <c r="H30" s="5">
        <f>SUMIFS(ham_data!AF:AF,ham_data!$J:$J,'DETAY-yaslandırma'!$B30,ham_data!$E:$E,'DETAY-yaslandırma'!$A30)</f>
        <v>0</v>
      </c>
      <c r="I30" s="5">
        <f>SUMIFS(ham_data!AG:AG,ham_data!$J:$J,'DETAY-yaslandırma'!$B30,ham_data!$E:$E,'DETAY-yaslandırma'!$A30)</f>
        <v>0</v>
      </c>
      <c r="J30" s="5">
        <f>SUMIFS(ham_data!AH:AH,ham_data!$J:$J,'DETAY-yaslandırma'!$B30,ham_data!$E:$E,'DETAY-yaslandırma'!$A30)</f>
        <v>0</v>
      </c>
      <c r="K30" s="7">
        <f>SUMIFS(DETAY!D:D,DETAY!A:A,'DETAY-yaslandırma'!A30,DETAY!B:B,'DETAY-yaslandırma'!B30)</f>
        <v>15924549.210000001</v>
      </c>
      <c r="L30" s="7">
        <f>SUMIFS(ham_data!U:U,ham_data!$J:$J,'DETAY-yaslandırma'!$B30,ham_data!$E:$E,'DETAY-yaslandırma'!$A30)</f>
        <v>15924549.210000001</v>
      </c>
      <c r="M30" s="7">
        <f>SUMIFS(ham_data!V:V,ham_data!$J:$J,'DETAY-yaslandırma'!$B30,ham_data!$E:$E,'DETAY-yaslandırma'!$A30)</f>
        <v>0</v>
      </c>
      <c r="N30" s="7">
        <f>SUMIFS(ham_data!W:W,ham_data!$J:$J,'DETAY-yaslandırma'!$B30,ham_data!$E:$E,'DETAY-yaslandırma'!$A30)</f>
        <v>0</v>
      </c>
      <c r="O30" s="7">
        <f>SUMIFS(ham_data!X:X,ham_data!$J:$J,'DETAY-yaslandırma'!$B30,ham_data!$E:$E,'DETAY-yaslandırma'!$A30)</f>
        <v>0</v>
      </c>
      <c r="P30" s="7">
        <f>SUMIFS(ham_data!Y:Y,ham_data!$J:$J,'DETAY-yaslandırma'!$B30,ham_data!$E:$E,'DETAY-yaslandırma'!$A30)</f>
        <v>0</v>
      </c>
      <c r="Q30" s="7">
        <f>SUMIFS(ham_data!Z:Z,ham_data!$J:$J,'DETAY-yaslandırma'!$B30,ham_data!$E:$E,'DETAY-yaslandırma'!$A30)</f>
        <v>0</v>
      </c>
      <c r="R30" s="7">
        <f>SUMIFS(ham_data!AA:AA,ham_data!$J:$J,'DETAY-yaslandırma'!$B30,ham_data!$E:$E,'DETAY-yaslandırma'!$A30)</f>
        <v>0</v>
      </c>
      <c r="S30" s="3">
        <f>SUMIFS(DETAY!E:E,DETAY!A:A,'DETAY-yaslandırma'!A30,DETAY!B:B,'DETAY-yaslandırma'!B30)</f>
        <v>15924549.210000001</v>
      </c>
      <c r="T30" s="3">
        <f t="shared" si="4"/>
        <v>0</v>
      </c>
      <c r="U30" s="11">
        <f t="shared" si="5"/>
        <v>0</v>
      </c>
    </row>
    <row r="31" spans="1:21" x14ac:dyDescent="0.35">
      <c r="A31" s="10" t="s">
        <v>114</v>
      </c>
      <c r="B31" s="2" t="s">
        <v>11</v>
      </c>
      <c r="C31" s="5">
        <f>SUMIFS(DETAY!C:C,DETAY!A:A,'DETAY-yaslandırma'!A31,DETAY!B:B,'DETAY-yaslandırma'!B31)</f>
        <v>300000</v>
      </c>
      <c r="D31" s="5">
        <f>SUMIFS(ham_data!AB:AB,ham_data!$J:$J,'DETAY-yaslandırma'!$B31,ham_data!$E:$E,'DETAY-yaslandırma'!$A31)</f>
        <v>0</v>
      </c>
      <c r="E31" s="5">
        <f>SUMIFS(ham_data!AC:AC,ham_data!$J:$J,'DETAY-yaslandırma'!$B31,ham_data!$E:$E,'DETAY-yaslandırma'!$A31)</f>
        <v>0</v>
      </c>
      <c r="F31" s="5">
        <f>SUMIFS(ham_data!AD:AD,ham_data!$J:$J,'DETAY-yaslandırma'!$B31,ham_data!$E:$E,'DETAY-yaslandırma'!$A31)</f>
        <v>300000</v>
      </c>
      <c r="G31" s="5">
        <f>SUMIFS(ham_data!AE:AE,ham_data!$J:$J,'DETAY-yaslandırma'!$B31,ham_data!$E:$E,'DETAY-yaslandırma'!$A31)</f>
        <v>0</v>
      </c>
      <c r="H31" s="5">
        <f>SUMIFS(ham_data!AF:AF,ham_data!$J:$J,'DETAY-yaslandırma'!$B31,ham_data!$E:$E,'DETAY-yaslandırma'!$A31)</f>
        <v>0</v>
      </c>
      <c r="I31" s="5">
        <f>SUMIFS(ham_data!AG:AG,ham_data!$J:$J,'DETAY-yaslandırma'!$B31,ham_data!$E:$E,'DETAY-yaslandırma'!$A31)</f>
        <v>0</v>
      </c>
      <c r="J31" s="5">
        <f>SUMIFS(ham_data!AH:AH,ham_data!$J:$J,'DETAY-yaslandırma'!$B31,ham_data!$E:$E,'DETAY-yaslandırma'!$A31)</f>
        <v>0</v>
      </c>
      <c r="K31" s="7">
        <f>SUMIFS(DETAY!D:D,DETAY!A:A,'DETAY-yaslandırma'!A31,DETAY!B:B,'DETAY-yaslandırma'!B31)</f>
        <v>735538.18</v>
      </c>
      <c r="L31" s="7">
        <f>SUMIFS(ham_data!U:U,ham_data!$J:$J,'DETAY-yaslandırma'!$B31,ham_data!$E:$E,'DETAY-yaslandırma'!$A31)</f>
        <v>735538.18</v>
      </c>
      <c r="M31" s="7">
        <f>SUMIFS(ham_data!V:V,ham_data!$J:$J,'DETAY-yaslandırma'!$B31,ham_data!$E:$E,'DETAY-yaslandırma'!$A31)</f>
        <v>0</v>
      </c>
      <c r="N31" s="7">
        <f>SUMIFS(ham_data!W:W,ham_data!$J:$J,'DETAY-yaslandırma'!$B31,ham_data!$E:$E,'DETAY-yaslandırma'!$A31)</f>
        <v>0</v>
      </c>
      <c r="O31" s="7">
        <f>SUMIFS(ham_data!X:X,ham_data!$J:$J,'DETAY-yaslandırma'!$B31,ham_data!$E:$E,'DETAY-yaslandırma'!$A31)</f>
        <v>0</v>
      </c>
      <c r="P31" s="7">
        <f>SUMIFS(ham_data!Y:Y,ham_data!$J:$J,'DETAY-yaslandırma'!$B31,ham_data!$E:$E,'DETAY-yaslandırma'!$A31)</f>
        <v>0</v>
      </c>
      <c r="Q31" s="7">
        <f>SUMIFS(ham_data!Z:Z,ham_data!$J:$J,'DETAY-yaslandırma'!$B31,ham_data!$E:$E,'DETAY-yaslandırma'!$A31)</f>
        <v>0</v>
      </c>
      <c r="R31" s="7">
        <f>SUMIFS(ham_data!AA:AA,ham_data!$J:$J,'DETAY-yaslandırma'!$B31,ham_data!$E:$E,'DETAY-yaslandırma'!$A31)</f>
        <v>0</v>
      </c>
      <c r="S31" s="3">
        <f>SUMIFS(DETAY!E:E,DETAY!A:A,'DETAY-yaslandırma'!A31,DETAY!B:B,'DETAY-yaslandırma'!B31)</f>
        <v>1035538.18</v>
      </c>
      <c r="T31" s="3">
        <f t="shared" si="4"/>
        <v>0</v>
      </c>
      <c r="U31" s="11">
        <f t="shared" si="5"/>
        <v>0</v>
      </c>
    </row>
    <row r="32" spans="1:21" x14ac:dyDescent="0.35">
      <c r="A32" s="10" t="s">
        <v>83</v>
      </c>
      <c r="B32" s="2" t="s">
        <v>11</v>
      </c>
      <c r="C32" s="5">
        <f>SUMIFS(DETAY!C:C,DETAY!A:A,'DETAY-yaslandırma'!A32,DETAY!B:B,'DETAY-yaslandırma'!B32)</f>
        <v>304267.5</v>
      </c>
      <c r="D32" s="5">
        <f>SUMIFS(ham_data!AB:AB,ham_data!$J:$J,'DETAY-yaslandırma'!$B32,ham_data!$E:$E,'DETAY-yaslandırma'!$A32)</f>
        <v>0</v>
      </c>
      <c r="E32" s="5">
        <f>SUMIFS(ham_data!AC:AC,ham_data!$J:$J,'DETAY-yaslandırma'!$B32,ham_data!$E:$E,'DETAY-yaslandırma'!$A32)</f>
        <v>304267.5</v>
      </c>
      <c r="F32" s="5">
        <f>SUMIFS(ham_data!AD:AD,ham_data!$J:$J,'DETAY-yaslandırma'!$B32,ham_data!$E:$E,'DETAY-yaslandırma'!$A32)</f>
        <v>0</v>
      </c>
      <c r="G32" s="5">
        <f>SUMIFS(ham_data!AE:AE,ham_data!$J:$J,'DETAY-yaslandırma'!$B32,ham_data!$E:$E,'DETAY-yaslandırma'!$A32)</f>
        <v>0</v>
      </c>
      <c r="H32" s="5">
        <f>SUMIFS(ham_data!AF:AF,ham_data!$J:$J,'DETAY-yaslandırma'!$B32,ham_data!$E:$E,'DETAY-yaslandırma'!$A32)</f>
        <v>0</v>
      </c>
      <c r="I32" s="5">
        <f>SUMIFS(ham_data!AG:AG,ham_data!$J:$J,'DETAY-yaslandırma'!$B32,ham_data!$E:$E,'DETAY-yaslandırma'!$A32)</f>
        <v>0</v>
      </c>
      <c r="J32" s="5">
        <f>SUMIFS(ham_data!AH:AH,ham_data!$J:$J,'DETAY-yaslandırma'!$B32,ham_data!$E:$E,'DETAY-yaslandırma'!$A32)</f>
        <v>0</v>
      </c>
      <c r="K32" s="7">
        <f>SUMIFS(DETAY!D:D,DETAY!A:A,'DETAY-yaslandırma'!A32,DETAY!B:B,'DETAY-yaslandırma'!B32)</f>
        <v>304267.5</v>
      </c>
      <c r="L32" s="7">
        <f>SUMIFS(ham_data!U:U,ham_data!$J:$J,'DETAY-yaslandırma'!$B32,ham_data!$E:$E,'DETAY-yaslandırma'!$A32)</f>
        <v>304267.5</v>
      </c>
      <c r="M32" s="7">
        <f>SUMIFS(ham_data!V:V,ham_data!$J:$J,'DETAY-yaslandırma'!$B32,ham_data!$E:$E,'DETAY-yaslandırma'!$A32)</f>
        <v>0</v>
      </c>
      <c r="N32" s="7">
        <f>SUMIFS(ham_data!W:W,ham_data!$J:$J,'DETAY-yaslandırma'!$B32,ham_data!$E:$E,'DETAY-yaslandırma'!$A32)</f>
        <v>0</v>
      </c>
      <c r="O32" s="7">
        <f>SUMIFS(ham_data!X:X,ham_data!$J:$J,'DETAY-yaslandırma'!$B32,ham_data!$E:$E,'DETAY-yaslandırma'!$A32)</f>
        <v>0</v>
      </c>
      <c r="P32" s="7">
        <f>SUMIFS(ham_data!Y:Y,ham_data!$J:$J,'DETAY-yaslandırma'!$B32,ham_data!$E:$E,'DETAY-yaslandırma'!$A32)</f>
        <v>0</v>
      </c>
      <c r="Q32" s="7">
        <f>SUMIFS(ham_data!Z:Z,ham_data!$J:$J,'DETAY-yaslandırma'!$B32,ham_data!$E:$E,'DETAY-yaslandırma'!$A32)</f>
        <v>0</v>
      </c>
      <c r="R32" s="7">
        <f>SUMIFS(ham_data!AA:AA,ham_data!$J:$J,'DETAY-yaslandırma'!$B32,ham_data!$E:$E,'DETAY-yaslandırma'!$A32)</f>
        <v>0</v>
      </c>
      <c r="S32" s="3">
        <f>SUMIFS(DETAY!E:E,DETAY!A:A,'DETAY-yaslandırma'!A32,DETAY!B:B,'DETAY-yaslandırma'!B32)</f>
        <v>608535</v>
      </c>
      <c r="T32" s="3">
        <f t="shared" si="4"/>
        <v>0</v>
      </c>
      <c r="U32" s="11">
        <f t="shared" si="5"/>
        <v>0</v>
      </c>
    </row>
    <row r="33" spans="1:21" x14ac:dyDescent="0.35">
      <c r="A33" s="10" t="s">
        <v>51</v>
      </c>
      <c r="B33" s="2" t="s">
        <v>11</v>
      </c>
      <c r="C33" s="5">
        <f>SUMIFS(DETAY!C:C,DETAY!A:A,'DETAY-yaslandırma'!A33,DETAY!B:B,'DETAY-yaslandırma'!B33)</f>
        <v>0</v>
      </c>
      <c r="D33" s="5">
        <f>SUMIFS(ham_data!AB:AB,ham_data!$J:$J,'DETAY-yaslandırma'!$B33,ham_data!$E:$E,'DETAY-yaslandırma'!$A33)</f>
        <v>0</v>
      </c>
      <c r="E33" s="5">
        <f>SUMIFS(ham_data!AC:AC,ham_data!$J:$J,'DETAY-yaslandırma'!$B33,ham_data!$E:$E,'DETAY-yaslandırma'!$A33)</f>
        <v>0</v>
      </c>
      <c r="F33" s="5">
        <f>SUMIFS(ham_data!AD:AD,ham_data!$J:$J,'DETAY-yaslandırma'!$B33,ham_data!$E:$E,'DETAY-yaslandırma'!$A33)</f>
        <v>0</v>
      </c>
      <c r="G33" s="5">
        <f>SUMIFS(ham_data!AE:AE,ham_data!$J:$J,'DETAY-yaslandırma'!$B33,ham_data!$E:$E,'DETAY-yaslandırma'!$A33)</f>
        <v>0</v>
      </c>
      <c r="H33" s="5">
        <f>SUMIFS(ham_data!AF:AF,ham_data!$J:$J,'DETAY-yaslandırma'!$B33,ham_data!$E:$E,'DETAY-yaslandırma'!$A33)</f>
        <v>0</v>
      </c>
      <c r="I33" s="5">
        <f>SUMIFS(ham_data!AG:AG,ham_data!$J:$J,'DETAY-yaslandırma'!$B33,ham_data!$E:$E,'DETAY-yaslandırma'!$A33)</f>
        <v>0</v>
      </c>
      <c r="J33" s="5">
        <f>SUMIFS(ham_data!AH:AH,ham_data!$J:$J,'DETAY-yaslandırma'!$B33,ham_data!$E:$E,'DETAY-yaslandırma'!$A33)</f>
        <v>0</v>
      </c>
      <c r="K33" s="7">
        <f>SUMIFS(DETAY!D:D,DETAY!A:A,'DETAY-yaslandırma'!A33,DETAY!B:B,'DETAY-yaslandırma'!B33)</f>
        <v>193344.6</v>
      </c>
      <c r="L33" s="7">
        <f>SUMIFS(ham_data!U:U,ham_data!$J:$J,'DETAY-yaslandırma'!$B33,ham_data!$E:$E,'DETAY-yaslandırma'!$A33)</f>
        <v>96532.05</v>
      </c>
      <c r="M33" s="7">
        <f>SUMIFS(ham_data!V:V,ham_data!$J:$J,'DETAY-yaslandırma'!$B33,ham_data!$E:$E,'DETAY-yaslandırma'!$A33)</f>
        <v>0</v>
      </c>
      <c r="N33" s="7">
        <f>SUMIFS(ham_data!W:W,ham_data!$J:$J,'DETAY-yaslandırma'!$B33,ham_data!$E:$E,'DETAY-yaslandırma'!$A33)</f>
        <v>96812.55</v>
      </c>
      <c r="O33" s="7">
        <f>SUMIFS(ham_data!X:X,ham_data!$J:$J,'DETAY-yaslandırma'!$B33,ham_data!$E:$E,'DETAY-yaslandırma'!$A33)</f>
        <v>0</v>
      </c>
      <c r="P33" s="7">
        <f>SUMIFS(ham_data!Y:Y,ham_data!$J:$J,'DETAY-yaslandırma'!$B33,ham_data!$E:$E,'DETAY-yaslandırma'!$A33)</f>
        <v>0</v>
      </c>
      <c r="Q33" s="7">
        <f>SUMIFS(ham_data!Z:Z,ham_data!$J:$J,'DETAY-yaslandırma'!$B33,ham_data!$E:$E,'DETAY-yaslandırma'!$A33)</f>
        <v>0</v>
      </c>
      <c r="R33" s="7">
        <f>SUMIFS(ham_data!AA:AA,ham_data!$J:$J,'DETAY-yaslandırma'!$B33,ham_data!$E:$E,'DETAY-yaslandırma'!$A33)</f>
        <v>0</v>
      </c>
      <c r="S33" s="3">
        <f>SUMIFS(DETAY!E:E,DETAY!A:A,'DETAY-yaslandırma'!A33,DETAY!B:B,'DETAY-yaslandırma'!B33)</f>
        <v>193344.6</v>
      </c>
      <c r="T33" s="3">
        <f t="shared" si="4"/>
        <v>0</v>
      </c>
      <c r="U33" s="11">
        <f t="shared" si="5"/>
        <v>0</v>
      </c>
    </row>
    <row r="34" spans="1:21" x14ac:dyDescent="0.35">
      <c r="A34" s="10" t="s">
        <v>56</v>
      </c>
      <c r="B34" s="2" t="s">
        <v>37</v>
      </c>
      <c r="C34" s="5">
        <f>SUMIFS(DETAY!C:C,DETAY!A:A,'DETAY-yaslandırma'!A34,DETAY!B:B,'DETAY-yaslandırma'!B34)</f>
        <v>0</v>
      </c>
      <c r="D34" s="5">
        <f>SUMIFS(ham_data!AB:AB,ham_data!$J:$J,'DETAY-yaslandırma'!$B34,ham_data!$E:$E,'DETAY-yaslandırma'!$A34)</f>
        <v>0</v>
      </c>
      <c r="E34" s="5">
        <f>SUMIFS(ham_data!AC:AC,ham_data!$J:$J,'DETAY-yaslandırma'!$B34,ham_data!$E:$E,'DETAY-yaslandırma'!$A34)</f>
        <v>0</v>
      </c>
      <c r="F34" s="5">
        <f>SUMIFS(ham_data!AD:AD,ham_data!$J:$J,'DETAY-yaslandırma'!$B34,ham_data!$E:$E,'DETAY-yaslandırma'!$A34)</f>
        <v>0</v>
      </c>
      <c r="G34" s="5">
        <f>SUMIFS(ham_data!AE:AE,ham_data!$J:$J,'DETAY-yaslandırma'!$B34,ham_data!$E:$E,'DETAY-yaslandırma'!$A34)</f>
        <v>0</v>
      </c>
      <c r="H34" s="5">
        <f>SUMIFS(ham_data!AF:AF,ham_data!$J:$J,'DETAY-yaslandırma'!$B34,ham_data!$E:$E,'DETAY-yaslandırma'!$A34)</f>
        <v>0</v>
      </c>
      <c r="I34" s="5">
        <f>SUMIFS(ham_data!AG:AG,ham_data!$J:$J,'DETAY-yaslandırma'!$B34,ham_data!$E:$E,'DETAY-yaslandırma'!$A34)</f>
        <v>0</v>
      </c>
      <c r="J34" s="5">
        <f>SUMIFS(ham_data!AH:AH,ham_data!$J:$J,'DETAY-yaslandırma'!$B34,ham_data!$E:$E,'DETAY-yaslandırma'!$A34)</f>
        <v>0</v>
      </c>
      <c r="K34" s="7">
        <f>SUMIFS(DETAY!D:D,DETAY!A:A,'DETAY-yaslandırma'!A34,DETAY!B:B,'DETAY-yaslandırma'!B34)</f>
        <v>0</v>
      </c>
      <c r="L34" s="7">
        <f>SUMIFS(ham_data!U:U,ham_data!$J:$J,'DETAY-yaslandırma'!$B34,ham_data!$E:$E,'DETAY-yaslandırma'!$A34)</f>
        <v>0</v>
      </c>
      <c r="M34" s="7">
        <f>SUMIFS(ham_data!V:V,ham_data!$J:$J,'DETAY-yaslandırma'!$B34,ham_data!$E:$E,'DETAY-yaslandırma'!$A34)</f>
        <v>0</v>
      </c>
      <c r="N34" s="7">
        <f>SUMIFS(ham_data!W:W,ham_data!$J:$J,'DETAY-yaslandırma'!$B34,ham_data!$E:$E,'DETAY-yaslandırma'!$A34)</f>
        <v>0</v>
      </c>
      <c r="O34" s="7">
        <f>SUMIFS(ham_data!X:X,ham_data!$J:$J,'DETAY-yaslandırma'!$B34,ham_data!$E:$E,'DETAY-yaslandırma'!$A34)</f>
        <v>0</v>
      </c>
      <c r="P34" s="7">
        <f>SUMIFS(ham_data!Y:Y,ham_data!$J:$J,'DETAY-yaslandırma'!$B34,ham_data!$E:$E,'DETAY-yaslandırma'!$A34)</f>
        <v>0</v>
      </c>
      <c r="Q34" s="7">
        <f>SUMIFS(ham_data!Z:Z,ham_data!$J:$J,'DETAY-yaslandırma'!$B34,ham_data!$E:$E,'DETAY-yaslandırma'!$A34)</f>
        <v>0</v>
      </c>
      <c r="R34" s="7">
        <f>SUMIFS(ham_data!AA:AA,ham_data!$J:$J,'DETAY-yaslandırma'!$B34,ham_data!$E:$E,'DETAY-yaslandırma'!$A34)</f>
        <v>0</v>
      </c>
      <c r="S34" s="3">
        <f>SUMIFS(DETAY!E:E,DETAY!A:A,'DETAY-yaslandırma'!A34,DETAY!B:B,'DETAY-yaslandırma'!B34)</f>
        <v>0</v>
      </c>
      <c r="T34" s="3">
        <f t="shared" si="4"/>
        <v>0</v>
      </c>
      <c r="U34" s="11">
        <f t="shared" si="5"/>
        <v>0</v>
      </c>
    </row>
    <row r="35" spans="1:21" x14ac:dyDescent="0.35">
      <c r="A35" s="10" t="s">
        <v>113</v>
      </c>
      <c r="B35" s="2" t="s">
        <v>11</v>
      </c>
      <c r="C35" s="5">
        <f>SUMIFS(DETAY!C:C,DETAY!A:A,'DETAY-yaslandırma'!A35,DETAY!B:B,'DETAY-yaslandırma'!B35)</f>
        <v>77021.83</v>
      </c>
      <c r="D35" s="5">
        <f>SUMIFS(ham_data!AB:AB,ham_data!$J:$J,'DETAY-yaslandırma'!$B35,ham_data!$E:$E,'DETAY-yaslandırma'!$A35)</f>
        <v>0</v>
      </c>
      <c r="E35" s="5">
        <f>SUMIFS(ham_data!AC:AC,ham_data!$J:$J,'DETAY-yaslandırma'!$B35,ham_data!$E:$E,'DETAY-yaslandırma'!$A35)</f>
        <v>77021.83</v>
      </c>
      <c r="F35" s="5">
        <f>SUMIFS(ham_data!AD:AD,ham_data!$J:$J,'DETAY-yaslandırma'!$B35,ham_data!$E:$E,'DETAY-yaslandırma'!$A35)</f>
        <v>0</v>
      </c>
      <c r="G35" s="5">
        <f>SUMIFS(ham_data!AE:AE,ham_data!$J:$J,'DETAY-yaslandırma'!$B35,ham_data!$E:$E,'DETAY-yaslandırma'!$A35)</f>
        <v>0</v>
      </c>
      <c r="H35" s="5">
        <f>SUMIFS(ham_data!AF:AF,ham_data!$J:$J,'DETAY-yaslandırma'!$B35,ham_data!$E:$E,'DETAY-yaslandırma'!$A35)</f>
        <v>0</v>
      </c>
      <c r="I35" s="5">
        <f>SUMIFS(ham_data!AG:AG,ham_data!$J:$J,'DETAY-yaslandırma'!$B35,ham_data!$E:$E,'DETAY-yaslandırma'!$A35)</f>
        <v>0</v>
      </c>
      <c r="J35" s="5">
        <f>SUMIFS(ham_data!AH:AH,ham_data!$J:$J,'DETAY-yaslandırma'!$B35,ham_data!$E:$E,'DETAY-yaslandırma'!$A35)</f>
        <v>0</v>
      </c>
      <c r="K35" s="7">
        <f>SUMIFS(DETAY!D:D,DETAY!A:A,'DETAY-yaslandırma'!A35,DETAY!B:B,'DETAY-yaslandırma'!B35)</f>
        <v>75366.06</v>
      </c>
      <c r="L35" s="7">
        <f>SUMIFS(ham_data!U:U,ham_data!$J:$J,'DETAY-yaslandırma'!$B35,ham_data!$E:$E,'DETAY-yaslandırma'!$A35)</f>
        <v>75366.06</v>
      </c>
      <c r="M35" s="7">
        <f>SUMIFS(ham_data!V:V,ham_data!$J:$J,'DETAY-yaslandırma'!$B35,ham_data!$E:$E,'DETAY-yaslandırma'!$A35)</f>
        <v>0</v>
      </c>
      <c r="N35" s="7">
        <f>SUMIFS(ham_data!W:W,ham_data!$J:$J,'DETAY-yaslandırma'!$B35,ham_data!$E:$E,'DETAY-yaslandırma'!$A35)</f>
        <v>0</v>
      </c>
      <c r="O35" s="7">
        <f>SUMIFS(ham_data!X:X,ham_data!$J:$J,'DETAY-yaslandırma'!$B35,ham_data!$E:$E,'DETAY-yaslandırma'!$A35)</f>
        <v>0</v>
      </c>
      <c r="P35" s="7">
        <f>SUMIFS(ham_data!Y:Y,ham_data!$J:$J,'DETAY-yaslandırma'!$B35,ham_data!$E:$E,'DETAY-yaslandırma'!$A35)</f>
        <v>0</v>
      </c>
      <c r="Q35" s="7">
        <f>SUMIFS(ham_data!Z:Z,ham_data!$J:$J,'DETAY-yaslandırma'!$B35,ham_data!$E:$E,'DETAY-yaslandırma'!$A35)</f>
        <v>0</v>
      </c>
      <c r="R35" s="7">
        <f>SUMIFS(ham_data!AA:AA,ham_data!$J:$J,'DETAY-yaslandırma'!$B35,ham_data!$E:$E,'DETAY-yaslandırma'!$A35)</f>
        <v>0</v>
      </c>
      <c r="S35" s="3">
        <f>SUMIFS(DETAY!E:E,DETAY!A:A,'DETAY-yaslandırma'!A35,DETAY!B:B,'DETAY-yaslandırma'!B35)</f>
        <v>152387.89000000001</v>
      </c>
      <c r="T35" s="3">
        <f t="shared" si="4"/>
        <v>0</v>
      </c>
      <c r="U35" s="11">
        <f t="shared" si="5"/>
        <v>0</v>
      </c>
    </row>
    <row r="36" spans="1:21" x14ac:dyDescent="0.35">
      <c r="A36" s="10" t="s">
        <v>153</v>
      </c>
      <c r="B36" s="2" t="s">
        <v>11</v>
      </c>
      <c r="C36" s="5">
        <f>SUMIFS(DETAY!C:C,DETAY!A:A,'DETAY-yaslandırma'!A36,DETAY!B:B,'DETAY-yaslandırma'!B36)</f>
        <v>0</v>
      </c>
      <c r="D36" s="5">
        <f>SUMIFS(ham_data!AB:AB,ham_data!$J:$J,'DETAY-yaslandırma'!$B36,ham_data!$E:$E,'DETAY-yaslandırma'!$A36)</f>
        <v>0</v>
      </c>
      <c r="E36" s="5">
        <f>SUMIFS(ham_data!AC:AC,ham_data!$J:$J,'DETAY-yaslandırma'!$B36,ham_data!$E:$E,'DETAY-yaslandırma'!$A36)</f>
        <v>0</v>
      </c>
      <c r="F36" s="5">
        <f>SUMIFS(ham_data!AD:AD,ham_data!$J:$J,'DETAY-yaslandırma'!$B36,ham_data!$E:$E,'DETAY-yaslandırma'!$A36)</f>
        <v>0</v>
      </c>
      <c r="G36" s="5">
        <f>SUMIFS(ham_data!AE:AE,ham_data!$J:$J,'DETAY-yaslandırma'!$B36,ham_data!$E:$E,'DETAY-yaslandırma'!$A36)</f>
        <v>0</v>
      </c>
      <c r="H36" s="5">
        <f>SUMIFS(ham_data!AF:AF,ham_data!$J:$J,'DETAY-yaslandırma'!$B36,ham_data!$E:$E,'DETAY-yaslandırma'!$A36)</f>
        <v>0</v>
      </c>
      <c r="I36" s="5">
        <f>SUMIFS(ham_data!AG:AG,ham_data!$J:$J,'DETAY-yaslandırma'!$B36,ham_data!$E:$E,'DETAY-yaslandırma'!$A36)</f>
        <v>0</v>
      </c>
      <c r="J36" s="5">
        <f>SUMIFS(ham_data!AH:AH,ham_data!$J:$J,'DETAY-yaslandırma'!$B36,ham_data!$E:$E,'DETAY-yaslandırma'!$A36)</f>
        <v>0</v>
      </c>
      <c r="K36" s="7">
        <f>SUMIFS(DETAY!D:D,DETAY!A:A,'DETAY-yaslandırma'!A36,DETAY!B:B,'DETAY-yaslandırma'!B36)</f>
        <v>0</v>
      </c>
      <c r="L36" s="7">
        <f>SUMIFS(ham_data!U:U,ham_data!$J:$J,'DETAY-yaslandırma'!$B36,ham_data!$E:$E,'DETAY-yaslandırma'!$A36)</f>
        <v>0</v>
      </c>
      <c r="M36" s="7">
        <f>SUMIFS(ham_data!V:V,ham_data!$J:$J,'DETAY-yaslandırma'!$B36,ham_data!$E:$E,'DETAY-yaslandırma'!$A36)</f>
        <v>0</v>
      </c>
      <c r="N36" s="7">
        <f>SUMIFS(ham_data!W:W,ham_data!$J:$J,'DETAY-yaslandırma'!$B36,ham_data!$E:$E,'DETAY-yaslandırma'!$A36)</f>
        <v>0</v>
      </c>
      <c r="O36" s="7">
        <f>SUMIFS(ham_data!X:X,ham_data!$J:$J,'DETAY-yaslandırma'!$B36,ham_data!$E:$E,'DETAY-yaslandırma'!$A36)</f>
        <v>0</v>
      </c>
      <c r="P36" s="7">
        <f>SUMIFS(ham_data!Y:Y,ham_data!$J:$J,'DETAY-yaslandırma'!$B36,ham_data!$E:$E,'DETAY-yaslandırma'!$A36)</f>
        <v>0</v>
      </c>
      <c r="Q36" s="7">
        <f>SUMIFS(ham_data!Z:Z,ham_data!$J:$J,'DETAY-yaslandırma'!$B36,ham_data!$E:$E,'DETAY-yaslandırma'!$A36)</f>
        <v>0</v>
      </c>
      <c r="R36" s="7">
        <f>SUMIFS(ham_data!AA:AA,ham_data!$J:$J,'DETAY-yaslandırma'!$B36,ham_data!$E:$E,'DETAY-yaslandırma'!$A36)</f>
        <v>0</v>
      </c>
      <c r="S36" s="3">
        <f>SUMIFS(DETAY!E:E,DETAY!A:A,'DETAY-yaslandırma'!A36,DETAY!B:B,'DETAY-yaslandırma'!B36)</f>
        <v>0</v>
      </c>
      <c r="T36" s="3">
        <f t="shared" si="4"/>
        <v>0</v>
      </c>
      <c r="U36" s="11">
        <f t="shared" si="5"/>
        <v>0</v>
      </c>
    </row>
    <row r="37" spans="1:21" x14ac:dyDescent="0.35">
      <c r="A37" s="10" t="s">
        <v>108</v>
      </c>
      <c r="B37" s="2" t="s">
        <v>11</v>
      </c>
      <c r="C37" s="5">
        <f>SUMIFS(DETAY!C:C,DETAY!A:A,'DETAY-yaslandırma'!A37,DETAY!B:B,'DETAY-yaslandırma'!B37)</f>
        <v>0</v>
      </c>
      <c r="D37" s="5">
        <f>SUMIFS(ham_data!AB:AB,ham_data!$J:$J,'DETAY-yaslandırma'!$B37,ham_data!$E:$E,'DETAY-yaslandırma'!$A37)</f>
        <v>0</v>
      </c>
      <c r="E37" s="5">
        <f>SUMIFS(ham_data!AC:AC,ham_data!$J:$J,'DETAY-yaslandırma'!$B37,ham_data!$E:$E,'DETAY-yaslandırma'!$A37)</f>
        <v>0</v>
      </c>
      <c r="F37" s="5">
        <f>SUMIFS(ham_data!AD:AD,ham_data!$J:$J,'DETAY-yaslandırma'!$B37,ham_data!$E:$E,'DETAY-yaslandırma'!$A37)</f>
        <v>0</v>
      </c>
      <c r="G37" s="5">
        <f>SUMIFS(ham_data!AE:AE,ham_data!$J:$J,'DETAY-yaslandırma'!$B37,ham_data!$E:$E,'DETAY-yaslandırma'!$A37)</f>
        <v>0</v>
      </c>
      <c r="H37" s="5">
        <f>SUMIFS(ham_data!AF:AF,ham_data!$J:$J,'DETAY-yaslandırma'!$B37,ham_data!$E:$E,'DETAY-yaslandırma'!$A37)</f>
        <v>0</v>
      </c>
      <c r="I37" s="5">
        <f>SUMIFS(ham_data!AG:AG,ham_data!$J:$J,'DETAY-yaslandırma'!$B37,ham_data!$E:$E,'DETAY-yaslandırma'!$A37)</f>
        <v>0</v>
      </c>
      <c r="J37" s="5">
        <f>SUMIFS(ham_data!AH:AH,ham_data!$J:$J,'DETAY-yaslandırma'!$B37,ham_data!$E:$E,'DETAY-yaslandırma'!$A37)</f>
        <v>0</v>
      </c>
      <c r="K37" s="7">
        <f>SUMIFS(DETAY!D:D,DETAY!A:A,'DETAY-yaslandırma'!A37,DETAY!B:B,'DETAY-yaslandırma'!B37)</f>
        <v>0</v>
      </c>
      <c r="L37" s="7">
        <f>SUMIFS(ham_data!U:U,ham_data!$J:$J,'DETAY-yaslandırma'!$B37,ham_data!$E:$E,'DETAY-yaslandırma'!$A37)</f>
        <v>0</v>
      </c>
      <c r="M37" s="7">
        <f>SUMIFS(ham_data!V:V,ham_data!$J:$J,'DETAY-yaslandırma'!$B37,ham_data!$E:$E,'DETAY-yaslandırma'!$A37)</f>
        <v>0</v>
      </c>
      <c r="N37" s="7">
        <f>SUMIFS(ham_data!W:W,ham_data!$J:$J,'DETAY-yaslandırma'!$B37,ham_data!$E:$E,'DETAY-yaslandırma'!$A37)</f>
        <v>0</v>
      </c>
      <c r="O37" s="7">
        <f>SUMIFS(ham_data!X:X,ham_data!$J:$J,'DETAY-yaslandırma'!$B37,ham_data!$E:$E,'DETAY-yaslandırma'!$A37)</f>
        <v>0</v>
      </c>
      <c r="P37" s="7">
        <f>SUMIFS(ham_data!Y:Y,ham_data!$J:$J,'DETAY-yaslandırma'!$B37,ham_data!$E:$E,'DETAY-yaslandırma'!$A37)</f>
        <v>0</v>
      </c>
      <c r="Q37" s="7">
        <f>SUMIFS(ham_data!Z:Z,ham_data!$J:$J,'DETAY-yaslandırma'!$B37,ham_data!$E:$E,'DETAY-yaslandırma'!$A37)</f>
        <v>0</v>
      </c>
      <c r="R37" s="7">
        <f>SUMIFS(ham_data!AA:AA,ham_data!$J:$J,'DETAY-yaslandırma'!$B37,ham_data!$E:$E,'DETAY-yaslandırma'!$A37)</f>
        <v>0</v>
      </c>
      <c r="S37" s="3">
        <f>SUMIFS(DETAY!E:E,DETAY!A:A,'DETAY-yaslandırma'!A37,DETAY!B:B,'DETAY-yaslandırma'!B37)</f>
        <v>0</v>
      </c>
      <c r="T37" s="3">
        <f t="shared" si="4"/>
        <v>0</v>
      </c>
      <c r="U37" s="11">
        <f t="shared" si="5"/>
        <v>0</v>
      </c>
    </row>
    <row r="38" spans="1:21" x14ac:dyDescent="0.35">
      <c r="A38" s="10" t="s">
        <v>36</v>
      </c>
      <c r="B38" s="2" t="s">
        <v>37</v>
      </c>
      <c r="C38" s="5">
        <f>SUMIFS(DETAY!C:C,DETAY!A:A,'DETAY-yaslandırma'!A38,DETAY!B:B,'DETAY-yaslandırma'!B38)</f>
        <v>0</v>
      </c>
      <c r="D38" s="5">
        <f>SUMIFS(ham_data!AB:AB,ham_data!$J:$J,'DETAY-yaslandırma'!$B38,ham_data!$E:$E,'DETAY-yaslandırma'!$A38)</f>
        <v>0</v>
      </c>
      <c r="E38" s="5">
        <f>SUMIFS(ham_data!AC:AC,ham_data!$J:$J,'DETAY-yaslandırma'!$B38,ham_data!$E:$E,'DETAY-yaslandırma'!$A38)</f>
        <v>0</v>
      </c>
      <c r="F38" s="5">
        <f>SUMIFS(ham_data!AD:AD,ham_data!$J:$J,'DETAY-yaslandırma'!$B38,ham_data!$E:$E,'DETAY-yaslandırma'!$A38)</f>
        <v>0</v>
      </c>
      <c r="G38" s="5">
        <f>SUMIFS(ham_data!AE:AE,ham_data!$J:$J,'DETAY-yaslandırma'!$B38,ham_data!$E:$E,'DETAY-yaslandırma'!$A38)</f>
        <v>0</v>
      </c>
      <c r="H38" s="5">
        <f>SUMIFS(ham_data!AF:AF,ham_data!$J:$J,'DETAY-yaslandırma'!$B38,ham_data!$E:$E,'DETAY-yaslandırma'!$A38)</f>
        <v>0</v>
      </c>
      <c r="I38" s="5">
        <f>SUMIFS(ham_data!AG:AG,ham_data!$J:$J,'DETAY-yaslandırma'!$B38,ham_data!$E:$E,'DETAY-yaslandırma'!$A38)</f>
        <v>0</v>
      </c>
      <c r="J38" s="5">
        <f>SUMIFS(ham_data!AH:AH,ham_data!$J:$J,'DETAY-yaslandırma'!$B38,ham_data!$E:$E,'DETAY-yaslandırma'!$A38)</f>
        <v>0</v>
      </c>
      <c r="K38" s="7">
        <f>SUMIFS(DETAY!D:D,DETAY!A:A,'DETAY-yaslandırma'!A38,DETAY!B:B,'DETAY-yaslandırma'!B38)</f>
        <v>16674.27</v>
      </c>
      <c r="L38" s="7">
        <f>SUMIFS(ham_data!U:U,ham_data!$J:$J,'DETAY-yaslandırma'!$B38,ham_data!$E:$E,'DETAY-yaslandırma'!$A38)</f>
        <v>16674.27</v>
      </c>
      <c r="M38" s="7">
        <f>SUMIFS(ham_data!V:V,ham_data!$J:$J,'DETAY-yaslandırma'!$B38,ham_data!$E:$E,'DETAY-yaslandırma'!$A38)</f>
        <v>0</v>
      </c>
      <c r="N38" s="7">
        <f>SUMIFS(ham_data!W:W,ham_data!$J:$J,'DETAY-yaslandırma'!$B38,ham_data!$E:$E,'DETAY-yaslandırma'!$A38)</f>
        <v>0</v>
      </c>
      <c r="O38" s="7">
        <f>SUMIFS(ham_data!X:X,ham_data!$J:$J,'DETAY-yaslandırma'!$B38,ham_data!$E:$E,'DETAY-yaslandırma'!$A38)</f>
        <v>0</v>
      </c>
      <c r="P38" s="7">
        <f>SUMIFS(ham_data!Y:Y,ham_data!$J:$J,'DETAY-yaslandırma'!$B38,ham_data!$E:$E,'DETAY-yaslandırma'!$A38)</f>
        <v>0</v>
      </c>
      <c r="Q38" s="7">
        <f>SUMIFS(ham_data!Z:Z,ham_data!$J:$J,'DETAY-yaslandırma'!$B38,ham_data!$E:$E,'DETAY-yaslandırma'!$A38)</f>
        <v>0</v>
      </c>
      <c r="R38" s="7">
        <f>SUMIFS(ham_data!AA:AA,ham_data!$J:$J,'DETAY-yaslandırma'!$B38,ham_data!$E:$E,'DETAY-yaslandırma'!$A38)</f>
        <v>0</v>
      </c>
      <c r="S38" s="3">
        <f>SUMIFS(DETAY!E:E,DETAY!A:A,'DETAY-yaslandırma'!A38,DETAY!B:B,'DETAY-yaslandırma'!B38)</f>
        <v>16674.27</v>
      </c>
      <c r="T38" s="3">
        <f t="shared" si="4"/>
        <v>0</v>
      </c>
      <c r="U38" s="11">
        <f t="shared" si="5"/>
        <v>0</v>
      </c>
    </row>
    <row r="39" spans="1:21" x14ac:dyDescent="0.35">
      <c r="A39" s="10" t="s">
        <v>18</v>
      </c>
      <c r="B39" s="2" t="s">
        <v>19</v>
      </c>
      <c r="C39" s="5">
        <f>SUMIFS(DETAY!C:C,DETAY!A:A,'DETAY-yaslandırma'!A39,DETAY!B:B,'DETAY-yaslandırma'!B39)</f>
        <v>0</v>
      </c>
      <c r="D39" s="5">
        <f>SUMIFS(ham_data!AB:AB,ham_data!$J:$J,'DETAY-yaslandırma'!$B39,ham_data!$E:$E,'DETAY-yaslandırma'!$A39)</f>
        <v>0</v>
      </c>
      <c r="E39" s="5">
        <f>SUMIFS(ham_data!AC:AC,ham_data!$J:$J,'DETAY-yaslandırma'!$B39,ham_data!$E:$E,'DETAY-yaslandırma'!$A39)</f>
        <v>0</v>
      </c>
      <c r="F39" s="5">
        <f>SUMIFS(ham_data!AD:AD,ham_data!$J:$J,'DETAY-yaslandırma'!$B39,ham_data!$E:$E,'DETAY-yaslandırma'!$A39)</f>
        <v>0</v>
      </c>
      <c r="G39" s="5">
        <f>SUMIFS(ham_data!AE:AE,ham_data!$J:$J,'DETAY-yaslandırma'!$B39,ham_data!$E:$E,'DETAY-yaslandırma'!$A39)</f>
        <v>0</v>
      </c>
      <c r="H39" s="5">
        <f>SUMIFS(ham_data!AF:AF,ham_data!$J:$J,'DETAY-yaslandırma'!$B39,ham_data!$E:$E,'DETAY-yaslandırma'!$A39)</f>
        <v>0</v>
      </c>
      <c r="I39" s="5">
        <f>SUMIFS(ham_data!AG:AG,ham_data!$J:$J,'DETAY-yaslandırma'!$B39,ham_data!$E:$E,'DETAY-yaslandırma'!$A39)</f>
        <v>0</v>
      </c>
      <c r="J39" s="5">
        <f>SUMIFS(ham_data!AH:AH,ham_data!$J:$J,'DETAY-yaslandırma'!$B39,ham_data!$E:$E,'DETAY-yaslandırma'!$A39)</f>
        <v>0</v>
      </c>
      <c r="K39" s="7">
        <f>SUMIFS(DETAY!D:D,DETAY!A:A,'DETAY-yaslandırma'!A39,DETAY!B:B,'DETAY-yaslandırma'!B39)</f>
        <v>0</v>
      </c>
      <c r="L39" s="7">
        <f>SUMIFS(ham_data!U:U,ham_data!$J:$J,'DETAY-yaslandırma'!$B39,ham_data!$E:$E,'DETAY-yaslandırma'!$A39)</f>
        <v>0</v>
      </c>
      <c r="M39" s="7">
        <f>SUMIFS(ham_data!V:V,ham_data!$J:$J,'DETAY-yaslandırma'!$B39,ham_data!$E:$E,'DETAY-yaslandırma'!$A39)</f>
        <v>0</v>
      </c>
      <c r="N39" s="7">
        <f>SUMIFS(ham_data!W:W,ham_data!$J:$J,'DETAY-yaslandırma'!$B39,ham_data!$E:$E,'DETAY-yaslandırma'!$A39)</f>
        <v>0</v>
      </c>
      <c r="O39" s="7">
        <f>SUMIFS(ham_data!X:X,ham_data!$J:$J,'DETAY-yaslandırma'!$B39,ham_data!$E:$E,'DETAY-yaslandırma'!$A39)</f>
        <v>0</v>
      </c>
      <c r="P39" s="7">
        <f>SUMIFS(ham_data!Y:Y,ham_data!$J:$J,'DETAY-yaslandırma'!$B39,ham_data!$E:$E,'DETAY-yaslandırma'!$A39)</f>
        <v>0</v>
      </c>
      <c r="Q39" s="7">
        <f>SUMIFS(ham_data!Z:Z,ham_data!$J:$J,'DETAY-yaslandırma'!$B39,ham_data!$E:$E,'DETAY-yaslandırma'!$A39)</f>
        <v>0</v>
      </c>
      <c r="R39" s="7">
        <f>SUMIFS(ham_data!AA:AA,ham_data!$J:$J,'DETAY-yaslandırma'!$B39,ham_data!$E:$E,'DETAY-yaslandırma'!$A39)</f>
        <v>0</v>
      </c>
      <c r="S39" s="3">
        <f>SUMIFS(DETAY!E:E,DETAY!A:A,'DETAY-yaslandırma'!A39,DETAY!B:B,'DETAY-yaslandırma'!B39)</f>
        <v>0</v>
      </c>
      <c r="T39" s="3">
        <f t="shared" si="4"/>
        <v>0</v>
      </c>
      <c r="U39" s="11">
        <f t="shared" si="5"/>
        <v>0</v>
      </c>
    </row>
    <row r="40" spans="1:21" x14ac:dyDescent="0.35">
      <c r="A40" s="10" t="s">
        <v>142</v>
      </c>
      <c r="B40" s="2" t="s">
        <v>11</v>
      </c>
      <c r="C40" s="5">
        <f>SUMIFS(DETAY!C:C,DETAY!A:A,'DETAY-yaslandırma'!A40,DETAY!B:B,'DETAY-yaslandırma'!B40)</f>
        <v>0</v>
      </c>
      <c r="D40" s="5">
        <f>SUMIFS(ham_data!AB:AB,ham_data!$J:$J,'DETAY-yaslandırma'!$B40,ham_data!$E:$E,'DETAY-yaslandırma'!$A40)</f>
        <v>0</v>
      </c>
      <c r="E40" s="5">
        <f>SUMIFS(ham_data!AC:AC,ham_data!$J:$J,'DETAY-yaslandırma'!$B40,ham_data!$E:$E,'DETAY-yaslandırma'!$A40)</f>
        <v>0</v>
      </c>
      <c r="F40" s="5">
        <f>SUMIFS(ham_data!AD:AD,ham_data!$J:$J,'DETAY-yaslandırma'!$B40,ham_data!$E:$E,'DETAY-yaslandırma'!$A40)</f>
        <v>0</v>
      </c>
      <c r="G40" s="5">
        <f>SUMIFS(ham_data!AE:AE,ham_data!$J:$J,'DETAY-yaslandırma'!$B40,ham_data!$E:$E,'DETAY-yaslandırma'!$A40)</f>
        <v>0</v>
      </c>
      <c r="H40" s="5">
        <f>SUMIFS(ham_data!AF:AF,ham_data!$J:$J,'DETAY-yaslandırma'!$B40,ham_data!$E:$E,'DETAY-yaslandırma'!$A40)</f>
        <v>0</v>
      </c>
      <c r="I40" s="5">
        <f>SUMIFS(ham_data!AG:AG,ham_data!$J:$J,'DETAY-yaslandırma'!$B40,ham_data!$E:$E,'DETAY-yaslandırma'!$A40)</f>
        <v>0</v>
      </c>
      <c r="J40" s="5">
        <f>SUMIFS(ham_data!AH:AH,ham_data!$J:$J,'DETAY-yaslandırma'!$B40,ham_data!$E:$E,'DETAY-yaslandırma'!$A40)</f>
        <v>0</v>
      </c>
      <c r="K40" s="7">
        <f>SUMIFS(DETAY!D:D,DETAY!A:A,'DETAY-yaslandırma'!A40,DETAY!B:B,'DETAY-yaslandırma'!B40)</f>
        <v>0</v>
      </c>
      <c r="L40" s="7">
        <f>SUMIFS(ham_data!U:U,ham_data!$J:$J,'DETAY-yaslandırma'!$B40,ham_data!$E:$E,'DETAY-yaslandırma'!$A40)</f>
        <v>0</v>
      </c>
      <c r="M40" s="7">
        <f>SUMIFS(ham_data!V:V,ham_data!$J:$J,'DETAY-yaslandırma'!$B40,ham_data!$E:$E,'DETAY-yaslandırma'!$A40)</f>
        <v>0</v>
      </c>
      <c r="N40" s="7">
        <f>SUMIFS(ham_data!W:W,ham_data!$J:$J,'DETAY-yaslandırma'!$B40,ham_data!$E:$E,'DETAY-yaslandırma'!$A40)</f>
        <v>0</v>
      </c>
      <c r="O40" s="7">
        <f>SUMIFS(ham_data!X:X,ham_data!$J:$J,'DETAY-yaslandırma'!$B40,ham_data!$E:$E,'DETAY-yaslandırma'!$A40)</f>
        <v>0</v>
      </c>
      <c r="P40" s="7">
        <f>SUMIFS(ham_data!Y:Y,ham_data!$J:$J,'DETAY-yaslandırma'!$B40,ham_data!$E:$E,'DETAY-yaslandırma'!$A40)</f>
        <v>0</v>
      </c>
      <c r="Q40" s="7">
        <f>SUMIFS(ham_data!Z:Z,ham_data!$J:$J,'DETAY-yaslandırma'!$B40,ham_data!$E:$E,'DETAY-yaslandırma'!$A40)</f>
        <v>0</v>
      </c>
      <c r="R40" s="7">
        <f>SUMIFS(ham_data!AA:AA,ham_data!$J:$J,'DETAY-yaslandırma'!$B40,ham_data!$E:$E,'DETAY-yaslandırma'!$A40)</f>
        <v>0</v>
      </c>
      <c r="S40" s="3">
        <f>SUMIFS(DETAY!E:E,DETAY!A:A,'DETAY-yaslandırma'!A40,DETAY!B:B,'DETAY-yaslandırma'!B40)</f>
        <v>0</v>
      </c>
      <c r="T40" s="3">
        <f t="shared" si="4"/>
        <v>0</v>
      </c>
      <c r="U40" s="11">
        <f t="shared" si="5"/>
        <v>0</v>
      </c>
    </row>
    <row r="41" spans="1:21" x14ac:dyDescent="0.35">
      <c r="A41" s="10" t="s">
        <v>57</v>
      </c>
      <c r="B41" s="2" t="s">
        <v>19</v>
      </c>
      <c r="C41" s="5">
        <f>SUMIFS(DETAY!C:C,DETAY!A:A,'DETAY-yaslandırma'!A41,DETAY!B:B,'DETAY-yaslandırma'!B41)</f>
        <v>0</v>
      </c>
      <c r="D41" s="5">
        <f>SUMIFS(ham_data!AB:AB,ham_data!$J:$J,'DETAY-yaslandırma'!$B41,ham_data!$E:$E,'DETAY-yaslandırma'!$A41)</f>
        <v>0</v>
      </c>
      <c r="E41" s="5">
        <f>SUMIFS(ham_data!AC:AC,ham_data!$J:$J,'DETAY-yaslandırma'!$B41,ham_data!$E:$E,'DETAY-yaslandırma'!$A41)</f>
        <v>0</v>
      </c>
      <c r="F41" s="5">
        <f>SUMIFS(ham_data!AD:AD,ham_data!$J:$J,'DETAY-yaslandırma'!$B41,ham_data!$E:$E,'DETAY-yaslandırma'!$A41)</f>
        <v>0</v>
      </c>
      <c r="G41" s="5">
        <f>SUMIFS(ham_data!AE:AE,ham_data!$J:$J,'DETAY-yaslandırma'!$B41,ham_data!$E:$E,'DETAY-yaslandırma'!$A41)</f>
        <v>0</v>
      </c>
      <c r="H41" s="5">
        <f>SUMIFS(ham_data!AF:AF,ham_data!$J:$J,'DETAY-yaslandırma'!$B41,ham_data!$E:$E,'DETAY-yaslandırma'!$A41)</f>
        <v>0</v>
      </c>
      <c r="I41" s="5">
        <f>SUMIFS(ham_data!AG:AG,ham_data!$J:$J,'DETAY-yaslandırma'!$B41,ham_data!$E:$E,'DETAY-yaslandırma'!$A41)</f>
        <v>0</v>
      </c>
      <c r="J41" s="5">
        <f>SUMIFS(ham_data!AH:AH,ham_data!$J:$J,'DETAY-yaslandırma'!$B41,ham_data!$E:$E,'DETAY-yaslandırma'!$A41)</f>
        <v>0</v>
      </c>
      <c r="K41" s="7">
        <f>SUMIFS(DETAY!D:D,DETAY!A:A,'DETAY-yaslandırma'!A41,DETAY!B:B,'DETAY-yaslandırma'!B41)</f>
        <v>0</v>
      </c>
      <c r="L41" s="7">
        <f>SUMIFS(ham_data!U:U,ham_data!$J:$J,'DETAY-yaslandırma'!$B41,ham_data!$E:$E,'DETAY-yaslandırma'!$A41)</f>
        <v>0</v>
      </c>
      <c r="M41" s="7">
        <f>SUMIFS(ham_data!V:V,ham_data!$J:$J,'DETAY-yaslandırma'!$B41,ham_data!$E:$E,'DETAY-yaslandırma'!$A41)</f>
        <v>0</v>
      </c>
      <c r="N41" s="7">
        <f>SUMIFS(ham_data!W:W,ham_data!$J:$J,'DETAY-yaslandırma'!$B41,ham_data!$E:$E,'DETAY-yaslandırma'!$A41)</f>
        <v>0</v>
      </c>
      <c r="O41" s="7">
        <f>SUMIFS(ham_data!X:X,ham_data!$J:$J,'DETAY-yaslandırma'!$B41,ham_data!$E:$E,'DETAY-yaslandırma'!$A41)</f>
        <v>0</v>
      </c>
      <c r="P41" s="7">
        <f>SUMIFS(ham_data!Y:Y,ham_data!$J:$J,'DETAY-yaslandırma'!$B41,ham_data!$E:$E,'DETAY-yaslandırma'!$A41)</f>
        <v>0</v>
      </c>
      <c r="Q41" s="7">
        <f>SUMIFS(ham_data!Z:Z,ham_data!$J:$J,'DETAY-yaslandırma'!$B41,ham_data!$E:$E,'DETAY-yaslandırma'!$A41)</f>
        <v>0</v>
      </c>
      <c r="R41" s="7">
        <f>SUMIFS(ham_data!AA:AA,ham_data!$J:$J,'DETAY-yaslandırma'!$B41,ham_data!$E:$E,'DETAY-yaslandırma'!$A41)</f>
        <v>0</v>
      </c>
      <c r="S41" s="3">
        <f>SUMIFS(DETAY!E:E,DETAY!A:A,'DETAY-yaslandırma'!A41,DETAY!B:B,'DETAY-yaslandırma'!B41)</f>
        <v>0</v>
      </c>
      <c r="T41" s="3">
        <f t="shared" si="4"/>
        <v>0</v>
      </c>
      <c r="U41" s="11">
        <f t="shared" si="5"/>
        <v>0</v>
      </c>
    </row>
    <row r="42" spans="1:21" x14ac:dyDescent="0.35">
      <c r="A42" s="10" t="s">
        <v>225</v>
      </c>
      <c r="B42" s="2" t="s">
        <v>11</v>
      </c>
      <c r="C42" s="5">
        <f>SUMIFS(DETAY!C:C,DETAY!A:A,'DETAY-yaslandırma'!A42,DETAY!B:B,'DETAY-yaslandırma'!B42)</f>
        <v>0</v>
      </c>
      <c r="D42" s="5">
        <f>SUMIFS(ham_data!AB:AB,ham_data!$J:$J,'DETAY-yaslandırma'!$B42,ham_data!$E:$E,'DETAY-yaslandırma'!$A42)</f>
        <v>0</v>
      </c>
      <c r="E42" s="5">
        <f>SUMIFS(ham_data!AC:AC,ham_data!$J:$J,'DETAY-yaslandırma'!$B42,ham_data!$E:$E,'DETAY-yaslandırma'!$A42)</f>
        <v>0</v>
      </c>
      <c r="F42" s="5">
        <f>SUMIFS(ham_data!AD:AD,ham_data!$J:$J,'DETAY-yaslandırma'!$B42,ham_data!$E:$E,'DETAY-yaslandırma'!$A42)</f>
        <v>0</v>
      </c>
      <c r="G42" s="5">
        <f>SUMIFS(ham_data!AE:AE,ham_data!$J:$J,'DETAY-yaslandırma'!$B42,ham_data!$E:$E,'DETAY-yaslandırma'!$A42)</f>
        <v>0</v>
      </c>
      <c r="H42" s="5">
        <f>SUMIFS(ham_data!AF:AF,ham_data!$J:$J,'DETAY-yaslandırma'!$B42,ham_data!$E:$E,'DETAY-yaslandırma'!$A42)</f>
        <v>0</v>
      </c>
      <c r="I42" s="5">
        <f>SUMIFS(ham_data!AG:AG,ham_data!$J:$J,'DETAY-yaslandırma'!$B42,ham_data!$E:$E,'DETAY-yaslandırma'!$A42)</f>
        <v>0</v>
      </c>
      <c r="J42" s="5">
        <f>SUMIFS(ham_data!AH:AH,ham_data!$J:$J,'DETAY-yaslandırma'!$B42,ham_data!$E:$E,'DETAY-yaslandırma'!$A42)</f>
        <v>0</v>
      </c>
      <c r="K42" s="7">
        <f>SUMIFS(DETAY!D:D,DETAY!A:A,'DETAY-yaslandırma'!A42,DETAY!B:B,'DETAY-yaslandırma'!B42)</f>
        <v>0</v>
      </c>
      <c r="L42" s="7">
        <f>SUMIFS(ham_data!U:U,ham_data!$J:$J,'DETAY-yaslandırma'!$B42,ham_data!$E:$E,'DETAY-yaslandırma'!$A42)</f>
        <v>0</v>
      </c>
      <c r="M42" s="7">
        <f>SUMIFS(ham_data!V:V,ham_data!$J:$J,'DETAY-yaslandırma'!$B42,ham_data!$E:$E,'DETAY-yaslandırma'!$A42)</f>
        <v>0</v>
      </c>
      <c r="N42" s="7">
        <f>SUMIFS(ham_data!W:W,ham_data!$J:$J,'DETAY-yaslandırma'!$B42,ham_data!$E:$E,'DETAY-yaslandırma'!$A42)</f>
        <v>0</v>
      </c>
      <c r="O42" s="7">
        <f>SUMIFS(ham_data!X:X,ham_data!$J:$J,'DETAY-yaslandırma'!$B42,ham_data!$E:$E,'DETAY-yaslandırma'!$A42)</f>
        <v>0</v>
      </c>
      <c r="P42" s="7">
        <f>SUMIFS(ham_data!Y:Y,ham_data!$J:$J,'DETAY-yaslandırma'!$B42,ham_data!$E:$E,'DETAY-yaslandırma'!$A42)</f>
        <v>0</v>
      </c>
      <c r="Q42" s="7">
        <f>SUMIFS(ham_data!Z:Z,ham_data!$J:$J,'DETAY-yaslandırma'!$B42,ham_data!$E:$E,'DETAY-yaslandırma'!$A42)</f>
        <v>0</v>
      </c>
      <c r="R42" s="7">
        <f>SUMIFS(ham_data!AA:AA,ham_data!$J:$J,'DETAY-yaslandırma'!$B42,ham_data!$E:$E,'DETAY-yaslandırma'!$A42)</f>
        <v>0</v>
      </c>
      <c r="S42" s="3">
        <f>SUMIFS(DETAY!E:E,DETAY!A:A,'DETAY-yaslandırma'!A42,DETAY!B:B,'DETAY-yaslandırma'!B42)</f>
        <v>0</v>
      </c>
      <c r="T42" s="3">
        <f t="shared" si="4"/>
        <v>0</v>
      </c>
      <c r="U42" s="11">
        <f t="shared" si="5"/>
        <v>0</v>
      </c>
    </row>
    <row r="43" spans="1:21" x14ac:dyDescent="0.35">
      <c r="A43" s="10" t="s">
        <v>133</v>
      </c>
      <c r="B43" s="2" t="s">
        <v>11</v>
      </c>
      <c r="C43" s="5">
        <f>SUMIFS(DETAY!C:C,DETAY!A:A,'DETAY-yaslandırma'!A43,DETAY!B:B,'DETAY-yaslandırma'!B43)</f>
        <v>0</v>
      </c>
      <c r="D43" s="5">
        <f>SUMIFS(ham_data!AB:AB,ham_data!$J:$J,'DETAY-yaslandırma'!$B43,ham_data!$E:$E,'DETAY-yaslandırma'!$A43)</f>
        <v>0</v>
      </c>
      <c r="E43" s="5">
        <f>SUMIFS(ham_data!AC:AC,ham_data!$J:$J,'DETAY-yaslandırma'!$B43,ham_data!$E:$E,'DETAY-yaslandırma'!$A43)</f>
        <v>0</v>
      </c>
      <c r="F43" s="5">
        <f>SUMIFS(ham_data!AD:AD,ham_data!$J:$J,'DETAY-yaslandırma'!$B43,ham_data!$E:$E,'DETAY-yaslandırma'!$A43)</f>
        <v>0</v>
      </c>
      <c r="G43" s="5">
        <f>SUMIFS(ham_data!AE:AE,ham_data!$J:$J,'DETAY-yaslandırma'!$B43,ham_data!$E:$E,'DETAY-yaslandırma'!$A43)</f>
        <v>0</v>
      </c>
      <c r="H43" s="5">
        <f>SUMIFS(ham_data!AF:AF,ham_data!$J:$J,'DETAY-yaslandırma'!$B43,ham_data!$E:$E,'DETAY-yaslandırma'!$A43)</f>
        <v>0</v>
      </c>
      <c r="I43" s="5">
        <f>SUMIFS(ham_data!AG:AG,ham_data!$J:$J,'DETAY-yaslandırma'!$B43,ham_data!$E:$E,'DETAY-yaslandırma'!$A43)</f>
        <v>0</v>
      </c>
      <c r="J43" s="5">
        <f>SUMIFS(ham_data!AH:AH,ham_data!$J:$J,'DETAY-yaslandırma'!$B43,ham_data!$E:$E,'DETAY-yaslandırma'!$A43)</f>
        <v>0</v>
      </c>
      <c r="K43" s="7">
        <f>SUMIFS(DETAY!D:D,DETAY!A:A,'DETAY-yaslandırma'!A43,DETAY!B:B,'DETAY-yaslandırma'!B43)</f>
        <v>0</v>
      </c>
      <c r="L43" s="7">
        <f>SUMIFS(ham_data!U:U,ham_data!$J:$J,'DETAY-yaslandırma'!$B43,ham_data!$E:$E,'DETAY-yaslandırma'!$A43)</f>
        <v>0</v>
      </c>
      <c r="M43" s="7">
        <f>SUMIFS(ham_data!V:V,ham_data!$J:$J,'DETAY-yaslandırma'!$B43,ham_data!$E:$E,'DETAY-yaslandırma'!$A43)</f>
        <v>0</v>
      </c>
      <c r="N43" s="7">
        <f>SUMIFS(ham_data!W:W,ham_data!$J:$J,'DETAY-yaslandırma'!$B43,ham_data!$E:$E,'DETAY-yaslandırma'!$A43)</f>
        <v>0</v>
      </c>
      <c r="O43" s="7">
        <f>SUMIFS(ham_data!X:X,ham_data!$J:$J,'DETAY-yaslandırma'!$B43,ham_data!$E:$E,'DETAY-yaslandırma'!$A43)</f>
        <v>0</v>
      </c>
      <c r="P43" s="7">
        <f>SUMIFS(ham_data!Y:Y,ham_data!$J:$J,'DETAY-yaslandırma'!$B43,ham_data!$E:$E,'DETAY-yaslandırma'!$A43)</f>
        <v>0</v>
      </c>
      <c r="Q43" s="7">
        <f>SUMIFS(ham_data!Z:Z,ham_data!$J:$J,'DETAY-yaslandırma'!$B43,ham_data!$E:$E,'DETAY-yaslandırma'!$A43)</f>
        <v>0</v>
      </c>
      <c r="R43" s="7">
        <f>SUMIFS(ham_data!AA:AA,ham_data!$J:$J,'DETAY-yaslandırma'!$B43,ham_data!$E:$E,'DETAY-yaslandırma'!$A43)</f>
        <v>0</v>
      </c>
      <c r="S43" s="3">
        <f>SUMIFS(DETAY!E:E,DETAY!A:A,'DETAY-yaslandırma'!A43,DETAY!B:B,'DETAY-yaslandırma'!B43)</f>
        <v>0</v>
      </c>
      <c r="T43" s="3">
        <f t="shared" si="4"/>
        <v>0</v>
      </c>
      <c r="U43" s="11">
        <f t="shared" si="5"/>
        <v>0</v>
      </c>
    </row>
    <row r="44" spans="1:21" x14ac:dyDescent="0.35">
      <c r="A44" s="10" t="s">
        <v>129</v>
      </c>
      <c r="B44" s="2" t="s">
        <v>11</v>
      </c>
      <c r="C44" s="5">
        <f>SUMIFS(DETAY!C:C,DETAY!A:A,'DETAY-yaslandırma'!A44,DETAY!B:B,'DETAY-yaslandırma'!B44)</f>
        <v>14320</v>
      </c>
      <c r="D44" s="5">
        <f>SUMIFS(ham_data!AB:AB,ham_data!$J:$J,'DETAY-yaslandırma'!$B44,ham_data!$E:$E,'DETAY-yaslandırma'!$A44)</f>
        <v>0</v>
      </c>
      <c r="E44" s="5">
        <f>SUMIFS(ham_data!AC:AC,ham_data!$J:$J,'DETAY-yaslandırma'!$B44,ham_data!$E:$E,'DETAY-yaslandırma'!$A44)</f>
        <v>0</v>
      </c>
      <c r="F44" s="5">
        <f>SUMIFS(ham_data!AD:AD,ham_data!$J:$J,'DETAY-yaslandırma'!$B44,ham_data!$E:$E,'DETAY-yaslandırma'!$A44)</f>
        <v>0</v>
      </c>
      <c r="G44" s="5">
        <f>SUMIFS(ham_data!AE:AE,ham_data!$J:$J,'DETAY-yaslandırma'!$B44,ham_data!$E:$E,'DETAY-yaslandırma'!$A44)</f>
        <v>0</v>
      </c>
      <c r="H44" s="5">
        <f>SUMIFS(ham_data!AF:AF,ham_data!$J:$J,'DETAY-yaslandırma'!$B44,ham_data!$E:$E,'DETAY-yaslandırma'!$A44)</f>
        <v>0</v>
      </c>
      <c r="I44" s="5">
        <f>SUMIFS(ham_data!AG:AG,ham_data!$J:$J,'DETAY-yaslandırma'!$B44,ham_data!$E:$E,'DETAY-yaslandırma'!$A44)</f>
        <v>0</v>
      </c>
      <c r="J44" s="5">
        <f>SUMIFS(ham_data!AH:AH,ham_data!$J:$J,'DETAY-yaslandırma'!$B44,ham_data!$E:$E,'DETAY-yaslandırma'!$A44)</f>
        <v>14320</v>
      </c>
      <c r="K44" s="7">
        <f>SUMIFS(DETAY!D:D,DETAY!A:A,'DETAY-yaslandırma'!A44,DETAY!B:B,'DETAY-yaslandırma'!B44)</f>
        <v>0</v>
      </c>
      <c r="L44" s="7">
        <f>SUMIFS(ham_data!U:U,ham_data!$J:$J,'DETAY-yaslandırma'!$B44,ham_data!$E:$E,'DETAY-yaslandırma'!$A44)</f>
        <v>0</v>
      </c>
      <c r="M44" s="7">
        <f>SUMIFS(ham_data!V:V,ham_data!$J:$J,'DETAY-yaslandırma'!$B44,ham_data!$E:$E,'DETAY-yaslandırma'!$A44)</f>
        <v>0</v>
      </c>
      <c r="N44" s="7">
        <f>SUMIFS(ham_data!W:W,ham_data!$J:$J,'DETAY-yaslandırma'!$B44,ham_data!$E:$E,'DETAY-yaslandırma'!$A44)</f>
        <v>0</v>
      </c>
      <c r="O44" s="7">
        <f>SUMIFS(ham_data!X:X,ham_data!$J:$J,'DETAY-yaslandırma'!$B44,ham_data!$E:$E,'DETAY-yaslandırma'!$A44)</f>
        <v>0</v>
      </c>
      <c r="P44" s="7">
        <f>SUMIFS(ham_data!Y:Y,ham_data!$J:$J,'DETAY-yaslandırma'!$B44,ham_data!$E:$E,'DETAY-yaslandırma'!$A44)</f>
        <v>0</v>
      </c>
      <c r="Q44" s="7">
        <f>SUMIFS(ham_data!Z:Z,ham_data!$J:$J,'DETAY-yaslandırma'!$B44,ham_data!$E:$E,'DETAY-yaslandırma'!$A44)</f>
        <v>0</v>
      </c>
      <c r="R44" s="7">
        <f>SUMIFS(ham_data!AA:AA,ham_data!$J:$J,'DETAY-yaslandırma'!$B44,ham_data!$E:$E,'DETAY-yaslandırma'!$A44)</f>
        <v>0</v>
      </c>
      <c r="S44" s="3">
        <f>SUMIFS(DETAY!E:E,DETAY!A:A,'DETAY-yaslandırma'!A44,DETAY!B:B,'DETAY-yaslandırma'!B44)</f>
        <v>14320</v>
      </c>
      <c r="T44" s="3">
        <f t="shared" si="4"/>
        <v>0</v>
      </c>
      <c r="U44" s="11">
        <f t="shared" si="5"/>
        <v>0</v>
      </c>
    </row>
    <row r="45" spans="1:21" x14ac:dyDescent="0.35">
      <c r="A45" s="10" t="s">
        <v>56</v>
      </c>
      <c r="B45" s="2" t="s">
        <v>11</v>
      </c>
      <c r="C45" s="5">
        <f>SUMIFS(DETAY!C:C,DETAY!A:A,'DETAY-yaslandırma'!A45,DETAY!B:B,'DETAY-yaslandırma'!B45)</f>
        <v>0</v>
      </c>
      <c r="D45" s="5">
        <f>SUMIFS(ham_data!AB:AB,ham_data!$J:$J,'DETAY-yaslandırma'!$B45,ham_data!$E:$E,'DETAY-yaslandırma'!$A45)</f>
        <v>0</v>
      </c>
      <c r="E45" s="5">
        <f>SUMIFS(ham_data!AC:AC,ham_data!$J:$J,'DETAY-yaslandırma'!$B45,ham_data!$E:$E,'DETAY-yaslandırma'!$A45)</f>
        <v>0</v>
      </c>
      <c r="F45" s="5">
        <f>SUMIFS(ham_data!AD:AD,ham_data!$J:$J,'DETAY-yaslandırma'!$B45,ham_data!$E:$E,'DETAY-yaslandırma'!$A45)</f>
        <v>0</v>
      </c>
      <c r="G45" s="5">
        <f>SUMIFS(ham_data!AE:AE,ham_data!$J:$J,'DETAY-yaslandırma'!$B45,ham_data!$E:$E,'DETAY-yaslandırma'!$A45)</f>
        <v>0</v>
      </c>
      <c r="H45" s="5">
        <f>SUMIFS(ham_data!AF:AF,ham_data!$J:$J,'DETAY-yaslandırma'!$B45,ham_data!$E:$E,'DETAY-yaslandırma'!$A45)</f>
        <v>0</v>
      </c>
      <c r="I45" s="5">
        <f>SUMIFS(ham_data!AG:AG,ham_data!$J:$J,'DETAY-yaslandırma'!$B45,ham_data!$E:$E,'DETAY-yaslandırma'!$A45)</f>
        <v>0</v>
      </c>
      <c r="J45" s="5">
        <f>SUMIFS(ham_data!AH:AH,ham_data!$J:$J,'DETAY-yaslandırma'!$B45,ham_data!$E:$E,'DETAY-yaslandırma'!$A45)</f>
        <v>0</v>
      </c>
      <c r="K45" s="7">
        <f>SUMIFS(DETAY!D:D,DETAY!A:A,'DETAY-yaslandırma'!A45,DETAY!B:B,'DETAY-yaslandırma'!B45)</f>
        <v>0</v>
      </c>
      <c r="L45" s="7">
        <f>SUMIFS(ham_data!U:U,ham_data!$J:$J,'DETAY-yaslandırma'!$B45,ham_data!$E:$E,'DETAY-yaslandırma'!$A45)</f>
        <v>0</v>
      </c>
      <c r="M45" s="7">
        <f>SUMIFS(ham_data!V:V,ham_data!$J:$J,'DETAY-yaslandırma'!$B45,ham_data!$E:$E,'DETAY-yaslandırma'!$A45)</f>
        <v>0</v>
      </c>
      <c r="N45" s="7">
        <f>SUMIFS(ham_data!W:W,ham_data!$J:$J,'DETAY-yaslandırma'!$B45,ham_data!$E:$E,'DETAY-yaslandırma'!$A45)</f>
        <v>0</v>
      </c>
      <c r="O45" s="7">
        <f>SUMIFS(ham_data!X:X,ham_data!$J:$J,'DETAY-yaslandırma'!$B45,ham_data!$E:$E,'DETAY-yaslandırma'!$A45)</f>
        <v>0</v>
      </c>
      <c r="P45" s="7">
        <f>SUMIFS(ham_data!Y:Y,ham_data!$J:$J,'DETAY-yaslandırma'!$B45,ham_data!$E:$E,'DETAY-yaslandırma'!$A45)</f>
        <v>0</v>
      </c>
      <c r="Q45" s="7">
        <f>SUMIFS(ham_data!Z:Z,ham_data!$J:$J,'DETAY-yaslandırma'!$B45,ham_data!$E:$E,'DETAY-yaslandırma'!$A45)</f>
        <v>0</v>
      </c>
      <c r="R45" s="7">
        <f>SUMIFS(ham_data!AA:AA,ham_data!$J:$J,'DETAY-yaslandırma'!$B45,ham_data!$E:$E,'DETAY-yaslandırma'!$A45)</f>
        <v>0</v>
      </c>
      <c r="S45" s="3">
        <f>SUMIFS(DETAY!E:E,DETAY!A:A,'DETAY-yaslandırma'!A45,DETAY!B:B,'DETAY-yaslandırma'!B45)</f>
        <v>0</v>
      </c>
      <c r="T45" s="3">
        <f t="shared" si="4"/>
        <v>0</v>
      </c>
      <c r="U45" s="11">
        <f t="shared" si="5"/>
        <v>0</v>
      </c>
    </row>
    <row r="46" spans="1:21" x14ac:dyDescent="0.35">
      <c r="A46" s="10" t="s">
        <v>95</v>
      </c>
      <c r="B46" s="2" t="s">
        <v>37</v>
      </c>
      <c r="C46" s="5">
        <f>SUMIFS(DETAY!C:C,DETAY!A:A,'DETAY-yaslandırma'!A46,DETAY!B:B,'DETAY-yaslandırma'!B46)</f>
        <v>0</v>
      </c>
      <c r="D46" s="5">
        <f>SUMIFS(ham_data!AB:AB,ham_data!$J:$J,'DETAY-yaslandırma'!$B46,ham_data!$E:$E,'DETAY-yaslandırma'!$A46)</f>
        <v>0</v>
      </c>
      <c r="E46" s="5">
        <f>SUMIFS(ham_data!AC:AC,ham_data!$J:$J,'DETAY-yaslandırma'!$B46,ham_data!$E:$E,'DETAY-yaslandırma'!$A46)</f>
        <v>0</v>
      </c>
      <c r="F46" s="5">
        <f>SUMIFS(ham_data!AD:AD,ham_data!$J:$J,'DETAY-yaslandırma'!$B46,ham_data!$E:$E,'DETAY-yaslandırma'!$A46)</f>
        <v>0</v>
      </c>
      <c r="G46" s="5">
        <f>SUMIFS(ham_data!AE:AE,ham_data!$J:$J,'DETAY-yaslandırma'!$B46,ham_data!$E:$E,'DETAY-yaslandırma'!$A46)</f>
        <v>0</v>
      </c>
      <c r="H46" s="5">
        <f>SUMIFS(ham_data!AF:AF,ham_data!$J:$J,'DETAY-yaslandırma'!$B46,ham_data!$E:$E,'DETAY-yaslandırma'!$A46)</f>
        <v>0</v>
      </c>
      <c r="I46" s="5">
        <f>SUMIFS(ham_data!AG:AG,ham_data!$J:$J,'DETAY-yaslandırma'!$B46,ham_data!$E:$E,'DETAY-yaslandırma'!$A46)</f>
        <v>0</v>
      </c>
      <c r="J46" s="5">
        <f>SUMIFS(ham_data!AH:AH,ham_data!$J:$J,'DETAY-yaslandırma'!$B46,ham_data!$E:$E,'DETAY-yaslandırma'!$A46)</f>
        <v>0</v>
      </c>
      <c r="K46" s="7">
        <f>SUMIFS(DETAY!D:D,DETAY!A:A,'DETAY-yaslandırma'!A46,DETAY!B:B,'DETAY-yaslandırma'!B46)</f>
        <v>3016.7799999999997</v>
      </c>
      <c r="L46" s="7">
        <f>SUMIFS(ham_data!U:U,ham_data!$J:$J,'DETAY-yaslandırma'!$B46,ham_data!$E:$E,'DETAY-yaslandırma'!$A46)</f>
        <v>2656.97</v>
      </c>
      <c r="M46" s="7">
        <f>SUMIFS(ham_data!V:V,ham_data!$J:$J,'DETAY-yaslandırma'!$B46,ham_data!$E:$E,'DETAY-yaslandırma'!$A46)</f>
        <v>359.81</v>
      </c>
      <c r="N46" s="7">
        <f>SUMIFS(ham_data!W:W,ham_data!$J:$J,'DETAY-yaslandırma'!$B46,ham_data!$E:$E,'DETAY-yaslandırma'!$A46)</f>
        <v>0</v>
      </c>
      <c r="O46" s="7">
        <f>SUMIFS(ham_data!X:X,ham_data!$J:$J,'DETAY-yaslandırma'!$B46,ham_data!$E:$E,'DETAY-yaslandırma'!$A46)</f>
        <v>0</v>
      </c>
      <c r="P46" s="7">
        <f>SUMIFS(ham_data!Y:Y,ham_data!$J:$J,'DETAY-yaslandırma'!$B46,ham_data!$E:$E,'DETAY-yaslandırma'!$A46)</f>
        <v>0</v>
      </c>
      <c r="Q46" s="7">
        <f>SUMIFS(ham_data!Z:Z,ham_data!$J:$J,'DETAY-yaslandırma'!$B46,ham_data!$E:$E,'DETAY-yaslandırma'!$A46)</f>
        <v>0</v>
      </c>
      <c r="R46" s="7">
        <f>SUMIFS(ham_data!AA:AA,ham_data!$J:$J,'DETAY-yaslandırma'!$B46,ham_data!$E:$E,'DETAY-yaslandırma'!$A46)</f>
        <v>0</v>
      </c>
      <c r="S46" s="3">
        <f>SUMIFS(DETAY!E:E,DETAY!A:A,'DETAY-yaslandırma'!A46,DETAY!B:B,'DETAY-yaslandırma'!B46)</f>
        <v>3016.7799999999997</v>
      </c>
      <c r="T46" s="3">
        <f t="shared" si="4"/>
        <v>0</v>
      </c>
      <c r="U46" s="11">
        <f t="shared" si="5"/>
        <v>0</v>
      </c>
    </row>
    <row r="47" spans="1:21" x14ac:dyDescent="0.35">
      <c r="A47" s="10" t="s">
        <v>120</v>
      </c>
      <c r="B47" s="2" t="s">
        <v>11</v>
      </c>
      <c r="C47" s="5">
        <f>SUMIFS(DETAY!C:C,DETAY!A:A,'DETAY-yaslandırma'!A47,DETAY!B:B,'DETAY-yaslandırma'!B47)</f>
        <v>53856.99</v>
      </c>
      <c r="D47" s="5">
        <f>SUMIFS(ham_data!AB:AB,ham_data!$J:$J,'DETAY-yaslandırma'!$B47,ham_data!$E:$E,'DETAY-yaslandırma'!$A47)</f>
        <v>0</v>
      </c>
      <c r="E47" s="5">
        <f>SUMIFS(ham_data!AC:AC,ham_data!$J:$J,'DETAY-yaslandırma'!$B47,ham_data!$E:$E,'DETAY-yaslandırma'!$A47)</f>
        <v>0</v>
      </c>
      <c r="F47" s="5">
        <f>SUMIFS(ham_data!AD:AD,ham_data!$J:$J,'DETAY-yaslandırma'!$B47,ham_data!$E:$E,'DETAY-yaslandırma'!$A47)</f>
        <v>0</v>
      </c>
      <c r="G47" s="5">
        <f>SUMIFS(ham_data!AE:AE,ham_data!$J:$J,'DETAY-yaslandırma'!$B47,ham_data!$E:$E,'DETAY-yaslandırma'!$A47)</f>
        <v>0</v>
      </c>
      <c r="H47" s="5">
        <f>SUMIFS(ham_data!AF:AF,ham_data!$J:$J,'DETAY-yaslandırma'!$B47,ham_data!$E:$E,'DETAY-yaslandırma'!$A47)</f>
        <v>0</v>
      </c>
      <c r="I47" s="5">
        <f>SUMIFS(ham_data!AG:AG,ham_data!$J:$J,'DETAY-yaslandırma'!$B47,ham_data!$E:$E,'DETAY-yaslandırma'!$A47)</f>
        <v>53856.99</v>
      </c>
      <c r="J47" s="5">
        <f>SUMIFS(ham_data!AH:AH,ham_data!$J:$J,'DETAY-yaslandırma'!$B47,ham_data!$E:$E,'DETAY-yaslandırma'!$A47)</f>
        <v>0</v>
      </c>
      <c r="K47" s="7">
        <f>SUMIFS(DETAY!D:D,DETAY!A:A,'DETAY-yaslandırma'!A47,DETAY!B:B,'DETAY-yaslandırma'!B47)</f>
        <v>0</v>
      </c>
      <c r="L47" s="7">
        <f>SUMIFS(ham_data!U:U,ham_data!$J:$J,'DETAY-yaslandırma'!$B47,ham_data!$E:$E,'DETAY-yaslandırma'!$A47)</f>
        <v>0</v>
      </c>
      <c r="M47" s="7">
        <f>SUMIFS(ham_data!V:V,ham_data!$J:$J,'DETAY-yaslandırma'!$B47,ham_data!$E:$E,'DETAY-yaslandırma'!$A47)</f>
        <v>0</v>
      </c>
      <c r="N47" s="7">
        <f>SUMIFS(ham_data!W:W,ham_data!$J:$J,'DETAY-yaslandırma'!$B47,ham_data!$E:$E,'DETAY-yaslandırma'!$A47)</f>
        <v>0</v>
      </c>
      <c r="O47" s="7">
        <f>SUMIFS(ham_data!X:X,ham_data!$J:$J,'DETAY-yaslandırma'!$B47,ham_data!$E:$E,'DETAY-yaslandırma'!$A47)</f>
        <v>0</v>
      </c>
      <c r="P47" s="7">
        <f>SUMIFS(ham_data!Y:Y,ham_data!$J:$J,'DETAY-yaslandırma'!$B47,ham_data!$E:$E,'DETAY-yaslandırma'!$A47)</f>
        <v>0</v>
      </c>
      <c r="Q47" s="7">
        <f>SUMIFS(ham_data!Z:Z,ham_data!$J:$J,'DETAY-yaslandırma'!$B47,ham_data!$E:$E,'DETAY-yaslandırma'!$A47)</f>
        <v>0</v>
      </c>
      <c r="R47" s="7">
        <f>SUMIFS(ham_data!AA:AA,ham_data!$J:$J,'DETAY-yaslandırma'!$B47,ham_data!$E:$E,'DETAY-yaslandırma'!$A47)</f>
        <v>0</v>
      </c>
      <c r="S47" s="3">
        <f>SUMIFS(DETAY!E:E,DETAY!A:A,'DETAY-yaslandırma'!A47,DETAY!B:B,'DETAY-yaslandırma'!B47)</f>
        <v>53856.99</v>
      </c>
      <c r="T47" s="3">
        <f t="shared" si="4"/>
        <v>0</v>
      </c>
      <c r="U47" s="11">
        <f t="shared" si="5"/>
        <v>0</v>
      </c>
    </row>
    <row r="48" spans="1:21" x14ac:dyDescent="0.35">
      <c r="A48" s="10" t="s">
        <v>124</v>
      </c>
      <c r="B48" s="2" t="s">
        <v>11</v>
      </c>
      <c r="C48" s="5">
        <f>SUMIFS(DETAY!C:C,DETAY!A:A,'DETAY-yaslandırma'!A48,DETAY!B:B,'DETAY-yaslandırma'!B48)</f>
        <v>42922.720000000001</v>
      </c>
      <c r="D48" s="5">
        <f>SUMIFS(ham_data!AB:AB,ham_data!$J:$J,'DETAY-yaslandırma'!$B48,ham_data!$E:$E,'DETAY-yaslandırma'!$A48)</f>
        <v>0</v>
      </c>
      <c r="E48" s="5">
        <f>SUMIFS(ham_data!AC:AC,ham_data!$J:$J,'DETAY-yaslandırma'!$B48,ham_data!$E:$E,'DETAY-yaslandırma'!$A48)</f>
        <v>0</v>
      </c>
      <c r="F48" s="5">
        <f>SUMIFS(ham_data!AD:AD,ham_data!$J:$J,'DETAY-yaslandırma'!$B48,ham_data!$E:$E,'DETAY-yaslandırma'!$A48)</f>
        <v>0</v>
      </c>
      <c r="G48" s="5">
        <f>SUMIFS(ham_data!AE:AE,ham_data!$J:$J,'DETAY-yaslandırma'!$B48,ham_data!$E:$E,'DETAY-yaslandırma'!$A48)</f>
        <v>2655.36</v>
      </c>
      <c r="H48" s="5">
        <f>SUMIFS(ham_data!AF:AF,ham_data!$J:$J,'DETAY-yaslandırma'!$B48,ham_data!$E:$E,'DETAY-yaslandırma'!$A48)</f>
        <v>0</v>
      </c>
      <c r="I48" s="5">
        <f>SUMIFS(ham_data!AG:AG,ham_data!$J:$J,'DETAY-yaslandırma'!$B48,ham_data!$E:$E,'DETAY-yaslandırma'!$A48)</f>
        <v>38376.399999999994</v>
      </c>
      <c r="J48" s="5">
        <f>SUMIFS(ham_data!AH:AH,ham_data!$J:$J,'DETAY-yaslandırma'!$B48,ham_data!$E:$E,'DETAY-yaslandırma'!$A48)</f>
        <v>1890.96</v>
      </c>
      <c r="K48" s="7">
        <f>SUMIFS(DETAY!D:D,DETAY!A:A,'DETAY-yaslandırma'!A48,DETAY!B:B,'DETAY-yaslandırma'!B48)</f>
        <v>0</v>
      </c>
      <c r="L48" s="7">
        <f>SUMIFS(ham_data!U:U,ham_data!$J:$J,'DETAY-yaslandırma'!$B48,ham_data!$E:$E,'DETAY-yaslandırma'!$A48)</f>
        <v>0</v>
      </c>
      <c r="M48" s="7">
        <f>SUMIFS(ham_data!V:V,ham_data!$J:$J,'DETAY-yaslandırma'!$B48,ham_data!$E:$E,'DETAY-yaslandırma'!$A48)</f>
        <v>0</v>
      </c>
      <c r="N48" s="7">
        <f>SUMIFS(ham_data!W:W,ham_data!$J:$J,'DETAY-yaslandırma'!$B48,ham_data!$E:$E,'DETAY-yaslandırma'!$A48)</f>
        <v>0</v>
      </c>
      <c r="O48" s="7">
        <f>SUMIFS(ham_data!X:X,ham_data!$J:$J,'DETAY-yaslandırma'!$B48,ham_data!$E:$E,'DETAY-yaslandırma'!$A48)</f>
        <v>0</v>
      </c>
      <c r="P48" s="7">
        <f>SUMIFS(ham_data!Y:Y,ham_data!$J:$J,'DETAY-yaslandırma'!$B48,ham_data!$E:$E,'DETAY-yaslandırma'!$A48)</f>
        <v>0</v>
      </c>
      <c r="Q48" s="7">
        <f>SUMIFS(ham_data!Z:Z,ham_data!$J:$J,'DETAY-yaslandırma'!$B48,ham_data!$E:$E,'DETAY-yaslandırma'!$A48)</f>
        <v>0</v>
      </c>
      <c r="R48" s="7">
        <f>SUMIFS(ham_data!AA:AA,ham_data!$J:$J,'DETAY-yaslandırma'!$B48,ham_data!$E:$E,'DETAY-yaslandırma'!$A48)</f>
        <v>0</v>
      </c>
      <c r="S48" s="3">
        <f>SUMIFS(DETAY!E:E,DETAY!A:A,'DETAY-yaslandırma'!A48,DETAY!B:B,'DETAY-yaslandırma'!B48)</f>
        <v>42922.720000000001</v>
      </c>
      <c r="T48" s="3">
        <f t="shared" si="4"/>
        <v>0</v>
      </c>
      <c r="U48" s="11">
        <f t="shared" si="5"/>
        <v>0</v>
      </c>
    </row>
    <row r="49" spans="1:21" x14ac:dyDescent="0.35">
      <c r="A49" s="10" t="s">
        <v>113</v>
      </c>
      <c r="B49" s="2" t="s">
        <v>37</v>
      </c>
      <c r="C49" s="5">
        <f>SUMIFS(DETAY!C:C,DETAY!A:A,'DETAY-yaslandırma'!A49,DETAY!B:B,'DETAY-yaslandırma'!B49)</f>
        <v>0</v>
      </c>
      <c r="D49" s="5">
        <f>SUMIFS(ham_data!AB:AB,ham_data!$J:$J,'DETAY-yaslandırma'!$B49,ham_data!$E:$E,'DETAY-yaslandırma'!$A49)</f>
        <v>0</v>
      </c>
      <c r="E49" s="5">
        <f>SUMIFS(ham_data!AC:AC,ham_data!$J:$J,'DETAY-yaslandırma'!$B49,ham_data!$E:$E,'DETAY-yaslandırma'!$A49)</f>
        <v>0</v>
      </c>
      <c r="F49" s="5">
        <f>SUMIFS(ham_data!AD:AD,ham_data!$J:$J,'DETAY-yaslandırma'!$B49,ham_data!$E:$E,'DETAY-yaslandırma'!$A49)</f>
        <v>0</v>
      </c>
      <c r="G49" s="5">
        <f>SUMIFS(ham_data!AE:AE,ham_data!$J:$J,'DETAY-yaslandırma'!$B49,ham_data!$E:$E,'DETAY-yaslandırma'!$A49)</f>
        <v>0</v>
      </c>
      <c r="H49" s="5">
        <f>SUMIFS(ham_data!AF:AF,ham_data!$J:$J,'DETAY-yaslandırma'!$B49,ham_data!$E:$E,'DETAY-yaslandırma'!$A49)</f>
        <v>0</v>
      </c>
      <c r="I49" s="5">
        <f>SUMIFS(ham_data!AG:AG,ham_data!$J:$J,'DETAY-yaslandırma'!$B49,ham_data!$E:$E,'DETAY-yaslandırma'!$A49)</f>
        <v>0</v>
      </c>
      <c r="J49" s="5">
        <f>SUMIFS(ham_data!AH:AH,ham_data!$J:$J,'DETAY-yaslandırma'!$B49,ham_data!$E:$E,'DETAY-yaslandırma'!$A49)</f>
        <v>0</v>
      </c>
      <c r="K49" s="7">
        <f>SUMIFS(DETAY!D:D,DETAY!A:A,'DETAY-yaslandırma'!A49,DETAY!B:B,'DETAY-yaslandırma'!B49)</f>
        <v>0</v>
      </c>
      <c r="L49" s="7">
        <f>SUMIFS(ham_data!U:U,ham_data!$J:$J,'DETAY-yaslandırma'!$B49,ham_data!$E:$E,'DETAY-yaslandırma'!$A49)</f>
        <v>0</v>
      </c>
      <c r="M49" s="7">
        <f>SUMIFS(ham_data!V:V,ham_data!$J:$J,'DETAY-yaslandırma'!$B49,ham_data!$E:$E,'DETAY-yaslandırma'!$A49)</f>
        <v>0</v>
      </c>
      <c r="N49" s="7">
        <f>SUMIFS(ham_data!W:W,ham_data!$J:$J,'DETAY-yaslandırma'!$B49,ham_data!$E:$E,'DETAY-yaslandırma'!$A49)</f>
        <v>0</v>
      </c>
      <c r="O49" s="7">
        <f>SUMIFS(ham_data!X:X,ham_data!$J:$J,'DETAY-yaslandırma'!$B49,ham_data!$E:$E,'DETAY-yaslandırma'!$A49)</f>
        <v>0</v>
      </c>
      <c r="P49" s="7">
        <f>SUMIFS(ham_data!Y:Y,ham_data!$J:$J,'DETAY-yaslandırma'!$B49,ham_data!$E:$E,'DETAY-yaslandırma'!$A49)</f>
        <v>0</v>
      </c>
      <c r="Q49" s="7">
        <f>SUMIFS(ham_data!Z:Z,ham_data!$J:$J,'DETAY-yaslandırma'!$B49,ham_data!$E:$E,'DETAY-yaslandırma'!$A49)</f>
        <v>0</v>
      </c>
      <c r="R49" s="7">
        <f>SUMIFS(ham_data!AA:AA,ham_data!$J:$J,'DETAY-yaslandırma'!$B49,ham_data!$E:$E,'DETAY-yaslandırma'!$A49)</f>
        <v>0</v>
      </c>
      <c r="S49" s="3">
        <f>SUMIFS(DETAY!E:E,DETAY!A:A,'DETAY-yaslandırma'!A49,DETAY!B:B,'DETAY-yaslandırma'!B49)</f>
        <v>0</v>
      </c>
      <c r="T49" s="3">
        <f t="shared" si="4"/>
        <v>0</v>
      </c>
      <c r="U49" s="11">
        <f t="shared" si="5"/>
        <v>0</v>
      </c>
    </row>
    <row r="50" spans="1:21" x14ac:dyDescent="0.35">
      <c r="A50" s="10" t="s">
        <v>146</v>
      </c>
      <c r="B50" s="2" t="s">
        <v>11</v>
      </c>
      <c r="C50" s="5">
        <f>SUMIFS(DETAY!C:C,DETAY!A:A,'DETAY-yaslandırma'!A50,DETAY!B:B,'DETAY-yaslandırma'!B50)</f>
        <v>0</v>
      </c>
      <c r="D50" s="5">
        <f>SUMIFS(ham_data!AB:AB,ham_data!$J:$J,'DETAY-yaslandırma'!$B50,ham_data!$E:$E,'DETAY-yaslandırma'!$A50)</f>
        <v>0</v>
      </c>
      <c r="E50" s="5">
        <f>SUMIFS(ham_data!AC:AC,ham_data!$J:$J,'DETAY-yaslandırma'!$B50,ham_data!$E:$E,'DETAY-yaslandırma'!$A50)</f>
        <v>0</v>
      </c>
      <c r="F50" s="5">
        <f>SUMIFS(ham_data!AD:AD,ham_data!$J:$J,'DETAY-yaslandırma'!$B50,ham_data!$E:$E,'DETAY-yaslandırma'!$A50)</f>
        <v>0</v>
      </c>
      <c r="G50" s="5">
        <f>SUMIFS(ham_data!AE:AE,ham_data!$J:$J,'DETAY-yaslandırma'!$B50,ham_data!$E:$E,'DETAY-yaslandırma'!$A50)</f>
        <v>0</v>
      </c>
      <c r="H50" s="5">
        <f>SUMIFS(ham_data!AF:AF,ham_data!$J:$J,'DETAY-yaslandırma'!$B50,ham_data!$E:$E,'DETAY-yaslandırma'!$A50)</f>
        <v>0</v>
      </c>
      <c r="I50" s="5">
        <f>SUMIFS(ham_data!AG:AG,ham_data!$J:$J,'DETAY-yaslandırma'!$B50,ham_data!$E:$E,'DETAY-yaslandırma'!$A50)</f>
        <v>0</v>
      </c>
      <c r="J50" s="5">
        <f>SUMIFS(ham_data!AH:AH,ham_data!$J:$J,'DETAY-yaslandırma'!$B50,ham_data!$E:$E,'DETAY-yaslandırma'!$A50)</f>
        <v>0</v>
      </c>
      <c r="K50" s="7">
        <f>SUMIFS(DETAY!D:D,DETAY!A:A,'DETAY-yaslandırma'!A50,DETAY!B:B,'DETAY-yaslandırma'!B50)</f>
        <v>0</v>
      </c>
      <c r="L50" s="7">
        <f>SUMIFS(ham_data!U:U,ham_data!$J:$J,'DETAY-yaslandırma'!$B50,ham_data!$E:$E,'DETAY-yaslandırma'!$A50)</f>
        <v>0</v>
      </c>
      <c r="M50" s="7">
        <f>SUMIFS(ham_data!V:V,ham_data!$J:$J,'DETAY-yaslandırma'!$B50,ham_data!$E:$E,'DETAY-yaslandırma'!$A50)</f>
        <v>0</v>
      </c>
      <c r="N50" s="7">
        <f>SUMIFS(ham_data!W:W,ham_data!$J:$J,'DETAY-yaslandırma'!$B50,ham_data!$E:$E,'DETAY-yaslandırma'!$A50)</f>
        <v>0</v>
      </c>
      <c r="O50" s="7">
        <f>SUMIFS(ham_data!X:X,ham_data!$J:$J,'DETAY-yaslandırma'!$B50,ham_data!$E:$E,'DETAY-yaslandırma'!$A50)</f>
        <v>0</v>
      </c>
      <c r="P50" s="7">
        <f>SUMIFS(ham_data!Y:Y,ham_data!$J:$J,'DETAY-yaslandırma'!$B50,ham_data!$E:$E,'DETAY-yaslandırma'!$A50)</f>
        <v>0</v>
      </c>
      <c r="Q50" s="7">
        <f>SUMIFS(ham_data!Z:Z,ham_data!$J:$J,'DETAY-yaslandırma'!$B50,ham_data!$E:$E,'DETAY-yaslandırma'!$A50)</f>
        <v>0</v>
      </c>
      <c r="R50" s="7">
        <f>SUMIFS(ham_data!AA:AA,ham_data!$J:$J,'DETAY-yaslandırma'!$B50,ham_data!$E:$E,'DETAY-yaslandırma'!$A50)</f>
        <v>0</v>
      </c>
      <c r="S50" s="3">
        <f>SUMIFS(DETAY!E:E,DETAY!A:A,'DETAY-yaslandırma'!A50,DETAY!B:B,'DETAY-yaslandırma'!B50)</f>
        <v>0</v>
      </c>
      <c r="T50" s="3">
        <f t="shared" si="4"/>
        <v>0</v>
      </c>
      <c r="U50" s="11">
        <f t="shared" si="5"/>
        <v>0</v>
      </c>
    </row>
    <row r="51" spans="1:21" x14ac:dyDescent="0.35">
      <c r="A51" s="10" t="s">
        <v>134</v>
      </c>
      <c r="B51" s="2" t="s">
        <v>11</v>
      </c>
      <c r="C51" s="5">
        <f>SUMIFS(DETAY!C:C,DETAY!A:A,'DETAY-yaslandırma'!A51,DETAY!B:B,'DETAY-yaslandırma'!B51)</f>
        <v>34675</v>
      </c>
      <c r="D51" s="5">
        <f>SUMIFS(ham_data!AB:AB,ham_data!$J:$J,'DETAY-yaslandırma'!$B51,ham_data!$E:$E,'DETAY-yaslandırma'!$A51)</f>
        <v>0</v>
      </c>
      <c r="E51" s="5">
        <f>SUMIFS(ham_data!AC:AC,ham_data!$J:$J,'DETAY-yaslandırma'!$B51,ham_data!$E:$E,'DETAY-yaslandırma'!$A51)</f>
        <v>34675</v>
      </c>
      <c r="F51" s="5">
        <f>SUMIFS(ham_data!AD:AD,ham_data!$J:$J,'DETAY-yaslandırma'!$B51,ham_data!$E:$E,'DETAY-yaslandırma'!$A51)</f>
        <v>0</v>
      </c>
      <c r="G51" s="5">
        <f>SUMIFS(ham_data!AE:AE,ham_data!$J:$J,'DETAY-yaslandırma'!$B51,ham_data!$E:$E,'DETAY-yaslandırma'!$A51)</f>
        <v>0</v>
      </c>
      <c r="H51" s="5">
        <f>SUMIFS(ham_data!AF:AF,ham_data!$J:$J,'DETAY-yaslandırma'!$B51,ham_data!$E:$E,'DETAY-yaslandırma'!$A51)</f>
        <v>0</v>
      </c>
      <c r="I51" s="5">
        <f>SUMIFS(ham_data!AG:AG,ham_data!$J:$J,'DETAY-yaslandırma'!$B51,ham_data!$E:$E,'DETAY-yaslandırma'!$A51)</f>
        <v>0</v>
      </c>
      <c r="J51" s="5">
        <f>SUMIFS(ham_data!AH:AH,ham_data!$J:$J,'DETAY-yaslandırma'!$B51,ham_data!$E:$E,'DETAY-yaslandırma'!$A51)</f>
        <v>0</v>
      </c>
      <c r="K51" s="7">
        <f>SUMIFS(DETAY!D:D,DETAY!A:A,'DETAY-yaslandırma'!A51,DETAY!B:B,'DETAY-yaslandırma'!B51)</f>
        <v>106000</v>
      </c>
      <c r="L51" s="7">
        <f>SUMIFS(ham_data!U:U,ham_data!$J:$J,'DETAY-yaslandırma'!$B51,ham_data!$E:$E,'DETAY-yaslandırma'!$A51)</f>
        <v>106000</v>
      </c>
      <c r="M51" s="7">
        <f>SUMIFS(ham_data!V:V,ham_data!$J:$J,'DETAY-yaslandırma'!$B51,ham_data!$E:$E,'DETAY-yaslandırma'!$A51)</f>
        <v>0</v>
      </c>
      <c r="N51" s="7">
        <f>SUMIFS(ham_data!W:W,ham_data!$J:$J,'DETAY-yaslandırma'!$B51,ham_data!$E:$E,'DETAY-yaslandırma'!$A51)</f>
        <v>0</v>
      </c>
      <c r="O51" s="7">
        <f>SUMIFS(ham_data!X:X,ham_data!$J:$J,'DETAY-yaslandırma'!$B51,ham_data!$E:$E,'DETAY-yaslandırma'!$A51)</f>
        <v>0</v>
      </c>
      <c r="P51" s="7">
        <f>SUMIFS(ham_data!Y:Y,ham_data!$J:$J,'DETAY-yaslandırma'!$B51,ham_data!$E:$E,'DETAY-yaslandırma'!$A51)</f>
        <v>0</v>
      </c>
      <c r="Q51" s="7">
        <f>SUMIFS(ham_data!Z:Z,ham_data!$J:$J,'DETAY-yaslandırma'!$B51,ham_data!$E:$E,'DETAY-yaslandırma'!$A51)</f>
        <v>0</v>
      </c>
      <c r="R51" s="7">
        <f>SUMIFS(ham_data!AA:AA,ham_data!$J:$J,'DETAY-yaslandırma'!$B51,ham_data!$E:$E,'DETAY-yaslandırma'!$A51)</f>
        <v>0</v>
      </c>
      <c r="S51" s="3">
        <f>SUMIFS(DETAY!E:E,DETAY!A:A,'DETAY-yaslandırma'!A51,DETAY!B:B,'DETAY-yaslandırma'!B51)</f>
        <v>140675</v>
      </c>
      <c r="T51" s="3">
        <f t="shared" si="4"/>
        <v>0</v>
      </c>
      <c r="U51" s="11">
        <f t="shared" si="5"/>
        <v>0</v>
      </c>
    </row>
    <row r="52" spans="1:21" x14ac:dyDescent="0.35">
      <c r="A52" s="10" t="s">
        <v>139</v>
      </c>
      <c r="B52" s="2" t="s">
        <v>11</v>
      </c>
      <c r="C52" s="5">
        <f>SUMIFS(DETAY!C:C,DETAY!A:A,'DETAY-yaslandırma'!A52,DETAY!B:B,'DETAY-yaslandırma'!B52)</f>
        <v>886.78</v>
      </c>
      <c r="D52" s="5">
        <f>SUMIFS(ham_data!AB:AB,ham_data!$J:$J,'DETAY-yaslandırma'!$B52,ham_data!$E:$E,'DETAY-yaslandırma'!$A52)</f>
        <v>0</v>
      </c>
      <c r="E52" s="5">
        <f>SUMIFS(ham_data!AC:AC,ham_data!$J:$J,'DETAY-yaslandırma'!$B52,ham_data!$E:$E,'DETAY-yaslandırma'!$A52)</f>
        <v>0</v>
      </c>
      <c r="F52" s="5">
        <f>SUMIFS(ham_data!AD:AD,ham_data!$J:$J,'DETAY-yaslandırma'!$B52,ham_data!$E:$E,'DETAY-yaslandırma'!$A52)</f>
        <v>0</v>
      </c>
      <c r="G52" s="5">
        <f>SUMIFS(ham_data!AE:AE,ham_data!$J:$J,'DETAY-yaslandırma'!$B52,ham_data!$E:$E,'DETAY-yaslandırma'!$A52)</f>
        <v>0</v>
      </c>
      <c r="H52" s="5">
        <f>SUMIFS(ham_data!AF:AF,ham_data!$J:$J,'DETAY-yaslandırma'!$B52,ham_data!$E:$E,'DETAY-yaslandırma'!$A52)</f>
        <v>0</v>
      </c>
      <c r="I52" s="5">
        <f>SUMIFS(ham_data!AG:AG,ham_data!$J:$J,'DETAY-yaslandırma'!$B52,ham_data!$E:$E,'DETAY-yaslandırma'!$A52)</f>
        <v>0</v>
      </c>
      <c r="J52" s="5">
        <f>SUMIFS(ham_data!AH:AH,ham_data!$J:$J,'DETAY-yaslandırma'!$B52,ham_data!$E:$E,'DETAY-yaslandırma'!$A52)</f>
        <v>886.78</v>
      </c>
      <c r="K52" s="7">
        <f>SUMIFS(DETAY!D:D,DETAY!A:A,'DETAY-yaslandırma'!A52,DETAY!B:B,'DETAY-yaslandırma'!B52)</f>
        <v>0</v>
      </c>
      <c r="L52" s="7">
        <f>SUMIFS(ham_data!U:U,ham_data!$J:$J,'DETAY-yaslandırma'!$B52,ham_data!$E:$E,'DETAY-yaslandırma'!$A52)</f>
        <v>0</v>
      </c>
      <c r="M52" s="7">
        <f>SUMIFS(ham_data!V:V,ham_data!$J:$J,'DETAY-yaslandırma'!$B52,ham_data!$E:$E,'DETAY-yaslandırma'!$A52)</f>
        <v>0</v>
      </c>
      <c r="N52" s="7">
        <f>SUMIFS(ham_data!W:W,ham_data!$J:$J,'DETAY-yaslandırma'!$B52,ham_data!$E:$E,'DETAY-yaslandırma'!$A52)</f>
        <v>0</v>
      </c>
      <c r="O52" s="7">
        <f>SUMIFS(ham_data!X:X,ham_data!$J:$J,'DETAY-yaslandırma'!$B52,ham_data!$E:$E,'DETAY-yaslandırma'!$A52)</f>
        <v>0</v>
      </c>
      <c r="P52" s="7">
        <f>SUMIFS(ham_data!Y:Y,ham_data!$J:$J,'DETAY-yaslandırma'!$B52,ham_data!$E:$E,'DETAY-yaslandırma'!$A52)</f>
        <v>0</v>
      </c>
      <c r="Q52" s="7">
        <f>SUMIFS(ham_data!Z:Z,ham_data!$J:$J,'DETAY-yaslandırma'!$B52,ham_data!$E:$E,'DETAY-yaslandırma'!$A52)</f>
        <v>0</v>
      </c>
      <c r="R52" s="7">
        <f>SUMIFS(ham_data!AA:AA,ham_data!$J:$J,'DETAY-yaslandırma'!$B52,ham_data!$E:$E,'DETAY-yaslandırma'!$A52)</f>
        <v>0</v>
      </c>
      <c r="S52" s="3">
        <f>SUMIFS(DETAY!E:E,DETAY!A:A,'DETAY-yaslandırma'!A52,DETAY!B:B,'DETAY-yaslandırma'!B52)</f>
        <v>886.78</v>
      </c>
      <c r="T52" s="3">
        <f t="shared" si="4"/>
        <v>0</v>
      </c>
      <c r="U52" s="11">
        <f t="shared" si="5"/>
        <v>0</v>
      </c>
    </row>
    <row r="53" spans="1:21" x14ac:dyDescent="0.35">
      <c r="A53" s="10" t="s">
        <v>151</v>
      </c>
      <c r="B53" s="2" t="s">
        <v>11</v>
      </c>
      <c r="C53" s="5">
        <f>SUMIFS(DETAY!C:C,DETAY!A:A,'DETAY-yaslandırma'!A53,DETAY!B:B,'DETAY-yaslandırma'!B53)</f>
        <v>0</v>
      </c>
      <c r="D53" s="5">
        <f>SUMIFS(ham_data!AB:AB,ham_data!$J:$J,'DETAY-yaslandırma'!$B53,ham_data!$E:$E,'DETAY-yaslandırma'!$A53)</f>
        <v>0</v>
      </c>
      <c r="E53" s="5">
        <f>SUMIFS(ham_data!AC:AC,ham_data!$J:$J,'DETAY-yaslandırma'!$B53,ham_data!$E:$E,'DETAY-yaslandırma'!$A53)</f>
        <v>0</v>
      </c>
      <c r="F53" s="5">
        <f>SUMIFS(ham_data!AD:AD,ham_data!$J:$J,'DETAY-yaslandırma'!$B53,ham_data!$E:$E,'DETAY-yaslandırma'!$A53)</f>
        <v>0</v>
      </c>
      <c r="G53" s="5">
        <f>SUMIFS(ham_data!AE:AE,ham_data!$J:$J,'DETAY-yaslandırma'!$B53,ham_data!$E:$E,'DETAY-yaslandırma'!$A53)</f>
        <v>0</v>
      </c>
      <c r="H53" s="5">
        <f>SUMIFS(ham_data!AF:AF,ham_data!$J:$J,'DETAY-yaslandırma'!$B53,ham_data!$E:$E,'DETAY-yaslandırma'!$A53)</f>
        <v>0</v>
      </c>
      <c r="I53" s="5">
        <f>SUMIFS(ham_data!AG:AG,ham_data!$J:$J,'DETAY-yaslandırma'!$B53,ham_data!$E:$E,'DETAY-yaslandırma'!$A53)</f>
        <v>0</v>
      </c>
      <c r="J53" s="5">
        <f>SUMIFS(ham_data!AH:AH,ham_data!$J:$J,'DETAY-yaslandırma'!$B53,ham_data!$E:$E,'DETAY-yaslandırma'!$A53)</f>
        <v>0</v>
      </c>
      <c r="K53" s="7">
        <f>SUMIFS(DETAY!D:D,DETAY!A:A,'DETAY-yaslandırma'!A53,DETAY!B:B,'DETAY-yaslandırma'!B53)</f>
        <v>0</v>
      </c>
      <c r="L53" s="7">
        <f>SUMIFS(ham_data!U:U,ham_data!$J:$J,'DETAY-yaslandırma'!$B53,ham_data!$E:$E,'DETAY-yaslandırma'!$A53)</f>
        <v>0</v>
      </c>
      <c r="M53" s="7">
        <f>SUMIFS(ham_data!V:V,ham_data!$J:$J,'DETAY-yaslandırma'!$B53,ham_data!$E:$E,'DETAY-yaslandırma'!$A53)</f>
        <v>0</v>
      </c>
      <c r="N53" s="7">
        <f>SUMIFS(ham_data!W:W,ham_data!$J:$J,'DETAY-yaslandırma'!$B53,ham_data!$E:$E,'DETAY-yaslandırma'!$A53)</f>
        <v>0</v>
      </c>
      <c r="O53" s="7">
        <f>SUMIFS(ham_data!X:X,ham_data!$J:$J,'DETAY-yaslandırma'!$B53,ham_data!$E:$E,'DETAY-yaslandırma'!$A53)</f>
        <v>0</v>
      </c>
      <c r="P53" s="7">
        <f>SUMIFS(ham_data!Y:Y,ham_data!$J:$J,'DETAY-yaslandırma'!$B53,ham_data!$E:$E,'DETAY-yaslandırma'!$A53)</f>
        <v>0</v>
      </c>
      <c r="Q53" s="7">
        <f>SUMIFS(ham_data!Z:Z,ham_data!$J:$J,'DETAY-yaslandırma'!$B53,ham_data!$E:$E,'DETAY-yaslandırma'!$A53)</f>
        <v>0</v>
      </c>
      <c r="R53" s="7">
        <f>SUMIFS(ham_data!AA:AA,ham_data!$J:$J,'DETAY-yaslandırma'!$B53,ham_data!$E:$E,'DETAY-yaslandırma'!$A53)</f>
        <v>0</v>
      </c>
      <c r="S53" s="3">
        <f>SUMIFS(DETAY!E:E,DETAY!A:A,'DETAY-yaslandırma'!A53,DETAY!B:B,'DETAY-yaslandırma'!B53)</f>
        <v>0</v>
      </c>
      <c r="T53" s="3">
        <f t="shared" si="4"/>
        <v>0</v>
      </c>
      <c r="U53" s="11">
        <f t="shared" si="5"/>
        <v>0</v>
      </c>
    </row>
    <row r="54" spans="1:21" x14ac:dyDescent="0.35">
      <c r="A54" s="10" t="s">
        <v>32</v>
      </c>
      <c r="B54" s="2" t="s">
        <v>11</v>
      </c>
      <c r="C54" s="5">
        <f>SUMIFS(DETAY!C:C,DETAY!A:A,'DETAY-yaslandırma'!A54,DETAY!B:B,'DETAY-yaslandırma'!B54)</f>
        <v>0.02</v>
      </c>
      <c r="D54" s="5">
        <f>SUMIFS(ham_data!AB:AB,ham_data!$J:$J,'DETAY-yaslandırma'!$B54,ham_data!$E:$E,'DETAY-yaslandırma'!$A54)</f>
        <v>0</v>
      </c>
      <c r="E54" s="5">
        <f>SUMIFS(ham_data!AC:AC,ham_data!$J:$J,'DETAY-yaslandırma'!$B54,ham_data!$E:$E,'DETAY-yaslandırma'!$A54)</f>
        <v>0.02</v>
      </c>
      <c r="F54" s="5">
        <f>SUMIFS(ham_data!AD:AD,ham_data!$J:$J,'DETAY-yaslandırma'!$B54,ham_data!$E:$E,'DETAY-yaslandırma'!$A54)</f>
        <v>0</v>
      </c>
      <c r="G54" s="5">
        <f>SUMIFS(ham_data!AE:AE,ham_data!$J:$J,'DETAY-yaslandırma'!$B54,ham_data!$E:$E,'DETAY-yaslandırma'!$A54)</f>
        <v>0</v>
      </c>
      <c r="H54" s="5">
        <f>SUMIFS(ham_data!AF:AF,ham_data!$J:$J,'DETAY-yaslandırma'!$B54,ham_data!$E:$E,'DETAY-yaslandırma'!$A54)</f>
        <v>0</v>
      </c>
      <c r="I54" s="5">
        <f>SUMIFS(ham_data!AG:AG,ham_data!$J:$J,'DETAY-yaslandırma'!$B54,ham_data!$E:$E,'DETAY-yaslandırma'!$A54)</f>
        <v>0</v>
      </c>
      <c r="J54" s="5">
        <f>SUMIFS(ham_data!AH:AH,ham_data!$J:$J,'DETAY-yaslandırma'!$B54,ham_data!$E:$E,'DETAY-yaslandırma'!$A54)</f>
        <v>0</v>
      </c>
      <c r="K54" s="7">
        <f>SUMIFS(DETAY!D:D,DETAY!A:A,'DETAY-yaslandırma'!A54,DETAY!B:B,'DETAY-yaslandırma'!B54)</f>
        <v>251168.09000000003</v>
      </c>
      <c r="L54" s="7">
        <f>SUMIFS(ham_data!U:U,ham_data!$J:$J,'DETAY-yaslandırma'!$B54,ham_data!$E:$E,'DETAY-yaslandırma'!$A54)</f>
        <v>251168.09000000003</v>
      </c>
      <c r="M54" s="7">
        <f>SUMIFS(ham_data!V:V,ham_data!$J:$J,'DETAY-yaslandırma'!$B54,ham_data!$E:$E,'DETAY-yaslandırma'!$A54)</f>
        <v>0</v>
      </c>
      <c r="N54" s="7">
        <f>SUMIFS(ham_data!W:W,ham_data!$J:$J,'DETAY-yaslandırma'!$B54,ham_data!$E:$E,'DETAY-yaslandırma'!$A54)</f>
        <v>0</v>
      </c>
      <c r="O54" s="7">
        <f>SUMIFS(ham_data!X:X,ham_data!$J:$J,'DETAY-yaslandırma'!$B54,ham_data!$E:$E,'DETAY-yaslandırma'!$A54)</f>
        <v>0</v>
      </c>
      <c r="P54" s="7">
        <f>SUMIFS(ham_data!Y:Y,ham_data!$J:$J,'DETAY-yaslandırma'!$B54,ham_data!$E:$E,'DETAY-yaslandırma'!$A54)</f>
        <v>0</v>
      </c>
      <c r="Q54" s="7">
        <f>SUMIFS(ham_data!Z:Z,ham_data!$J:$J,'DETAY-yaslandırma'!$B54,ham_data!$E:$E,'DETAY-yaslandırma'!$A54)</f>
        <v>0</v>
      </c>
      <c r="R54" s="7">
        <f>SUMIFS(ham_data!AA:AA,ham_data!$J:$J,'DETAY-yaslandırma'!$B54,ham_data!$E:$E,'DETAY-yaslandırma'!$A54)</f>
        <v>0</v>
      </c>
      <c r="S54" s="3">
        <f>SUMIFS(DETAY!E:E,DETAY!A:A,'DETAY-yaslandırma'!A54,DETAY!B:B,'DETAY-yaslandırma'!B54)</f>
        <v>251168.11000000002</v>
      </c>
      <c r="T54" s="3">
        <f t="shared" si="4"/>
        <v>0</v>
      </c>
      <c r="U54" s="11">
        <f t="shared" si="5"/>
        <v>0</v>
      </c>
    </row>
    <row r="55" spans="1:21" x14ac:dyDescent="0.35">
      <c r="A55" s="10" t="s">
        <v>102</v>
      </c>
      <c r="B55" s="2" t="s">
        <v>11</v>
      </c>
      <c r="C55" s="5">
        <f>SUMIFS(DETAY!C:C,DETAY!A:A,'DETAY-yaslandırma'!A55,DETAY!B:B,'DETAY-yaslandırma'!B55)</f>
        <v>0</v>
      </c>
      <c r="D55" s="5">
        <f>SUMIFS(ham_data!AB:AB,ham_data!$J:$J,'DETAY-yaslandırma'!$B55,ham_data!$E:$E,'DETAY-yaslandırma'!$A55)</f>
        <v>0</v>
      </c>
      <c r="E55" s="5">
        <f>SUMIFS(ham_data!AC:AC,ham_data!$J:$J,'DETAY-yaslandırma'!$B55,ham_data!$E:$E,'DETAY-yaslandırma'!$A55)</f>
        <v>0</v>
      </c>
      <c r="F55" s="5">
        <f>SUMIFS(ham_data!AD:AD,ham_data!$J:$J,'DETAY-yaslandırma'!$B55,ham_data!$E:$E,'DETAY-yaslandırma'!$A55)</f>
        <v>0</v>
      </c>
      <c r="G55" s="5">
        <f>SUMIFS(ham_data!AE:AE,ham_data!$J:$J,'DETAY-yaslandırma'!$B55,ham_data!$E:$E,'DETAY-yaslandırma'!$A55)</f>
        <v>0</v>
      </c>
      <c r="H55" s="5">
        <f>SUMIFS(ham_data!AF:AF,ham_data!$J:$J,'DETAY-yaslandırma'!$B55,ham_data!$E:$E,'DETAY-yaslandırma'!$A55)</f>
        <v>0</v>
      </c>
      <c r="I55" s="5">
        <f>SUMIFS(ham_data!AG:AG,ham_data!$J:$J,'DETAY-yaslandırma'!$B55,ham_data!$E:$E,'DETAY-yaslandırma'!$A55)</f>
        <v>0</v>
      </c>
      <c r="J55" s="5">
        <f>SUMIFS(ham_data!AH:AH,ham_data!$J:$J,'DETAY-yaslandırma'!$B55,ham_data!$E:$E,'DETAY-yaslandırma'!$A55)</f>
        <v>0</v>
      </c>
      <c r="K55" s="7">
        <f>SUMIFS(DETAY!D:D,DETAY!A:A,'DETAY-yaslandırma'!A55,DETAY!B:B,'DETAY-yaslandırma'!B55)</f>
        <v>13391102.180000002</v>
      </c>
      <c r="L55" s="7">
        <f>SUMIFS(ham_data!U:U,ham_data!$J:$J,'DETAY-yaslandırma'!$B55,ham_data!$E:$E,'DETAY-yaslandırma'!$A55)</f>
        <v>13391102.180000002</v>
      </c>
      <c r="M55" s="7">
        <f>SUMIFS(ham_data!V:V,ham_data!$J:$J,'DETAY-yaslandırma'!$B55,ham_data!$E:$E,'DETAY-yaslandırma'!$A55)</f>
        <v>0</v>
      </c>
      <c r="N55" s="7">
        <f>SUMIFS(ham_data!W:W,ham_data!$J:$J,'DETAY-yaslandırma'!$B55,ham_data!$E:$E,'DETAY-yaslandırma'!$A55)</f>
        <v>0</v>
      </c>
      <c r="O55" s="7">
        <f>SUMIFS(ham_data!X:X,ham_data!$J:$J,'DETAY-yaslandırma'!$B55,ham_data!$E:$E,'DETAY-yaslandırma'!$A55)</f>
        <v>0</v>
      </c>
      <c r="P55" s="7">
        <f>SUMIFS(ham_data!Y:Y,ham_data!$J:$J,'DETAY-yaslandırma'!$B55,ham_data!$E:$E,'DETAY-yaslandırma'!$A55)</f>
        <v>0</v>
      </c>
      <c r="Q55" s="7">
        <f>SUMIFS(ham_data!Z:Z,ham_data!$J:$J,'DETAY-yaslandırma'!$B55,ham_data!$E:$E,'DETAY-yaslandırma'!$A55)</f>
        <v>0</v>
      </c>
      <c r="R55" s="7">
        <f>SUMIFS(ham_data!AA:AA,ham_data!$J:$J,'DETAY-yaslandırma'!$B55,ham_data!$E:$E,'DETAY-yaslandırma'!$A55)</f>
        <v>0</v>
      </c>
      <c r="S55" s="3">
        <f>SUMIFS(DETAY!E:E,DETAY!A:A,'DETAY-yaslandırma'!A55,DETAY!B:B,'DETAY-yaslandırma'!B55)</f>
        <v>13391102.180000002</v>
      </c>
      <c r="T55" s="3">
        <f t="shared" si="4"/>
        <v>0</v>
      </c>
      <c r="U55" s="11">
        <f t="shared" si="5"/>
        <v>0</v>
      </c>
    </row>
    <row r="56" spans="1:21" x14ac:dyDescent="0.35">
      <c r="A56" s="10" t="s">
        <v>93</v>
      </c>
      <c r="B56" s="2" t="s">
        <v>37</v>
      </c>
      <c r="C56" s="5">
        <f>SUMIFS(DETAY!C:C,DETAY!A:A,'DETAY-yaslandırma'!A56,DETAY!B:B,'DETAY-yaslandırma'!B56)</f>
        <v>0</v>
      </c>
      <c r="D56" s="5">
        <f>SUMIFS(ham_data!AB:AB,ham_data!$J:$J,'DETAY-yaslandırma'!$B56,ham_data!$E:$E,'DETAY-yaslandırma'!$A56)</f>
        <v>0</v>
      </c>
      <c r="E56" s="5">
        <f>SUMIFS(ham_data!AC:AC,ham_data!$J:$J,'DETAY-yaslandırma'!$B56,ham_data!$E:$E,'DETAY-yaslandırma'!$A56)</f>
        <v>0</v>
      </c>
      <c r="F56" s="5">
        <f>SUMIFS(ham_data!AD:AD,ham_data!$J:$J,'DETAY-yaslandırma'!$B56,ham_data!$E:$E,'DETAY-yaslandırma'!$A56)</f>
        <v>0</v>
      </c>
      <c r="G56" s="5">
        <f>SUMIFS(ham_data!AE:AE,ham_data!$J:$J,'DETAY-yaslandırma'!$B56,ham_data!$E:$E,'DETAY-yaslandırma'!$A56)</f>
        <v>0</v>
      </c>
      <c r="H56" s="5">
        <f>SUMIFS(ham_data!AF:AF,ham_data!$J:$J,'DETAY-yaslandırma'!$B56,ham_data!$E:$E,'DETAY-yaslandırma'!$A56)</f>
        <v>0</v>
      </c>
      <c r="I56" s="5">
        <f>SUMIFS(ham_data!AG:AG,ham_data!$J:$J,'DETAY-yaslandırma'!$B56,ham_data!$E:$E,'DETAY-yaslandırma'!$A56)</f>
        <v>0</v>
      </c>
      <c r="J56" s="5">
        <f>SUMIFS(ham_data!AH:AH,ham_data!$J:$J,'DETAY-yaslandırma'!$B56,ham_data!$E:$E,'DETAY-yaslandırma'!$A56)</f>
        <v>0</v>
      </c>
      <c r="K56" s="7">
        <f>SUMIFS(DETAY!D:D,DETAY!A:A,'DETAY-yaslandırma'!A56,DETAY!B:B,'DETAY-yaslandırma'!B56)</f>
        <v>341</v>
      </c>
      <c r="L56" s="7">
        <f>SUMIFS(ham_data!U:U,ham_data!$J:$J,'DETAY-yaslandırma'!$B56,ham_data!$E:$E,'DETAY-yaslandırma'!$A56)</f>
        <v>341</v>
      </c>
      <c r="M56" s="7">
        <f>SUMIFS(ham_data!V:V,ham_data!$J:$J,'DETAY-yaslandırma'!$B56,ham_data!$E:$E,'DETAY-yaslandırma'!$A56)</f>
        <v>0</v>
      </c>
      <c r="N56" s="7">
        <f>SUMIFS(ham_data!W:W,ham_data!$J:$J,'DETAY-yaslandırma'!$B56,ham_data!$E:$E,'DETAY-yaslandırma'!$A56)</f>
        <v>0</v>
      </c>
      <c r="O56" s="7">
        <f>SUMIFS(ham_data!X:X,ham_data!$J:$J,'DETAY-yaslandırma'!$B56,ham_data!$E:$E,'DETAY-yaslandırma'!$A56)</f>
        <v>0</v>
      </c>
      <c r="P56" s="7">
        <f>SUMIFS(ham_data!Y:Y,ham_data!$J:$J,'DETAY-yaslandırma'!$B56,ham_data!$E:$E,'DETAY-yaslandırma'!$A56)</f>
        <v>0</v>
      </c>
      <c r="Q56" s="7">
        <f>SUMIFS(ham_data!Z:Z,ham_data!$J:$J,'DETAY-yaslandırma'!$B56,ham_data!$E:$E,'DETAY-yaslandırma'!$A56)</f>
        <v>0</v>
      </c>
      <c r="R56" s="7">
        <f>SUMIFS(ham_data!AA:AA,ham_data!$J:$J,'DETAY-yaslandırma'!$B56,ham_data!$E:$E,'DETAY-yaslandırma'!$A56)</f>
        <v>0</v>
      </c>
      <c r="S56" s="3">
        <f>SUMIFS(DETAY!E:E,DETAY!A:A,'DETAY-yaslandırma'!A56,DETAY!B:B,'DETAY-yaslandırma'!B56)</f>
        <v>341</v>
      </c>
      <c r="T56" s="3">
        <f t="shared" si="4"/>
        <v>0</v>
      </c>
      <c r="U56" s="11">
        <f t="shared" si="5"/>
        <v>0</v>
      </c>
    </row>
    <row r="57" spans="1:21" x14ac:dyDescent="0.35">
      <c r="A57" s="10" t="s">
        <v>98</v>
      </c>
      <c r="B57" s="2" t="s">
        <v>11</v>
      </c>
      <c r="C57" s="5">
        <f>SUMIFS(DETAY!C:C,DETAY!A:A,'DETAY-yaslandırma'!A57,DETAY!B:B,'DETAY-yaslandırma'!B57)</f>
        <v>0</v>
      </c>
      <c r="D57" s="5">
        <f>SUMIFS(ham_data!AB:AB,ham_data!$J:$J,'DETAY-yaslandırma'!$B57,ham_data!$E:$E,'DETAY-yaslandırma'!$A57)</f>
        <v>0</v>
      </c>
      <c r="E57" s="5">
        <f>SUMIFS(ham_data!AC:AC,ham_data!$J:$J,'DETAY-yaslandırma'!$B57,ham_data!$E:$E,'DETAY-yaslandırma'!$A57)</f>
        <v>0</v>
      </c>
      <c r="F57" s="5">
        <f>SUMIFS(ham_data!AD:AD,ham_data!$J:$J,'DETAY-yaslandırma'!$B57,ham_data!$E:$E,'DETAY-yaslandırma'!$A57)</f>
        <v>0</v>
      </c>
      <c r="G57" s="5">
        <f>SUMIFS(ham_data!AE:AE,ham_data!$J:$J,'DETAY-yaslandırma'!$B57,ham_data!$E:$E,'DETAY-yaslandırma'!$A57)</f>
        <v>0</v>
      </c>
      <c r="H57" s="5">
        <f>SUMIFS(ham_data!AF:AF,ham_data!$J:$J,'DETAY-yaslandırma'!$B57,ham_data!$E:$E,'DETAY-yaslandırma'!$A57)</f>
        <v>0</v>
      </c>
      <c r="I57" s="5">
        <f>SUMIFS(ham_data!AG:AG,ham_data!$J:$J,'DETAY-yaslandırma'!$B57,ham_data!$E:$E,'DETAY-yaslandırma'!$A57)</f>
        <v>0</v>
      </c>
      <c r="J57" s="5">
        <f>SUMIFS(ham_data!AH:AH,ham_data!$J:$J,'DETAY-yaslandırma'!$B57,ham_data!$E:$E,'DETAY-yaslandırma'!$A57)</f>
        <v>0</v>
      </c>
      <c r="K57" s="7">
        <f>SUMIFS(DETAY!D:D,DETAY!A:A,'DETAY-yaslandırma'!A57,DETAY!B:B,'DETAY-yaslandırma'!B57)</f>
        <v>0</v>
      </c>
      <c r="L57" s="7">
        <f>SUMIFS(ham_data!U:U,ham_data!$J:$J,'DETAY-yaslandırma'!$B57,ham_data!$E:$E,'DETAY-yaslandırma'!$A57)</f>
        <v>0</v>
      </c>
      <c r="M57" s="7">
        <f>SUMIFS(ham_data!V:V,ham_data!$J:$J,'DETAY-yaslandırma'!$B57,ham_data!$E:$E,'DETAY-yaslandırma'!$A57)</f>
        <v>0</v>
      </c>
      <c r="N57" s="7">
        <f>SUMIFS(ham_data!W:W,ham_data!$J:$J,'DETAY-yaslandırma'!$B57,ham_data!$E:$E,'DETAY-yaslandırma'!$A57)</f>
        <v>0</v>
      </c>
      <c r="O57" s="7">
        <f>SUMIFS(ham_data!X:X,ham_data!$J:$J,'DETAY-yaslandırma'!$B57,ham_data!$E:$E,'DETAY-yaslandırma'!$A57)</f>
        <v>0</v>
      </c>
      <c r="P57" s="7">
        <f>SUMIFS(ham_data!Y:Y,ham_data!$J:$J,'DETAY-yaslandırma'!$B57,ham_data!$E:$E,'DETAY-yaslandırma'!$A57)</f>
        <v>0</v>
      </c>
      <c r="Q57" s="7">
        <f>SUMIFS(ham_data!Z:Z,ham_data!$J:$J,'DETAY-yaslandırma'!$B57,ham_data!$E:$E,'DETAY-yaslandırma'!$A57)</f>
        <v>0</v>
      </c>
      <c r="R57" s="7">
        <f>SUMIFS(ham_data!AA:AA,ham_data!$J:$J,'DETAY-yaslandırma'!$B57,ham_data!$E:$E,'DETAY-yaslandırma'!$A57)</f>
        <v>0</v>
      </c>
      <c r="S57" s="3">
        <f>SUMIFS(DETAY!E:E,DETAY!A:A,'DETAY-yaslandırma'!A57,DETAY!B:B,'DETAY-yaslandırma'!B57)</f>
        <v>0</v>
      </c>
      <c r="T57" s="3">
        <f t="shared" si="4"/>
        <v>0</v>
      </c>
      <c r="U57" s="11">
        <f t="shared" si="5"/>
        <v>0</v>
      </c>
    </row>
    <row r="58" spans="1:21" x14ac:dyDescent="0.35">
      <c r="A58" s="10" t="s">
        <v>99</v>
      </c>
      <c r="B58" s="2" t="s">
        <v>11</v>
      </c>
      <c r="C58" s="5">
        <f>SUMIFS(DETAY!C:C,DETAY!A:A,'DETAY-yaslandırma'!A58,DETAY!B:B,'DETAY-yaslandırma'!B58)</f>
        <v>0</v>
      </c>
      <c r="D58" s="5">
        <f>SUMIFS(ham_data!AB:AB,ham_data!$J:$J,'DETAY-yaslandırma'!$B58,ham_data!$E:$E,'DETAY-yaslandırma'!$A58)</f>
        <v>0</v>
      </c>
      <c r="E58" s="5">
        <f>SUMIFS(ham_data!AC:AC,ham_data!$J:$J,'DETAY-yaslandırma'!$B58,ham_data!$E:$E,'DETAY-yaslandırma'!$A58)</f>
        <v>0</v>
      </c>
      <c r="F58" s="5">
        <f>SUMIFS(ham_data!AD:AD,ham_data!$J:$J,'DETAY-yaslandırma'!$B58,ham_data!$E:$E,'DETAY-yaslandırma'!$A58)</f>
        <v>0</v>
      </c>
      <c r="G58" s="5">
        <f>SUMIFS(ham_data!AE:AE,ham_data!$J:$J,'DETAY-yaslandırma'!$B58,ham_data!$E:$E,'DETAY-yaslandırma'!$A58)</f>
        <v>0</v>
      </c>
      <c r="H58" s="5">
        <f>SUMIFS(ham_data!AF:AF,ham_data!$J:$J,'DETAY-yaslandırma'!$B58,ham_data!$E:$E,'DETAY-yaslandırma'!$A58)</f>
        <v>0</v>
      </c>
      <c r="I58" s="5">
        <f>SUMIFS(ham_data!AG:AG,ham_data!$J:$J,'DETAY-yaslandırma'!$B58,ham_data!$E:$E,'DETAY-yaslandırma'!$A58)</f>
        <v>0</v>
      </c>
      <c r="J58" s="5">
        <f>SUMIFS(ham_data!AH:AH,ham_data!$J:$J,'DETAY-yaslandırma'!$B58,ham_data!$E:$E,'DETAY-yaslandırma'!$A58)</f>
        <v>0</v>
      </c>
      <c r="K58" s="7">
        <f>SUMIFS(DETAY!D:D,DETAY!A:A,'DETAY-yaslandırma'!A58,DETAY!B:B,'DETAY-yaslandırma'!B58)</f>
        <v>0</v>
      </c>
      <c r="L58" s="7">
        <f>SUMIFS(ham_data!U:U,ham_data!$J:$J,'DETAY-yaslandırma'!$B58,ham_data!$E:$E,'DETAY-yaslandırma'!$A58)</f>
        <v>0</v>
      </c>
      <c r="M58" s="7">
        <f>SUMIFS(ham_data!V:V,ham_data!$J:$J,'DETAY-yaslandırma'!$B58,ham_data!$E:$E,'DETAY-yaslandırma'!$A58)</f>
        <v>0</v>
      </c>
      <c r="N58" s="7">
        <f>SUMIFS(ham_data!W:W,ham_data!$J:$J,'DETAY-yaslandırma'!$B58,ham_data!$E:$E,'DETAY-yaslandırma'!$A58)</f>
        <v>0</v>
      </c>
      <c r="O58" s="7">
        <f>SUMIFS(ham_data!X:X,ham_data!$J:$J,'DETAY-yaslandırma'!$B58,ham_data!$E:$E,'DETAY-yaslandırma'!$A58)</f>
        <v>0</v>
      </c>
      <c r="P58" s="7">
        <f>SUMIFS(ham_data!Y:Y,ham_data!$J:$J,'DETAY-yaslandırma'!$B58,ham_data!$E:$E,'DETAY-yaslandırma'!$A58)</f>
        <v>0</v>
      </c>
      <c r="Q58" s="7">
        <f>SUMIFS(ham_data!Z:Z,ham_data!$J:$J,'DETAY-yaslandırma'!$B58,ham_data!$E:$E,'DETAY-yaslandırma'!$A58)</f>
        <v>0</v>
      </c>
      <c r="R58" s="7">
        <f>SUMIFS(ham_data!AA:AA,ham_data!$J:$J,'DETAY-yaslandırma'!$B58,ham_data!$E:$E,'DETAY-yaslandırma'!$A58)</f>
        <v>0</v>
      </c>
      <c r="S58" s="3">
        <f>SUMIFS(DETAY!E:E,DETAY!A:A,'DETAY-yaslandırma'!A58,DETAY!B:B,'DETAY-yaslandırma'!B58)</f>
        <v>0</v>
      </c>
      <c r="T58" s="3">
        <f t="shared" si="4"/>
        <v>0</v>
      </c>
      <c r="U58" s="11">
        <f t="shared" si="5"/>
        <v>0</v>
      </c>
    </row>
    <row r="59" spans="1:21" x14ac:dyDescent="0.35">
      <c r="A59" s="10" t="s">
        <v>58</v>
      </c>
      <c r="B59" s="2" t="s">
        <v>11</v>
      </c>
      <c r="C59" s="5">
        <f>SUMIFS(DETAY!C:C,DETAY!A:A,'DETAY-yaslandırma'!A59,DETAY!B:B,'DETAY-yaslandırma'!B59)</f>
        <v>0</v>
      </c>
      <c r="D59" s="5">
        <f>SUMIFS(ham_data!AB:AB,ham_data!$J:$J,'DETAY-yaslandırma'!$B59,ham_data!$E:$E,'DETAY-yaslandırma'!$A59)</f>
        <v>0</v>
      </c>
      <c r="E59" s="5">
        <f>SUMIFS(ham_data!AC:AC,ham_data!$J:$J,'DETAY-yaslandırma'!$B59,ham_data!$E:$E,'DETAY-yaslandırma'!$A59)</f>
        <v>0</v>
      </c>
      <c r="F59" s="5">
        <f>SUMIFS(ham_data!AD:AD,ham_data!$J:$J,'DETAY-yaslandırma'!$B59,ham_data!$E:$E,'DETAY-yaslandırma'!$A59)</f>
        <v>0</v>
      </c>
      <c r="G59" s="5">
        <f>SUMIFS(ham_data!AE:AE,ham_data!$J:$J,'DETAY-yaslandırma'!$B59,ham_data!$E:$E,'DETAY-yaslandırma'!$A59)</f>
        <v>0</v>
      </c>
      <c r="H59" s="5">
        <f>SUMIFS(ham_data!AF:AF,ham_data!$J:$J,'DETAY-yaslandırma'!$B59,ham_data!$E:$E,'DETAY-yaslandırma'!$A59)</f>
        <v>0</v>
      </c>
      <c r="I59" s="5">
        <f>SUMIFS(ham_data!AG:AG,ham_data!$J:$J,'DETAY-yaslandırma'!$B59,ham_data!$E:$E,'DETAY-yaslandırma'!$A59)</f>
        <v>0</v>
      </c>
      <c r="J59" s="5">
        <f>SUMIFS(ham_data!AH:AH,ham_data!$J:$J,'DETAY-yaslandırma'!$B59,ham_data!$E:$E,'DETAY-yaslandırma'!$A59)</f>
        <v>0</v>
      </c>
      <c r="K59" s="7">
        <f>SUMIFS(DETAY!D:D,DETAY!A:A,'DETAY-yaslandırma'!A59,DETAY!B:B,'DETAY-yaslandırma'!B59)</f>
        <v>0</v>
      </c>
      <c r="L59" s="7">
        <f>SUMIFS(ham_data!U:U,ham_data!$J:$J,'DETAY-yaslandırma'!$B59,ham_data!$E:$E,'DETAY-yaslandırma'!$A59)</f>
        <v>0</v>
      </c>
      <c r="M59" s="7">
        <f>SUMIFS(ham_data!V:V,ham_data!$J:$J,'DETAY-yaslandırma'!$B59,ham_data!$E:$E,'DETAY-yaslandırma'!$A59)</f>
        <v>0</v>
      </c>
      <c r="N59" s="7">
        <f>SUMIFS(ham_data!W:W,ham_data!$J:$J,'DETAY-yaslandırma'!$B59,ham_data!$E:$E,'DETAY-yaslandırma'!$A59)</f>
        <v>0</v>
      </c>
      <c r="O59" s="7">
        <f>SUMIFS(ham_data!X:X,ham_data!$J:$J,'DETAY-yaslandırma'!$B59,ham_data!$E:$E,'DETAY-yaslandırma'!$A59)</f>
        <v>0</v>
      </c>
      <c r="P59" s="7">
        <f>SUMIFS(ham_data!Y:Y,ham_data!$J:$J,'DETAY-yaslandırma'!$B59,ham_data!$E:$E,'DETAY-yaslandırma'!$A59)</f>
        <v>0</v>
      </c>
      <c r="Q59" s="7">
        <f>SUMIFS(ham_data!Z:Z,ham_data!$J:$J,'DETAY-yaslandırma'!$B59,ham_data!$E:$E,'DETAY-yaslandırma'!$A59)</f>
        <v>0</v>
      </c>
      <c r="R59" s="7">
        <f>SUMIFS(ham_data!AA:AA,ham_data!$J:$J,'DETAY-yaslandırma'!$B59,ham_data!$E:$E,'DETAY-yaslandırma'!$A59)</f>
        <v>0</v>
      </c>
      <c r="S59" s="3">
        <f>SUMIFS(DETAY!E:E,DETAY!A:A,'DETAY-yaslandırma'!A59,DETAY!B:B,'DETAY-yaslandırma'!B59)</f>
        <v>0</v>
      </c>
      <c r="T59" s="3">
        <f t="shared" si="4"/>
        <v>0</v>
      </c>
      <c r="U59" s="11">
        <f t="shared" si="5"/>
        <v>0</v>
      </c>
    </row>
    <row r="60" spans="1:21" x14ac:dyDescent="0.35">
      <c r="A60" s="10" t="s">
        <v>145</v>
      </c>
      <c r="B60" s="2" t="s">
        <v>37</v>
      </c>
      <c r="C60" s="5">
        <f>SUMIFS(DETAY!C:C,DETAY!A:A,'DETAY-yaslandırma'!A60,DETAY!B:B,'DETAY-yaslandırma'!B60)</f>
        <v>0</v>
      </c>
      <c r="D60" s="5">
        <f>SUMIFS(ham_data!AB:AB,ham_data!$J:$J,'DETAY-yaslandırma'!$B60,ham_data!$E:$E,'DETAY-yaslandırma'!$A60)</f>
        <v>0</v>
      </c>
      <c r="E60" s="5">
        <f>SUMIFS(ham_data!AC:AC,ham_data!$J:$J,'DETAY-yaslandırma'!$B60,ham_data!$E:$E,'DETAY-yaslandırma'!$A60)</f>
        <v>0</v>
      </c>
      <c r="F60" s="5">
        <f>SUMIFS(ham_data!AD:AD,ham_data!$J:$J,'DETAY-yaslandırma'!$B60,ham_data!$E:$E,'DETAY-yaslandırma'!$A60)</f>
        <v>0</v>
      </c>
      <c r="G60" s="5">
        <f>SUMIFS(ham_data!AE:AE,ham_data!$J:$J,'DETAY-yaslandırma'!$B60,ham_data!$E:$E,'DETAY-yaslandırma'!$A60)</f>
        <v>0</v>
      </c>
      <c r="H60" s="5">
        <f>SUMIFS(ham_data!AF:AF,ham_data!$J:$J,'DETAY-yaslandırma'!$B60,ham_data!$E:$E,'DETAY-yaslandırma'!$A60)</f>
        <v>0</v>
      </c>
      <c r="I60" s="5">
        <f>SUMIFS(ham_data!AG:AG,ham_data!$J:$J,'DETAY-yaslandırma'!$B60,ham_data!$E:$E,'DETAY-yaslandırma'!$A60)</f>
        <v>0</v>
      </c>
      <c r="J60" s="5">
        <f>SUMIFS(ham_data!AH:AH,ham_data!$J:$J,'DETAY-yaslandırma'!$B60,ham_data!$E:$E,'DETAY-yaslandırma'!$A60)</f>
        <v>0</v>
      </c>
      <c r="K60" s="7">
        <f>SUMIFS(DETAY!D:D,DETAY!A:A,'DETAY-yaslandırma'!A60,DETAY!B:B,'DETAY-yaslandırma'!B60)</f>
        <v>7062</v>
      </c>
      <c r="L60" s="7">
        <f>SUMIFS(ham_data!U:U,ham_data!$J:$J,'DETAY-yaslandırma'!$B60,ham_data!$E:$E,'DETAY-yaslandırma'!$A60)</f>
        <v>7062</v>
      </c>
      <c r="M60" s="7">
        <f>SUMIFS(ham_data!V:V,ham_data!$J:$J,'DETAY-yaslandırma'!$B60,ham_data!$E:$E,'DETAY-yaslandırma'!$A60)</f>
        <v>0</v>
      </c>
      <c r="N60" s="7">
        <f>SUMIFS(ham_data!W:W,ham_data!$J:$J,'DETAY-yaslandırma'!$B60,ham_data!$E:$E,'DETAY-yaslandırma'!$A60)</f>
        <v>0</v>
      </c>
      <c r="O60" s="7">
        <f>SUMIFS(ham_data!X:X,ham_data!$J:$J,'DETAY-yaslandırma'!$B60,ham_data!$E:$E,'DETAY-yaslandırma'!$A60)</f>
        <v>0</v>
      </c>
      <c r="P60" s="7">
        <f>SUMIFS(ham_data!Y:Y,ham_data!$J:$J,'DETAY-yaslandırma'!$B60,ham_data!$E:$E,'DETAY-yaslandırma'!$A60)</f>
        <v>0</v>
      </c>
      <c r="Q60" s="7">
        <f>SUMIFS(ham_data!Z:Z,ham_data!$J:$J,'DETAY-yaslandırma'!$B60,ham_data!$E:$E,'DETAY-yaslandırma'!$A60)</f>
        <v>0</v>
      </c>
      <c r="R60" s="7">
        <f>SUMIFS(ham_data!AA:AA,ham_data!$J:$J,'DETAY-yaslandırma'!$B60,ham_data!$E:$E,'DETAY-yaslandırma'!$A60)</f>
        <v>0</v>
      </c>
      <c r="S60" s="3">
        <f>SUMIFS(DETAY!E:E,DETAY!A:A,'DETAY-yaslandırma'!A60,DETAY!B:B,'DETAY-yaslandırma'!B60)</f>
        <v>7062</v>
      </c>
      <c r="T60" s="3">
        <f t="shared" si="4"/>
        <v>0</v>
      </c>
      <c r="U60" s="11">
        <f t="shared" si="5"/>
        <v>0</v>
      </c>
    </row>
    <row r="61" spans="1:21" x14ac:dyDescent="0.35">
      <c r="A61" s="10" t="s">
        <v>60</v>
      </c>
      <c r="B61" s="2" t="s">
        <v>11</v>
      </c>
      <c r="C61" s="5">
        <f>SUMIFS(DETAY!C:C,DETAY!A:A,'DETAY-yaslandırma'!A61,DETAY!B:B,'DETAY-yaslandırma'!B61)</f>
        <v>0</v>
      </c>
      <c r="D61" s="5">
        <f>SUMIFS(ham_data!AB:AB,ham_data!$J:$J,'DETAY-yaslandırma'!$B61,ham_data!$E:$E,'DETAY-yaslandırma'!$A61)</f>
        <v>0</v>
      </c>
      <c r="E61" s="5">
        <f>SUMIFS(ham_data!AC:AC,ham_data!$J:$J,'DETAY-yaslandırma'!$B61,ham_data!$E:$E,'DETAY-yaslandırma'!$A61)</f>
        <v>0</v>
      </c>
      <c r="F61" s="5">
        <f>SUMIFS(ham_data!AD:AD,ham_data!$J:$J,'DETAY-yaslandırma'!$B61,ham_data!$E:$E,'DETAY-yaslandırma'!$A61)</f>
        <v>0</v>
      </c>
      <c r="G61" s="5">
        <f>SUMIFS(ham_data!AE:AE,ham_data!$J:$J,'DETAY-yaslandırma'!$B61,ham_data!$E:$E,'DETAY-yaslandırma'!$A61)</f>
        <v>0</v>
      </c>
      <c r="H61" s="5">
        <f>SUMIFS(ham_data!AF:AF,ham_data!$J:$J,'DETAY-yaslandırma'!$B61,ham_data!$E:$E,'DETAY-yaslandırma'!$A61)</f>
        <v>0</v>
      </c>
      <c r="I61" s="5">
        <f>SUMIFS(ham_data!AG:AG,ham_data!$J:$J,'DETAY-yaslandırma'!$B61,ham_data!$E:$E,'DETAY-yaslandırma'!$A61)</f>
        <v>0</v>
      </c>
      <c r="J61" s="5">
        <f>SUMIFS(ham_data!AH:AH,ham_data!$J:$J,'DETAY-yaslandırma'!$B61,ham_data!$E:$E,'DETAY-yaslandırma'!$A61)</f>
        <v>0</v>
      </c>
      <c r="K61" s="7">
        <f>SUMIFS(DETAY!D:D,DETAY!A:A,'DETAY-yaslandırma'!A61,DETAY!B:B,'DETAY-yaslandırma'!B61)</f>
        <v>651512.69999999995</v>
      </c>
      <c r="L61" s="7">
        <f>SUMIFS(ham_data!U:U,ham_data!$J:$J,'DETAY-yaslandırma'!$B61,ham_data!$E:$E,'DETAY-yaslandırma'!$A61)</f>
        <v>276822.71999999997</v>
      </c>
      <c r="M61" s="7">
        <f>SUMIFS(ham_data!V:V,ham_data!$J:$J,'DETAY-yaslandırma'!$B61,ham_data!$E:$E,'DETAY-yaslandırma'!$A61)</f>
        <v>0</v>
      </c>
      <c r="N61" s="7">
        <f>SUMIFS(ham_data!W:W,ham_data!$J:$J,'DETAY-yaslandırma'!$B61,ham_data!$E:$E,'DETAY-yaslandırma'!$A61)</f>
        <v>374689.98</v>
      </c>
      <c r="O61" s="7">
        <f>SUMIFS(ham_data!X:X,ham_data!$J:$J,'DETAY-yaslandırma'!$B61,ham_data!$E:$E,'DETAY-yaslandırma'!$A61)</f>
        <v>0</v>
      </c>
      <c r="P61" s="7">
        <f>SUMIFS(ham_data!Y:Y,ham_data!$J:$J,'DETAY-yaslandırma'!$B61,ham_data!$E:$E,'DETAY-yaslandırma'!$A61)</f>
        <v>0</v>
      </c>
      <c r="Q61" s="7">
        <f>SUMIFS(ham_data!Z:Z,ham_data!$J:$J,'DETAY-yaslandırma'!$B61,ham_data!$E:$E,'DETAY-yaslandırma'!$A61)</f>
        <v>0</v>
      </c>
      <c r="R61" s="7">
        <f>SUMIFS(ham_data!AA:AA,ham_data!$J:$J,'DETAY-yaslandırma'!$B61,ham_data!$E:$E,'DETAY-yaslandırma'!$A61)</f>
        <v>0</v>
      </c>
      <c r="S61" s="3">
        <f>SUMIFS(DETAY!E:E,DETAY!A:A,'DETAY-yaslandırma'!A61,DETAY!B:B,'DETAY-yaslandırma'!B61)</f>
        <v>651512.69999999995</v>
      </c>
      <c r="T61" s="3">
        <f t="shared" si="4"/>
        <v>0</v>
      </c>
      <c r="U61" s="11">
        <f t="shared" si="5"/>
        <v>0</v>
      </c>
    </row>
    <row r="62" spans="1:21" x14ac:dyDescent="0.35">
      <c r="A62" s="10" t="s">
        <v>74</v>
      </c>
      <c r="B62" s="2" t="s">
        <v>11</v>
      </c>
      <c r="C62" s="5">
        <f>SUMIFS(DETAY!C:C,DETAY!A:A,'DETAY-yaslandırma'!A62,DETAY!B:B,'DETAY-yaslandırma'!B62)</f>
        <v>0</v>
      </c>
      <c r="D62" s="5">
        <f>SUMIFS(ham_data!AB:AB,ham_data!$J:$J,'DETAY-yaslandırma'!$B62,ham_data!$E:$E,'DETAY-yaslandırma'!$A62)</f>
        <v>0</v>
      </c>
      <c r="E62" s="5">
        <f>SUMIFS(ham_data!AC:AC,ham_data!$J:$J,'DETAY-yaslandırma'!$B62,ham_data!$E:$E,'DETAY-yaslandırma'!$A62)</f>
        <v>0</v>
      </c>
      <c r="F62" s="5">
        <f>SUMIFS(ham_data!AD:AD,ham_data!$J:$J,'DETAY-yaslandırma'!$B62,ham_data!$E:$E,'DETAY-yaslandırma'!$A62)</f>
        <v>0</v>
      </c>
      <c r="G62" s="5">
        <f>SUMIFS(ham_data!AE:AE,ham_data!$J:$J,'DETAY-yaslandırma'!$B62,ham_data!$E:$E,'DETAY-yaslandırma'!$A62)</f>
        <v>0</v>
      </c>
      <c r="H62" s="5">
        <f>SUMIFS(ham_data!AF:AF,ham_data!$J:$J,'DETAY-yaslandırma'!$B62,ham_data!$E:$E,'DETAY-yaslandırma'!$A62)</f>
        <v>0</v>
      </c>
      <c r="I62" s="5">
        <f>SUMIFS(ham_data!AG:AG,ham_data!$J:$J,'DETAY-yaslandırma'!$B62,ham_data!$E:$E,'DETAY-yaslandırma'!$A62)</f>
        <v>0</v>
      </c>
      <c r="J62" s="5">
        <f>SUMIFS(ham_data!AH:AH,ham_data!$J:$J,'DETAY-yaslandırma'!$B62,ham_data!$E:$E,'DETAY-yaslandırma'!$A62)</f>
        <v>0</v>
      </c>
      <c r="K62" s="7">
        <f>SUMIFS(DETAY!D:D,DETAY!A:A,'DETAY-yaslandırma'!A62,DETAY!B:B,'DETAY-yaslandırma'!B62)</f>
        <v>1648018.4999999998</v>
      </c>
      <c r="L62" s="7">
        <f>SUMIFS(ham_data!U:U,ham_data!$J:$J,'DETAY-yaslandırma'!$B62,ham_data!$E:$E,'DETAY-yaslandırma'!$A62)</f>
        <v>0</v>
      </c>
      <c r="M62" s="7">
        <f>SUMIFS(ham_data!V:V,ham_data!$J:$J,'DETAY-yaslandırma'!$B62,ham_data!$E:$E,'DETAY-yaslandırma'!$A62)</f>
        <v>1648018.4999999998</v>
      </c>
      <c r="N62" s="7">
        <f>SUMIFS(ham_data!W:W,ham_data!$J:$J,'DETAY-yaslandırma'!$B62,ham_data!$E:$E,'DETAY-yaslandırma'!$A62)</f>
        <v>0</v>
      </c>
      <c r="O62" s="7">
        <f>SUMIFS(ham_data!X:X,ham_data!$J:$J,'DETAY-yaslandırma'!$B62,ham_data!$E:$E,'DETAY-yaslandırma'!$A62)</f>
        <v>0</v>
      </c>
      <c r="P62" s="7">
        <f>SUMIFS(ham_data!Y:Y,ham_data!$J:$J,'DETAY-yaslandırma'!$B62,ham_data!$E:$E,'DETAY-yaslandırma'!$A62)</f>
        <v>0</v>
      </c>
      <c r="Q62" s="7">
        <f>SUMIFS(ham_data!Z:Z,ham_data!$J:$J,'DETAY-yaslandırma'!$B62,ham_data!$E:$E,'DETAY-yaslandırma'!$A62)</f>
        <v>0</v>
      </c>
      <c r="R62" s="7">
        <f>SUMIFS(ham_data!AA:AA,ham_data!$J:$J,'DETAY-yaslandırma'!$B62,ham_data!$E:$E,'DETAY-yaslandırma'!$A62)</f>
        <v>0</v>
      </c>
      <c r="S62" s="3">
        <f>SUMIFS(DETAY!E:E,DETAY!A:A,'DETAY-yaslandırma'!A62,DETAY!B:B,'DETAY-yaslandırma'!B62)</f>
        <v>1648018.4999999998</v>
      </c>
      <c r="T62" s="3">
        <f t="shared" si="4"/>
        <v>0</v>
      </c>
      <c r="U62" s="11">
        <f t="shared" si="5"/>
        <v>0</v>
      </c>
    </row>
    <row r="63" spans="1:21" x14ac:dyDescent="0.35">
      <c r="A63" s="10" t="s">
        <v>122</v>
      </c>
      <c r="B63" s="2" t="s">
        <v>11</v>
      </c>
      <c r="C63" s="5">
        <f>SUMIFS(DETAY!C:C,DETAY!A:A,'DETAY-yaslandırma'!A63,DETAY!B:B,'DETAY-yaslandırma'!B63)</f>
        <v>0</v>
      </c>
      <c r="D63" s="5">
        <f>SUMIFS(ham_data!AB:AB,ham_data!$J:$J,'DETAY-yaslandırma'!$B63,ham_data!$E:$E,'DETAY-yaslandırma'!$A63)</f>
        <v>0</v>
      </c>
      <c r="E63" s="5">
        <f>SUMIFS(ham_data!AC:AC,ham_data!$J:$J,'DETAY-yaslandırma'!$B63,ham_data!$E:$E,'DETAY-yaslandırma'!$A63)</f>
        <v>0</v>
      </c>
      <c r="F63" s="5">
        <f>SUMIFS(ham_data!AD:AD,ham_data!$J:$J,'DETAY-yaslandırma'!$B63,ham_data!$E:$E,'DETAY-yaslandırma'!$A63)</f>
        <v>0</v>
      </c>
      <c r="G63" s="5">
        <f>SUMIFS(ham_data!AE:AE,ham_data!$J:$J,'DETAY-yaslandırma'!$B63,ham_data!$E:$E,'DETAY-yaslandırma'!$A63)</f>
        <v>0</v>
      </c>
      <c r="H63" s="5">
        <f>SUMIFS(ham_data!AF:AF,ham_data!$J:$J,'DETAY-yaslandırma'!$B63,ham_data!$E:$E,'DETAY-yaslandırma'!$A63)</f>
        <v>0</v>
      </c>
      <c r="I63" s="5">
        <f>SUMIFS(ham_data!AG:AG,ham_data!$J:$J,'DETAY-yaslandırma'!$B63,ham_data!$E:$E,'DETAY-yaslandırma'!$A63)</f>
        <v>0</v>
      </c>
      <c r="J63" s="5">
        <f>SUMIFS(ham_data!AH:AH,ham_data!$J:$J,'DETAY-yaslandırma'!$B63,ham_data!$E:$E,'DETAY-yaslandırma'!$A63)</f>
        <v>0</v>
      </c>
      <c r="K63" s="7">
        <f>SUMIFS(DETAY!D:D,DETAY!A:A,'DETAY-yaslandırma'!A63,DETAY!B:B,'DETAY-yaslandırma'!B63)</f>
        <v>893689.73</v>
      </c>
      <c r="L63" s="7">
        <f>SUMIFS(ham_data!U:U,ham_data!$J:$J,'DETAY-yaslandırma'!$B63,ham_data!$E:$E,'DETAY-yaslandırma'!$A63)</f>
        <v>893689.73</v>
      </c>
      <c r="M63" s="7">
        <f>SUMIFS(ham_data!V:V,ham_data!$J:$J,'DETAY-yaslandırma'!$B63,ham_data!$E:$E,'DETAY-yaslandırma'!$A63)</f>
        <v>0</v>
      </c>
      <c r="N63" s="7">
        <f>SUMIFS(ham_data!W:W,ham_data!$J:$J,'DETAY-yaslandırma'!$B63,ham_data!$E:$E,'DETAY-yaslandırma'!$A63)</f>
        <v>0</v>
      </c>
      <c r="O63" s="7">
        <f>SUMIFS(ham_data!X:X,ham_data!$J:$J,'DETAY-yaslandırma'!$B63,ham_data!$E:$E,'DETAY-yaslandırma'!$A63)</f>
        <v>0</v>
      </c>
      <c r="P63" s="7">
        <f>SUMIFS(ham_data!Y:Y,ham_data!$J:$J,'DETAY-yaslandırma'!$B63,ham_data!$E:$E,'DETAY-yaslandırma'!$A63)</f>
        <v>0</v>
      </c>
      <c r="Q63" s="7">
        <f>SUMIFS(ham_data!Z:Z,ham_data!$J:$J,'DETAY-yaslandırma'!$B63,ham_data!$E:$E,'DETAY-yaslandırma'!$A63)</f>
        <v>0</v>
      </c>
      <c r="R63" s="7">
        <f>SUMIFS(ham_data!AA:AA,ham_data!$J:$J,'DETAY-yaslandırma'!$B63,ham_data!$E:$E,'DETAY-yaslandırma'!$A63)</f>
        <v>0</v>
      </c>
      <c r="S63" s="3">
        <f>SUMIFS(DETAY!E:E,DETAY!A:A,'DETAY-yaslandırma'!A63,DETAY!B:B,'DETAY-yaslandırma'!B63)</f>
        <v>893689.73</v>
      </c>
      <c r="T63" s="3">
        <f t="shared" si="4"/>
        <v>0</v>
      </c>
      <c r="U63" s="11">
        <f t="shared" si="5"/>
        <v>0</v>
      </c>
    </row>
    <row r="64" spans="1:21" x14ac:dyDescent="0.35">
      <c r="A64" s="10" t="s">
        <v>62</v>
      </c>
      <c r="B64" s="2" t="s">
        <v>11</v>
      </c>
      <c r="C64" s="5">
        <f>SUMIFS(DETAY!C:C,DETAY!A:A,'DETAY-yaslandırma'!A64,DETAY!B:B,'DETAY-yaslandırma'!B64)</f>
        <v>0</v>
      </c>
      <c r="D64" s="5">
        <f>SUMIFS(ham_data!AB:AB,ham_data!$J:$J,'DETAY-yaslandırma'!$B64,ham_data!$E:$E,'DETAY-yaslandırma'!$A64)</f>
        <v>0</v>
      </c>
      <c r="E64" s="5">
        <f>SUMIFS(ham_data!AC:AC,ham_data!$J:$J,'DETAY-yaslandırma'!$B64,ham_data!$E:$E,'DETAY-yaslandırma'!$A64)</f>
        <v>0</v>
      </c>
      <c r="F64" s="5">
        <f>SUMIFS(ham_data!AD:AD,ham_data!$J:$J,'DETAY-yaslandırma'!$B64,ham_data!$E:$E,'DETAY-yaslandırma'!$A64)</f>
        <v>0</v>
      </c>
      <c r="G64" s="5">
        <f>SUMIFS(ham_data!AE:AE,ham_data!$J:$J,'DETAY-yaslandırma'!$B64,ham_data!$E:$E,'DETAY-yaslandırma'!$A64)</f>
        <v>0</v>
      </c>
      <c r="H64" s="5">
        <f>SUMIFS(ham_data!AF:AF,ham_data!$J:$J,'DETAY-yaslandırma'!$B64,ham_data!$E:$E,'DETAY-yaslandırma'!$A64)</f>
        <v>0</v>
      </c>
      <c r="I64" s="5">
        <f>SUMIFS(ham_data!AG:AG,ham_data!$J:$J,'DETAY-yaslandırma'!$B64,ham_data!$E:$E,'DETAY-yaslandırma'!$A64)</f>
        <v>0</v>
      </c>
      <c r="J64" s="5">
        <f>SUMIFS(ham_data!AH:AH,ham_data!$J:$J,'DETAY-yaslandırma'!$B64,ham_data!$E:$E,'DETAY-yaslandırma'!$A64)</f>
        <v>0</v>
      </c>
      <c r="K64" s="7">
        <f>SUMIFS(DETAY!D:D,DETAY!A:A,'DETAY-yaslandırma'!A64,DETAY!B:B,'DETAY-yaslandırma'!B64)</f>
        <v>9240884.910000002</v>
      </c>
      <c r="L64" s="7">
        <f>SUMIFS(ham_data!U:U,ham_data!$J:$J,'DETAY-yaslandırma'!$B64,ham_data!$E:$E,'DETAY-yaslandırma'!$A64)</f>
        <v>0</v>
      </c>
      <c r="M64" s="7">
        <f>SUMIFS(ham_data!V:V,ham_data!$J:$J,'DETAY-yaslandırma'!$B64,ham_data!$E:$E,'DETAY-yaslandırma'!$A64)</f>
        <v>9240884.910000002</v>
      </c>
      <c r="N64" s="7">
        <f>SUMIFS(ham_data!W:W,ham_data!$J:$J,'DETAY-yaslandırma'!$B64,ham_data!$E:$E,'DETAY-yaslandırma'!$A64)</f>
        <v>0</v>
      </c>
      <c r="O64" s="7">
        <f>SUMIFS(ham_data!X:X,ham_data!$J:$J,'DETAY-yaslandırma'!$B64,ham_data!$E:$E,'DETAY-yaslandırma'!$A64)</f>
        <v>0</v>
      </c>
      <c r="P64" s="7">
        <f>SUMIFS(ham_data!Y:Y,ham_data!$J:$J,'DETAY-yaslandırma'!$B64,ham_data!$E:$E,'DETAY-yaslandırma'!$A64)</f>
        <v>0</v>
      </c>
      <c r="Q64" s="7">
        <f>SUMIFS(ham_data!Z:Z,ham_data!$J:$J,'DETAY-yaslandırma'!$B64,ham_data!$E:$E,'DETAY-yaslandırma'!$A64)</f>
        <v>0</v>
      </c>
      <c r="R64" s="7">
        <f>SUMIFS(ham_data!AA:AA,ham_data!$J:$J,'DETAY-yaslandırma'!$B64,ham_data!$E:$E,'DETAY-yaslandırma'!$A64)</f>
        <v>0</v>
      </c>
      <c r="S64" s="3">
        <f>SUMIFS(DETAY!E:E,DETAY!A:A,'DETAY-yaslandırma'!A64,DETAY!B:B,'DETAY-yaslandırma'!B64)</f>
        <v>9240884.910000002</v>
      </c>
      <c r="T64" s="3">
        <f t="shared" si="4"/>
        <v>0</v>
      </c>
      <c r="U64" s="11">
        <f t="shared" si="5"/>
        <v>0</v>
      </c>
    </row>
    <row r="65" spans="1:21" x14ac:dyDescent="0.35">
      <c r="A65" s="10" t="s">
        <v>224</v>
      </c>
      <c r="B65" s="2" t="s">
        <v>11</v>
      </c>
      <c r="C65" s="5">
        <f>SUMIFS(DETAY!C:C,DETAY!A:A,'DETAY-yaslandırma'!A65,DETAY!B:B,'DETAY-yaslandırma'!B65)</f>
        <v>0</v>
      </c>
      <c r="D65" s="5">
        <f>SUMIFS(ham_data!AB:AB,ham_data!$J:$J,'DETAY-yaslandırma'!$B65,ham_data!$E:$E,'DETAY-yaslandırma'!$A65)</f>
        <v>0</v>
      </c>
      <c r="E65" s="5">
        <f>SUMIFS(ham_data!AC:AC,ham_data!$J:$J,'DETAY-yaslandırma'!$B65,ham_data!$E:$E,'DETAY-yaslandırma'!$A65)</f>
        <v>0</v>
      </c>
      <c r="F65" s="5">
        <f>SUMIFS(ham_data!AD:AD,ham_data!$J:$J,'DETAY-yaslandırma'!$B65,ham_data!$E:$E,'DETAY-yaslandırma'!$A65)</f>
        <v>0</v>
      </c>
      <c r="G65" s="5">
        <f>SUMIFS(ham_data!AE:AE,ham_data!$J:$J,'DETAY-yaslandırma'!$B65,ham_data!$E:$E,'DETAY-yaslandırma'!$A65)</f>
        <v>0</v>
      </c>
      <c r="H65" s="5">
        <f>SUMIFS(ham_data!AF:AF,ham_data!$J:$J,'DETAY-yaslandırma'!$B65,ham_data!$E:$E,'DETAY-yaslandırma'!$A65)</f>
        <v>0</v>
      </c>
      <c r="I65" s="5">
        <f>SUMIFS(ham_data!AG:AG,ham_data!$J:$J,'DETAY-yaslandırma'!$B65,ham_data!$E:$E,'DETAY-yaslandırma'!$A65)</f>
        <v>0</v>
      </c>
      <c r="J65" s="5">
        <f>SUMIFS(ham_data!AH:AH,ham_data!$J:$J,'DETAY-yaslandırma'!$B65,ham_data!$E:$E,'DETAY-yaslandırma'!$A65)</f>
        <v>0</v>
      </c>
      <c r="K65" s="7">
        <f>SUMIFS(DETAY!D:D,DETAY!A:A,'DETAY-yaslandırma'!A65,DETAY!B:B,'DETAY-yaslandırma'!B65)</f>
        <v>0</v>
      </c>
      <c r="L65" s="7">
        <f>SUMIFS(ham_data!U:U,ham_data!$J:$J,'DETAY-yaslandırma'!$B65,ham_data!$E:$E,'DETAY-yaslandırma'!$A65)</f>
        <v>0</v>
      </c>
      <c r="M65" s="7">
        <f>SUMIFS(ham_data!V:V,ham_data!$J:$J,'DETAY-yaslandırma'!$B65,ham_data!$E:$E,'DETAY-yaslandırma'!$A65)</f>
        <v>0</v>
      </c>
      <c r="N65" s="7">
        <f>SUMIFS(ham_data!W:W,ham_data!$J:$J,'DETAY-yaslandırma'!$B65,ham_data!$E:$E,'DETAY-yaslandırma'!$A65)</f>
        <v>0</v>
      </c>
      <c r="O65" s="7">
        <f>SUMIFS(ham_data!X:X,ham_data!$J:$J,'DETAY-yaslandırma'!$B65,ham_data!$E:$E,'DETAY-yaslandırma'!$A65)</f>
        <v>0</v>
      </c>
      <c r="P65" s="7">
        <f>SUMIFS(ham_data!Y:Y,ham_data!$J:$J,'DETAY-yaslandırma'!$B65,ham_data!$E:$E,'DETAY-yaslandırma'!$A65)</f>
        <v>0</v>
      </c>
      <c r="Q65" s="7">
        <f>SUMIFS(ham_data!Z:Z,ham_data!$J:$J,'DETAY-yaslandırma'!$B65,ham_data!$E:$E,'DETAY-yaslandırma'!$A65)</f>
        <v>0</v>
      </c>
      <c r="R65" s="7">
        <f>SUMIFS(ham_data!AA:AA,ham_data!$J:$J,'DETAY-yaslandırma'!$B65,ham_data!$E:$E,'DETAY-yaslandırma'!$A65)</f>
        <v>0</v>
      </c>
      <c r="S65" s="3">
        <f>SUMIFS(DETAY!E:E,DETAY!A:A,'DETAY-yaslandırma'!A65,DETAY!B:B,'DETAY-yaslandırma'!B65)</f>
        <v>0</v>
      </c>
      <c r="T65" s="3">
        <f t="shared" si="4"/>
        <v>0</v>
      </c>
      <c r="U65" s="11">
        <f t="shared" si="5"/>
        <v>0</v>
      </c>
    </row>
    <row r="66" spans="1:21" x14ac:dyDescent="0.35">
      <c r="A66" s="10" t="s">
        <v>227</v>
      </c>
      <c r="B66" s="2" t="s">
        <v>11</v>
      </c>
      <c r="C66" s="5">
        <f>SUMIFS(DETAY!C:C,DETAY!A:A,'DETAY-yaslandırma'!A66,DETAY!B:B,'DETAY-yaslandırma'!B66)</f>
        <v>0</v>
      </c>
      <c r="D66" s="5">
        <f>SUMIFS(ham_data!AB:AB,ham_data!$J:$J,'DETAY-yaslandırma'!$B66,ham_data!$E:$E,'DETAY-yaslandırma'!$A66)</f>
        <v>0</v>
      </c>
      <c r="E66" s="5">
        <f>SUMIFS(ham_data!AC:AC,ham_data!$J:$J,'DETAY-yaslandırma'!$B66,ham_data!$E:$E,'DETAY-yaslandırma'!$A66)</f>
        <v>0</v>
      </c>
      <c r="F66" s="5">
        <f>SUMIFS(ham_data!AD:AD,ham_data!$J:$J,'DETAY-yaslandırma'!$B66,ham_data!$E:$E,'DETAY-yaslandırma'!$A66)</f>
        <v>0</v>
      </c>
      <c r="G66" s="5">
        <f>SUMIFS(ham_data!AE:AE,ham_data!$J:$J,'DETAY-yaslandırma'!$B66,ham_data!$E:$E,'DETAY-yaslandırma'!$A66)</f>
        <v>0</v>
      </c>
      <c r="H66" s="5">
        <f>SUMIFS(ham_data!AF:AF,ham_data!$J:$J,'DETAY-yaslandırma'!$B66,ham_data!$E:$E,'DETAY-yaslandırma'!$A66)</f>
        <v>0</v>
      </c>
      <c r="I66" s="5">
        <f>SUMIFS(ham_data!AG:AG,ham_data!$J:$J,'DETAY-yaslandırma'!$B66,ham_data!$E:$E,'DETAY-yaslandırma'!$A66)</f>
        <v>0</v>
      </c>
      <c r="J66" s="5">
        <f>SUMIFS(ham_data!AH:AH,ham_data!$J:$J,'DETAY-yaslandırma'!$B66,ham_data!$E:$E,'DETAY-yaslandırma'!$A66)</f>
        <v>0</v>
      </c>
      <c r="K66" s="7">
        <f>SUMIFS(DETAY!D:D,DETAY!A:A,'DETAY-yaslandırma'!A66,DETAY!B:B,'DETAY-yaslandırma'!B66)</f>
        <v>0</v>
      </c>
      <c r="L66" s="7">
        <f>SUMIFS(ham_data!U:U,ham_data!$J:$J,'DETAY-yaslandırma'!$B66,ham_data!$E:$E,'DETAY-yaslandırma'!$A66)</f>
        <v>0</v>
      </c>
      <c r="M66" s="7">
        <f>SUMIFS(ham_data!V:V,ham_data!$J:$J,'DETAY-yaslandırma'!$B66,ham_data!$E:$E,'DETAY-yaslandırma'!$A66)</f>
        <v>0</v>
      </c>
      <c r="N66" s="7">
        <f>SUMIFS(ham_data!W:W,ham_data!$J:$J,'DETAY-yaslandırma'!$B66,ham_data!$E:$E,'DETAY-yaslandırma'!$A66)</f>
        <v>0</v>
      </c>
      <c r="O66" s="7">
        <f>SUMIFS(ham_data!X:X,ham_data!$J:$J,'DETAY-yaslandırma'!$B66,ham_data!$E:$E,'DETAY-yaslandırma'!$A66)</f>
        <v>0</v>
      </c>
      <c r="P66" s="7">
        <f>SUMIFS(ham_data!Y:Y,ham_data!$J:$J,'DETAY-yaslandırma'!$B66,ham_data!$E:$E,'DETAY-yaslandırma'!$A66)</f>
        <v>0</v>
      </c>
      <c r="Q66" s="7">
        <f>SUMIFS(ham_data!Z:Z,ham_data!$J:$J,'DETAY-yaslandırma'!$B66,ham_data!$E:$E,'DETAY-yaslandırma'!$A66)</f>
        <v>0</v>
      </c>
      <c r="R66" s="7">
        <f>SUMIFS(ham_data!AA:AA,ham_data!$J:$J,'DETAY-yaslandırma'!$B66,ham_data!$E:$E,'DETAY-yaslandırma'!$A66)</f>
        <v>0</v>
      </c>
      <c r="S66" s="3">
        <f>SUMIFS(DETAY!E:E,DETAY!A:A,'DETAY-yaslandırma'!A66,DETAY!B:B,'DETAY-yaslandırma'!B66)</f>
        <v>0</v>
      </c>
      <c r="T66" s="3">
        <f t="shared" si="4"/>
        <v>0</v>
      </c>
      <c r="U66" s="11">
        <f t="shared" si="5"/>
        <v>0</v>
      </c>
    </row>
    <row r="67" spans="1:21" x14ac:dyDescent="0.35">
      <c r="A67" s="10" t="s">
        <v>76</v>
      </c>
      <c r="B67" s="2" t="s">
        <v>11</v>
      </c>
      <c r="C67" s="5">
        <f>SUMIFS(DETAY!C:C,DETAY!A:A,'DETAY-yaslandırma'!A67,DETAY!B:B,'DETAY-yaslandırma'!B67)</f>
        <v>668550.64</v>
      </c>
      <c r="D67" s="5">
        <f>SUMIFS(ham_data!AB:AB,ham_data!$J:$J,'DETAY-yaslandırma'!$B67,ham_data!$E:$E,'DETAY-yaslandırma'!$A67)</f>
        <v>668550.64</v>
      </c>
      <c r="E67" s="5">
        <f>SUMIFS(ham_data!AC:AC,ham_data!$J:$J,'DETAY-yaslandırma'!$B67,ham_data!$E:$E,'DETAY-yaslandırma'!$A67)</f>
        <v>0</v>
      </c>
      <c r="F67" s="5">
        <f>SUMIFS(ham_data!AD:AD,ham_data!$J:$J,'DETAY-yaslandırma'!$B67,ham_data!$E:$E,'DETAY-yaslandırma'!$A67)</f>
        <v>0</v>
      </c>
      <c r="G67" s="5">
        <f>SUMIFS(ham_data!AE:AE,ham_data!$J:$J,'DETAY-yaslandırma'!$B67,ham_data!$E:$E,'DETAY-yaslandırma'!$A67)</f>
        <v>0</v>
      </c>
      <c r="H67" s="5">
        <f>SUMIFS(ham_data!AF:AF,ham_data!$J:$J,'DETAY-yaslandırma'!$B67,ham_data!$E:$E,'DETAY-yaslandırma'!$A67)</f>
        <v>0</v>
      </c>
      <c r="I67" s="5">
        <f>SUMIFS(ham_data!AG:AG,ham_data!$J:$J,'DETAY-yaslandırma'!$B67,ham_data!$E:$E,'DETAY-yaslandırma'!$A67)</f>
        <v>0</v>
      </c>
      <c r="J67" s="5">
        <f>SUMIFS(ham_data!AH:AH,ham_data!$J:$J,'DETAY-yaslandırma'!$B67,ham_data!$E:$E,'DETAY-yaslandırma'!$A67)</f>
        <v>0</v>
      </c>
      <c r="K67" s="7">
        <f>SUMIFS(DETAY!D:D,DETAY!A:A,'DETAY-yaslandırma'!A67,DETAY!B:B,'DETAY-yaslandırma'!B67)</f>
        <v>0</v>
      </c>
      <c r="L67" s="7">
        <f>SUMIFS(ham_data!U:U,ham_data!$J:$J,'DETAY-yaslandırma'!$B67,ham_data!$E:$E,'DETAY-yaslandırma'!$A67)</f>
        <v>0</v>
      </c>
      <c r="M67" s="7">
        <f>SUMIFS(ham_data!V:V,ham_data!$J:$J,'DETAY-yaslandırma'!$B67,ham_data!$E:$E,'DETAY-yaslandırma'!$A67)</f>
        <v>0</v>
      </c>
      <c r="N67" s="7">
        <f>SUMIFS(ham_data!W:W,ham_data!$J:$J,'DETAY-yaslandırma'!$B67,ham_data!$E:$E,'DETAY-yaslandırma'!$A67)</f>
        <v>0</v>
      </c>
      <c r="O67" s="7">
        <f>SUMIFS(ham_data!X:X,ham_data!$J:$J,'DETAY-yaslandırma'!$B67,ham_data!$E:$E,'DETAY-yaslandırma'!$A67)</f>
        <v>0</v>
      </c>
      <c r="P67" s="7">
        <f>SUMIFS(ham_data!Y:Y,ham_data!$J:$J,'DETAY-yaslandırma'!$B67,ham_data!$E:$E,'DETAY-yaslandırma'!$A67)</f>
        <v>0</v>
      </c>
      <c r="Q67" s="7">
        <f>SUMIFS(ham_data!Z:Z,ham_data!$J:$J,'DETAY-yaslandırma'!$B67,ham_data!$E:$E,'DETAY-yaslandırma'!$A67)</f>
        <v>0</v>
      </c>
      <c r="R67" s="7">
        <f>SUMIFS(ham_data!AA:AA,ham_data!$J:$J,'DETAY-yaslandırma'!$B67,ham_data!$E:$E,'DETAY-yaslandırma'!$A67)</f>
        <v>0</v>
      </c>
      <c r="S67" s="3">
        <f>SUMIFS(DETAY!E:E,DETAY!A:A,'DETAY-yaslandırma'!A67,DETAY!B:B,'DETAY-yaslandırma'!B67)</f>
        <v>668550.64</v>
      </c>
      <c r="T67" s="3">
        <f t="shared" si="4"/>
        <v>0</v>
      </c>
      <c r="U67" s="11">
        <f t="shared" si="5"/>
        <v>0</v>
      </c>
    </row>
    <row r="68" spans="1:21" x14ac:dyDescent="0.35">
      <c r="A68" s="10" t="s">
        <v>115</v>
      </c>
      <c r="B68" s="2" t="s">
        <v>11</v>
      </c>
      <c r="C68" s="5">
        <f>SUMIFS(DETAY!C:C,DETAY!A:A,'DETAY-yaslandırma'!A68,DETAY!B:B,'DETAY-yaslandırma'!B68)</f>
        <v>0</v>
      </c>
      <c r="D68" s="5">
        <f>SUMIFS(ham_data!AB:AB,ham_data!$J:$J,'DETAY-yaslandırma'!$B68,ham_data!$E:$E,'DETAY-yaslandırma'!$A68)</f>
        <v>0</v>
      </c>
      <c r="E68" s="5">
        <f>SUMIFS(ham_data!AC:AC,ham_data!$J:$J,'DETAY-yaslandırma'!$B68,ham_data!$E:$E,'DETAY-yaslandırma'!$A68)</f>
        <v>0</v>
      </c>
      <c r="F68" s="5">
        <f>SUMIFS(ham_data!AD:AD,ham_data!$J:$J,'DETAY-yaslandırma'!$B68,ham_data!$E:$E,'DETAY-yaslandırma'!$A68)</f>
        <v>0</v>
      </c>
      <c r="G68" s="5">
        <f>SUMIFS(ham_data!AE:AE,ham_data!$J:$J,'DETAY-yaslandırma'!$B68,ham_data!$E:$E,'DETAY-yaslandırma'!$A68)</f>
        <v>0</v>
      </c>
      <c r="H68" s="5">
        <f>SUMIFS(ham_data!AF:AF,ham_data!$J:$J,'DETAY-yaslandırma'!$B68,ham_data!$E:$E,'DETAY-yaslandırma'!$A68)</f>
        <v>0</v>
      </c>
      <c r="I68" s="5">
        <f>SUMIFS(ham_data!AG:AG,ham_data!$J:$J,'DETAY-yaslandırma'!$B68,ham_data!$E:$E,'DETAY-yaslandırma'!$A68)</f>
        <v>0</v>
      </c>
      <c r="J68" s="5">
        <f>SUMIFS(ham_data!AH:AH,ham_data!$J:$J,'DETAY-yaslandırma'!$B68,ham_data!$E:$E,'DETAY-yaslandırma'!$A68)</f>
        <v>0</v>
      </c>
      <c r="K68" s="7">
        <f>SUMIFS(DETAY!D:D,DETAY!A:A,'DETAY-yaslandırma'!A68,DETAY!B:B,'DETAY-yaslandırma'!B68)</f>
        <v>1019976.98</v>
      </c>
      <c r="L68" s="7">
        <f>SUMIFS(ham_data!U:U,ham_data!$J:$J,'DETAY-yaslandırma'!$B68,ham_data!$E:$E,'DETAY-yaslandırma'!$A68)</f>
        <v>1019976.98</v>
      </c>
      <c r="M68" s="7">
        <f>SUMIFS(ham_data!V:V,ham_data!$J:$J,'DETAY-yaslandırma'!$B68,ham_data!$E:$E,'DETAY-yaslandırma'!$A68)</f>
        <v>0</v>
      </c>
      <c r="N68" s="7">
        <f>SUMIFS(ham_data!W:W,ham_data!$J:$J,'DETAY-yaslandırma'!$B68,ham_data!$E:$E,'DETAY-yaslandırma'!$A68)</f>
        <v>0</v>
      </c>
      <c r="O68" s="7">
        <f>SUMIFS(ham_data!X:X,ham_data!$J:$J,'DETAY-yaslandırma'!$B68,ham_data!$E:$E,'DETAY-yaslandırma'!$A68)</f>
        <v>0</v>
      </c>
      <c r="P68" s="7">
        <f>SUMIFS(ham_data!Y:Y,ham_data!$J:$J,'DETAY-yaslandırma'!$B68,ham_data!$E:$E,'DETAY-yaslandırma'!$A68)</f>
        <v>0</v>
      </c>
      <c r="Q68" s="7">
        <f>SUMIFS(ham_data!Z:Z,ham_data!$J:$J,'DETAY-yaslandırma'!$B68,ham_data!$E:$E,'DETAY-yaslandırma'!$A68)</f>
        <v>0</v>
      </c>
      <c r="R68" s="7">
        <f>SUMIFS(ham_data!AA:AA,ham_data!$J:$J,'DETAY-yaslandırma'!$B68,ham_data!$E:$E,'DETAY-yaslandırma'!$A68)</f>
        <v>0</v>
      </c>
      <c r="S68" s="3">
        <f>SUMIFS(DETAY!E:E,DETAY!A:A,'DETAY-yaslandırma'!A68,DETAY!B:B,'DETAY-yaslandırma'!B68)</f>
        <v>1019976.98</v>
      </c>
      <c r="T68" s="3">
        <f t="shared" si="4"/>
        <v>0</v>
      </c>
      <c r="U68" s="11">
        <f t="shared" si="5"/>
        <v>0</v>
      </c>
    </row>
    <row r="69" spans="1:21" x14ac:dyDescent="0.35">
      <c r="A69" s="10" t="s">
        <v>79</v>
      </c>
      <c r="B69" s="2" t="s">
        <v>11</v>
      </c>
      <c r="C69" s="5">
        <f>SUMIFS(DETAY!C:C,DETAY!A:A,'DETAY-yaslandırma'!A69,DETAY!B:B,'DETAY-yaslandırma'!B69)</f>
        <v>0</v>
      </c>
      <c r="D69" s="5">
        <f>SUMIFS(ham_data!AB:AB,ham_data!$J:$J,'DETAY-yaslandırma'!$B69,ham_data!$E:$E,'DETAY-yaslandırma'!$A69)</f>
        <v>0</v>
      </c>
      <c r="E69" s="5">
        <f>SUMIFS(ham_data!AC:AC,ham_data!$J:$J,'DETAY-yaslandırma'!$B69,ham_data!$E:$E,'DETAY-yaslandırma'!$A69)</f>
        <v>0</v>
      </c>
      <c r="F69" s="5">
        <f>SUMIFS(ham_data!AD:AD,ham_data!$J:$J,'DETAY-yaslandırma'!$B69,ham_data!$E:$E,'DETAY-yaslandırma'!$A69)</f>
        <v>0</v>
      </c>
      <c r="G69" s="5">
        <f>SUMIFS(ham_data!AE:AE,ham_data!$J:$J,'DETAY-yaslandırma'!$B69,ham_data!$E:$E,'DETAY-yaslandırma'!$A69)</f>
        <v>0</v>
      </c>
      <c r="H69" s="5">
        <f>SUMIFS(ham_data!AF:AF,ham_data!$J:$J,'DETAY-yaslandırma'!$B69,ham_data!$E:$E,'DETAY-yaslandırma'!$A69)</f>
        <v>0</v>
      </c>
      <c r="I69" s="5">
        <f>SUMIFS(ham_data!AG:AG,ham_data!$J:$J,'DETAY-yaslandırma'!$B69,ham_data!$E:$E,'DETAY-yaslandırma'!$A69)</f>
        <v>0</v>
      </c>
      <c r="J69" s="5">
        <f>SUMIFS(ham_data!AH:AH,ham_data!$J:$J,'DETAY-yaslandırma'!$B69,ham_data!$E:$E,'DETAY-yaslandırma'!$A69)</f>
        <v>0</v>
      </c>
      <c r="K69" s="7">
        <f>SUMIFS(DETAY!D:D,DETAY!A:A,'DETAY-yaslandırma'!A69,DETAY!B:B,'DETAY-yaslandırma'!B69)</f>
        <v>77871.899999999994</v>
      </c>
      <c r="L69" s="7">
        <f>SUMIFS(ham_data!U:U,ham_data!$J:$J,'DETAY-yaslandırma'!$B69,ham_data!$E:$E,'DETAY-yaslandırma'!$A69)</f>
        <v>77871.899999999994</v>
      </c>
      <c r="M69" s="7">
        <f>SUMIFS(ham_data!V:V,ham_data!$J:$J,'DETAY-yaslandırma'!$B69,ham_data!$E:$E,'DETAY-yaslandırma'!$A69)</f>
        <v>0</v>
      </c>
      <c r="N69" s="7">
        <f>SUMIFS(ham_data!W:W,ham_data!$J:$J,'DETAY-yaslandırma'!$B69,ham_data!$E:$E,'DETAY-yaslandırma'!$A69)</f>
        <v>0</v>
      </c>
      <c r="O69" s="7">
        <f>SUMIFS(ham_data!X:X,ham_data!$J:$J,'DETAY-yaslandırma'!$B69,ham_data!$E:$E,'DETAY-yaslandırma'!$A69)</f>
        <v>0</v>
      </c>
      <c r="P69" s="7">
        <f>SUMIFS(ham_data!Y:Y,ham_data!$J:$J,'DETAY-yaslandırma'!$B69,ham_data!$E:$E,'DETAY-yaslandırma'!$A69)</f>
        <v>0</v>
      </c>
      <c r="Q69" s="7">
        <f>SUMIFS(ham_data!Z:Z,ham_data!$J:$J,'DETAY-yaslandırma'!$B69,ham_data!$E:$E,'DETAY-yaslandırma'!$A69)</f>
        <v>0</v>
      </c>
      <c r="R69" s="7">
        <f>SUMIFS(ham_data!AA:AA,ham_data!$J:$J,'DETAY-yaslandırma'!$B69,ham_data!$E:$E,'DETAY-yaslandırma'!$A69)</f>
        <v>0</v>
      </c>
      <c r="S69" s="3">
        <f>SUMIFS(DETAY!E:E,DETAY!A:A,'DETAY-yaslandırma'!A69,DETAY!B:B,'DETAY-yaslandırma'!B69)</f>
        <v>77871.899999999994</v>
      </c>
      <c r="T69" s="3">
        <f t="shared" si="4"/>
        <v>0</v>
      </c>
      <c r="U69" s="11">
        <f t="shared" si="5"/>
        <v>0</v>
      </c>
    </row>
    <row r="70" spans="1:21" x14ac:dyDescent="0.35">
      <c r="A70" s="10" t="s">
        <v>117</v>
      </c>
      <c r="B70" s="2" t="s">
        <v>11</v>
      </c>
      <c r="C70" s="5">
        <f>SUMIFS(DETAY!C:C,DETAY!A:A,'DETAY-yaslandırma'!A70,DETAY!B:B,'DETAY-yaslandırma'!B70)</f>
        <v>0</v>
      </c>
      <c r="D70" s="5">
        <f>SUMIFS(ham_data!AB:AB,ham_data!$J:$J,'DETAY-yaslandırma'!$B70,ham_data!$E:$E,'DETAY-yaslandırma'!$A70)</f>
        <v>0</v>
      </c>
      <c r="E70" s="5">
        <f>SUMIFS(ham_data!AC:AC,ham_data!$J:$J,'DETAY-yaslandırma'!$B70,ham_data!$E:$E,'DETAY-yaslandırma'!$A70)</f>
        <v>0</v>
      </c>
      <c r="F70" s="5">
        <f>SUMIFS(ham_data!AD:AD,ham_data!$J:$J,'DETAY-yaslandırma'!$B70,ham_data!$E:$E,'DETAY-yaslandırma'!$A70)</f>
        <v>0</v>
      </c>
      <c r="G70" s="5">
        <f>SUMIFS(ham_data!AE:AE,ham_data!$J:$J,'DETAY-yaslandırma'!$B70,ham_data!$E:$E,'DETAY-yaslandırma'!$A70)</f>
        <v>0</v>
      </c>
      <c r="H70" s="5">
        <f>SUMIFS(ham_data!AF:AF,ham_data!$J:$J,'DETAY-yaslandırma'!$B70,ham_data!$E:$E,'DETAY-yaslandırma'!$A70)</f>
        <v>0</v>
      </c>
      <c r="I70" s="5">
        <f>SUMIFS(ham_data!AG:AG,ham_data!$J:$J,'DETAY-yaslandırma'!$B70,ham_data!$E:$E,'DETAY-yaslandırma'!$A70)</f>
        <v>0</v>
      </c>
      <c r="J70" s="5">
        <f>SUMIFS(ham_data!AH:AH,ham_data!$J:$J,'DETAY-yaslandırma'!$B70,ham_data!$E:$E,'DETAY-yaslandırma'!$A70)</f>
        <v>0</v>
      </c>
      <c r="K70" s="7">
        <f>SUMIFS(DETAY!D:D,DETAY!A:A,'DETAY-yaslandırma'!A70,DETAY!B:B,'DETAY-yaslandırma'!B70)</f>
        <v>456288.52</v>
      </c>
      <c r="L70" s="7">
        <f>SUMIFS(ham_data!U:U,ham_data!$J:$J,'DETAY-yaslandırma'!$B70,ham_data!$E:$E,'DETAY-yaslandırma'!$A70)</f>
        <v>456288.52</v>
      </c>
      <c r="M70" s="7">
        <f>SUMIFS(ham_data!V:V,ham_data!$J:$J,'DETAY-yaslandırma'!$B70,ham_data!$E:$E,'DETAY-yaslandırma'!$A70)</f>
        <v>0</v>
      </c>
      <c r="N70" s="7">
        <f>SUMIFS(ham_data!W:W,ham_data!$J:$J,'DETAY-yaslandırma'!$B70,ham_data!$E:$E,'DETAY-yaslandırma'!$A70)</f>
        <v>0</v>
      </c>
      <c r="O70" s="7">
        <f>SUMIFS(ham_data!X:X,ham_data!$J:$J,'DETAY-yaslandırma'!$B70,ham_data!$E:$E,'DETAY-yaslandırma'!$A70)</f>
        <v>0</v>
      </c>
      <c r="P70" s="7">
        <f>SUMIFS(ham_data!Y:Y,ham_data!$J:$J,'DETAY-yaslandırma'!$B70,ham_data!$E:$E,'DETAY-yaslandırma'!$A70)</f>
        <v>0</v>
      </c>
      <c r="Q70" s="7">
        <f>SUMIFS(ham_data!Z:Z,ham_data!$J:$J,'DETAY-yaslandırma'!$B70,ham_data!$E:$E,'DETAY-yaslandırma'!$A70)</f>
        <v>0</v>
      </c>
      <c r="R70" s="7">
        <f>SUMIFS(ham_data!AA:AA,ham_data!$J:$J,'DETAY-yaslandırma'!$B70,ham_data!$E:$E,'DETAY-yaslandırma'!$A70)</f>
        <v>0</v>
      </c>
      <c r="S70" s="3">
        <f>SUMIFS(DETAY!E:E,DETAY!A:A,'DETAY-yaslandırma'!A70,DETAY!B:B,'DETAY-yaslandırma'!B70)</f>
        <v>456288.52</v>
      </c>
      <c r="T70" s="3">
        <f t="shared" ref="T70:T133" si="6">C70-SUM(D70:J70)</f>
        <v>0</v>
      </c>
      <c r="U70" s="11">
        <f t="shared" ref="U70:U133" si="7">K70-SUM(L70:R70)</f>
        <v>0</v>
      </c>
    </row>
    <row r="71" spans="1:21" x14ac:dyDescent="0.35">
      <c r="A71" s="10" t="s">
        <v>152</v>
      </c>
      <c r="B71" s="2" t="s">
        <v>11</v>
      </c>
      <c r="C71" s="5">
        <f>SUMIFS(DETAY!C:C,DETAY!A:A,'DETAY-yaslandırma'!A71,DETAY!B:B,'DETAY-yaslandırma'!B71)</f>
        <v>0</v>
      </c>
      <c r="D71" s="5">
        <f>SUMIFS(ham_data!AB:AB,ham_data!$J:$J,'DETAY-yaslandırma'!$B71,ham_data!$E:$E,'DETAY-yaslandırma'!$A71)</f>
        <v>0</v>
      </c>
      <c r="E71" s="5">
        <f>SUMIFS(ham_data!AC:AC,ham_data!$J:$J,'DETAY-yaslandırma'!$B71,ham_data!$E:$E,'DETAY-yaslandırma'!$A71)</f>
        <v>0</v>
      </c>
      <c r="F71" s="5">
        <f>SUMIFS(ham_data!AD:AD,ham_data!$J:$J,'DETAY-yaslandırma'!$B71,ham_data!$E:$E,'DETAY-yaslandırma'!$A71)</f>
        <v>0</v>
      </c>
      <c r="G71" s="5">
        <f>SUMIFS(ham_data!AE:AE,ham_data!$J:$J,'DETAY-yaslandırma'!$B71,ham_data!$E:$E,'DETAY-yaslandırma'!$A71)</f>
        <v>0</v>
      </c>
      <c r="H71" s="5">
        <f>SUMIFS(ham_data!AF:AF,ham_data!$J:$J,'DETAY-yaslandırma'!$B71,ham_data!$E:$E,'DETAY-yaslandırma'!$A71)</f>
        <v>0</v>
      </c>
      <c r="I71" s="5">
        <f>SUMIFS(ham_data!AG:AG,ham_data!$J:$J,'DETAY-yaslandırma'!$B71,ham_data!$E:$E,'DETAY-yaslandırma'!$A71)</f>
        <v>0</v>
      </c>
      <c r="J71" s="5">
        <f>SUMIFS(ham_data!AH:AH,ham_data!$J:$J,'DETAY-yaslandırma'!$B71,ham_data!$E:$E,'DETAY-yaslandırma'!$A71)</f>
        <v>0</v>
      </c>
      <c r="K71" s="7">
        <f>SUMIFS(DETAY!D:D,DETAY!A:A,'DETAY-yaslandırma'!A71,DETAY!B:B,'DETAY-yaslandırma'!B71)</f>
        <v>1270116.53</v>
      </c>
      <c r="L71" s="7">
        <f>SUMIFS(ham_data!U:U,ham_data!$J:$J,'DETAY-yaslandırma'!$B71,ham_data!$E:$E,'DETAY-yaslandırma'!$A71)</f>
        <v>0</v>
      </c>
      <c r="M71" s="7">
        <f>SUMIFS(ham_data!V:V,ham_data!$J:$J,'DETAY-yaslandırma'!$B71,ham_data!$E:$E,'DETAY-yaslandırma'!$A71)</f>
        <v>1270116.53</v>
      </c>
      <c r="N71" s="7">
        <f>SUMIFS(ham_data!W:W,ham_data!$J:$J,'DETAY-yaslandırma'!$B71,ham_data!$E:$E,'DETAY-yaslandırma'!$A71)</f>
        <v>0</v>
      </c>
      <c r="O71" s="7">
        <f>SUMIFS(ham_data!X:X,ham_data!$J:$J,'DETAY-yaslandırma'!$B71,ham_data!$E:$E,'DETAY-yaslandırma'!$A71)</f>
        <v>0</v>
      </c>
      <c r="P71" s="7">
        <f>SUMIFS(ham_data!Y:Y,ham_data!$J:$J,'DETAY-yaslandırma'!$B71,ham_data!$E:$E,'DETAY-yaslandırma'!$A71)</f>
        <v>0</v>
      </c>
      <c r="Q71" s="7">
        <f>SUMIFS(ham_data!Z:Z,ham_data!$J:$J,'DETAY-yaslandırma'!$B71,ham_data!$E:$E,'DETAY-yaslandırma'!$A71)</f>
        <v>0</v>
      </c>
      <c r="R71" s="7">
        <f>SUMIFS(ham_data!AA:AA,ham_data!$J:$J,'DETAY-yaslandırma'!$B71,ham_data!$E:$E,'DETAY-yaslandırma'!$A71)</f>
        <v>0</v>
      </c>
      <c r="S71" s="3">
        <f>SUMIFS(DETAY!E:E,DETAY!A:A,'DETAY-yaslandırma'!A71,DETAY!B:B,'DETAY-yaslandırma'!B71)</f>
        <v>1270116.53</v>
      </c>
      <c r="T71" s="3">
        <f t="shared" si="6"/>
        <v>0</v>
      </c>
      <c r="U71" s="11">
        <f t="shared" si="7"/>
        <v>0</v>
      </c>
    </row>
    <row r="72" spans="1:21" x14ac:dyDescent="0.35">
      <c r="A72" s="10" t="s">
        <v>97</v>
      </c>
      <c r="B72" s="2" t="s">
        <v>11</v>
      </c>
      <c r="C72" s="5">
        <f>SUMIFS(DETAY!C:C,DETAY!A:A,'DETAY-yaslandırma'!A72,DETAY!B:B,'DETAY-yaslandırma'!B72)</f>
        <v>0</v>
      </c>
      <c r="D72" s="5">
        <f>SUMIFS(ham_data!AB:AB,ham_data!$J:$J,'DETAY-yaslandırma'!$B72,ham_data!$E:$E,'DETAY-yaslandırma'!$A72)</f>
        <v>0</v>
      </c>
      <c r="E72" s="5">
        <f>SUMIFS(ham_data!AC:AC,ham_data!$J:$J,'DETAY-yaslandırma'!$B72,ham_data!$E:$E,'DETAY-yaslandırma'!$A72)</f>
        <v>0</v>
      </c>
      <c r="F72" s="5">
        <f>SUMIFS(ham_data!AD:AD,ham_data!$J:$J,'DETAY-yaslandırma'!$B72,ham_data!$E:$E,'DETAY-yaslandırma'!$A72)</f>
        <v>0</v>
      </c>
      <c r="G72" s="5">
        <f>SUMIFS(ham_data!AE:AE,ham_data!$J:$J,'DETAY-yaslandırma'!$B72,ham_data!$E:$E,'DETAY-yaslandırma'!$A72)</f>
        <v>0</v>
      </c>
      <c r="H72" s="5">
        <f>SUMIFS(ham_data!AF:AF,ham_data!$J:$J,'DETAY-yaslandırma'!$B72,ham_data!$E:$E,'DETAY-yaslandırma'!$A72)</f>
        <v>0</v>
      </c>
      <c r="I72" s="5">
        <f>SUMIFS(ham_data!AG:AG,ham_data!$J:$J,'DETAY-yaslandırma'!$B72,ham_data!$E:$E,'DETAY-yaslandırma'!$A72)</f>
        <v>0</v>
      </c>
      <c r="J72" s="5">
        <f>SUMIFS(ham_data!AH:AH,ham_data!$J:$J,'DETAY-yaslandırma'!$B72,ham_data!$E:$E,'DETAY-yaslandırma'!$A72)</f>
        <v>0</v>
      </c>
      <c r="K72" s="7">
        <f>SUMIFS(DETAY!D:D,DETAY!A:A,'DETAY-yaslandırma'!A72,DETAY!B:B,'DETAY-yaslandırma'!B72)</f>
        <v>2624350.92</v>
      </c>
      <c r="L72" s="7">
        <f>SUMIFS(ham_data!U:U,ham_data!$J:$J,'DETAY-yaslandırma'!$B72,ham_data!$E:$E,'DETAY-yaslandırma'!$A72)</f>
        <v>2624350.92</v>
      </c>
      <c r="M72" s="7">
        <f>SUMIFS(ham_data!V:V,ham_data!$J:$J,'DETAY-yaslandırma'!$B72,ham_data!$E:$E,'DETAY-yaslandırma'!$A72)</f>
        <v>0</v>
      </c>
      <c r="N72" s="7">
        <f>SUMIFS(ham_data!W:W,ham_data!$J:$J,'DETAY-yaslandırma'!$B72,ham_data!$E:$E,'DETAY-yaslandırma'!$A72)</f>
        <v>0</v>
      </c>
      <c r="O72" s="7">
        <f>SUMIFS(ham_data!X:X,ham_data!$J:$J,'DETAY-yaslandırma'!$B72,ham_data!$E:$E,'DETAY-yaslandırma'!$A72)</f>
        <v>0</v>
      </c>
      <c r="P72" s="7">
        <f>SUMIFS(ham_data!Y:Y,ham_data!$J:$J,'DETAY-yaslandırma'!$B72,ham_data!$E:$E,'DETAY-yaslandırma'!$A72)</f>
        <v>0</v>
      </c>
      <c r="Q72" s="7">
        <f>SUMIFS(ham_data!Z:Z,ham_data!$J:$J,'DETAY-yaslandırma'!$B72,ham_data!$E:$E,'DETAY-yaslandırma'!$A72)</f>
        <v>0</v>
      </c>
      <c r="R72" s="7">
        <f>SUMIFS(ham_data!AA:AA,ham_data!$J:$J,'DETAY-yaslandırma'!$B72,ham_data!$E:$E,'DETAY-yaslandırma'!$A72)</f>
        <v>0</v>
      </c>
      <c r="S72" s="3">
        <f>SUMIFS(DETAY!E:E,DETAY!A:A,'DETAY-yaslandırma'!A72,DETAY!B:B,'DETAY-yaslandırma'!B72)</f>
        <v>2624350.92</v>
      </c>
      <c r="T72" s="3">
        <f t="shared" si="6"/>
        <v>0</v>
      </c>
      <c r="U72" s="11">
        <f t="shared" si="7"/>
        <v>0</v>
      </c>
    </row>
    <row r="73" spans="1:21" x14ac:dyDescent="0.35">
      <c r="A73" s="10" t="s">
        <v>106</v>
      </c>
      <c r="B73" s="2" t="s">
        <v>11</v>
      </c>
      <c r="C73" s="5">
        <f>SUMIFS(DETAY!C:C,DETAY!A:A,'DETAY-yaslandırma'!A73,DETAY!B:B,'DETAY-yaslandırma'!B73)</f>
        <v>0</v>
      </c>
      <c r="D73" s="5">
        <f>SUMIFS(ham_data!AB:AB,ham_data!$J:$J,'DETAY-yaslandırma'!$B73,ham_data!$E:$E,'DETAY-yaslandırma'!$A73)</f>
        <v>0</v>
      </c>
      <c r="E73" s="5">
        <f>SUMIFS(ham_data!AC:AC,ham_data!$J:$J,'DETAY-yaslandırma'!$B73,ham_data!$E:$E,'DETAY-yaslandırma'!$A73)</f>
        <v>0</v>
      </c>
      <c r="F73" s="5">
        <f>SUMIFS(ham_data!AD:AD,ham_data!$J:$J,'DETAY-yaslandırma'!$B73,ham_data!$E:$E,'DETAY-yaslandırma'!$A73)</f>
        <v>0</v>
      </c>
      <c r="G73" s="5">
        <f>SUMIFS(ham_data!AE:AE,ham_data!$J:$J,'DETAY-yaslandırma'!$B73,ham_data!$E:$E,'DETAY-yaslandırma'!$A73)</f>
        <v>0</v>
      </c>
      <c r="H73" s="5">
        <f>SUMIFS(ham_data!AF:AF,ham_data!$J:$J,'DETAY-yaslandırma'!$B73,ham_data!$E:$E,'DETAY-yaslandırma'!$A73)</f>
        <v>0</v>
      </c>
      <c r="I73" s="5">
        <f>SUMIFS(ham_data!AG:AG,ham_data!$J:$J,'DETAY-yaslandırma'!$B73,ham_data!$E:$E,'DETAY-yaslandırma'!$A73)</f>
        <v>0</v>
      </c>
      <c r="J73" s="5">
        <f>SUMIFS(ham_data!AH:AH,ham_data!$J:$J,'DETAY-yaslandırma'!$B73,ham_data!$E:$E,'DETAY-yaslandırma'!$A73)</f>
        <v>0</v>
      </c>
      <c r="K73" s="7">
        <f>SUMIFS(DETAY!D:D,DETAY!A:A,'DETAY-yaslandırma'!A73,DETAY!B:B,'DETAY-yaslandırma'!B73)</f>
        <v>739420.27</v>
      </c>
      <c r="L73" s="7">
        <f>SUMIFS(ham_data!U:U,ham_data!$J:$J,'DETAY-yaslandırma'!$B73,ham_data!$E:$E,'DETAY-yaslandırma'!$A73)</f>
        <v>287090.27</v>
      </c>
      <c r="M73" s="7">
        <f>SUMIFS(ham_data!V:V,ham_data!$J:$J,'DETAY-yaslandırma'!$B73,ham_data!$E:$E,'DETAY-yaslandırma'!$A73)</f>
        <v>452330</v>
      </c>
      <c r="N73" s="7">
        <f>SUMIFS(ham_data!W:W,ham_data!$J:$J,'DETAY-yaslandırma'!$B73,ham_data!$E:$E,'DETAY-yaslandırma'!$A73)</f>
        <v>0</v>
      </c>
      <c r="O73" s="7">
        <f>SUMIFS(ham_data!X:X,ham_data!$J:$J,'DETAY-yaslandırma'!$B73,ham_data!$E:$E,'DETAY-yaslandırma'!$A73)</f>
        <v>0</v>
      </c>
      <c r="P73" s="7">
        <f>SUMIFS(ham_data!Y:Y,ham_data!$J:$J,'DETAY-yaslandırma'!$B73,ham_data!$E:$E,'DETAY-yaslandırma'!$A73)</f>
        <v>0</v>
      </c>
      <c r="Q73" s="7">
        <f>SUMIFS(ham_data!Z:Z,ham_data!$J:$J,'DETAY-yaslandırma'!$B73,ham_data!$E:$E,'DETAY-yaslandırma'!$A73)</f>
        <v>0</v>
      </c>
      <c r="R73" s="7">
        <f>SUMIFS(ham_data!AA:AA,ham_data!$J:$J,'DETAY-yaslandırma'!$B73,ham_data!$E:$E,'DETAY-yaslandırma'!$A73)</f>
        <v>0</v>
      </c>
      <c r="S73" s="3">
        <f>SUMIFS(DETAY!E:E,DETAY!A:A,'DETAY-yaslandırma'!A73,DETAY!B:B,'DETAY-yaslandırma'!B73)</f>
        <v>739420.27</v>
      </c>
      <c r="T73" s="3">
        <f t="shared" si="6"/>
        <v>0</v>
      </c>
      <c r="U73" s="11">
        <f t="shared" si="7"/>
        <v>0</v>
      </c>
    </row>
    <row r="74" spans="1:21" x14ac:dyDescent="0.35">
      <c r="A74" s="10" t="s">
        <v>77</v>
      </c>
      <c r="B74" s="2" t="s">
        <v>11</v>
      </c>
      <c r="C74" s="5">
        <f>SUMIFS(DETAY!C:C,DETAY!A:A,'DETAY-yaslandırma'!A74,DETAY!B:B,'DETAY-yaslandırma'!B74)</f>
        <v>0</v>
      </c>
      <c r="D74" s="5">
        <f>SUMIFS(ham_data!AB:AB,ham_data!$J:$J,'DETAY-yaslandırma'!$B74,ham_data!$E:$E,'DETAY-yaslandırma'!$A74)</f>
        <v>0</v>
      </c>
      <c r="E74" s="5">
        <f>SUMIFS(ham_data!AC:AC,ham_data!$J:$J,'DETAY-yaslandırma'!$B74,ham_data!$E:$E,'DETAY-yaslandırma'!$A74)</f>
        <v>0</v>
      </c>
      <c r="F74" s="5">
        <f>SUMIFS(ham_data!AD:AD,ham_data!$J:$J,'DETAY-yaslandırma'!$B74,ham_data!$E:$E,'DETAY-yaslandırma'!$A74)</f>
        <v>0</v>
      </c>
      <c r="G74" s="5">
        <f>SUMIFS(ham_data!AE:AE,ham_data!$J:$J,'DETAY-yaslandırma'!$B74,ham_data!$E:$E,'DETAY-yaslandırma'!$A74)</f>
        <v>0</v>
      </c>
      <c r="H74" s="5">
        <f>SUMIFS(ham_data!AF:AF,ham_data!$J:$J,'DETAY-yaslandırma'!$B74,ham_data!$E:$E,'DETAY-yaslandırma'!$A74)</f>
        <v>0</v>
      </c>
      <c r="I74" s="5">
        <f>SUMIFS(ham_data!AG:AG,ham_data!$J:$J,'DETAY-yaslandırma'!$B74,ham_data!$E:$E,'DETAY-yaslandırma'!$A74)</f>
        <v>0</v>
      </c>
      <c r="J74" s="5">
        <f>SUMIFS(ham_data!AH:AH,ham_data!$J:$J,'DETAY-yaslandırma'!$B74,ham_data!$E:$E,'DETAY-yaslandırma'!$A74)</f>
        <v>0</v>
      </c>
      <c r="K74" s="7">
        <f>SUMIFS(DETAY!D:D,DETAY!A:A,'DETAY-yaslandırma'!A74,DETAY!B:B,'DETAY-yaslandırma'!B74)</f>
        <v>0</v>
      </c>
      <c r="L74" s="7">
        <f>SUMIFS(ham_data!U:U,ham_data!$J:$J,'DETAY-yaslandırma'!$B74,ham_data!$E:$E,'DETAY-yaslandırma'!$A74)</f>
        <v>0</v>
      </c>
      <c r="M74" s="7">
        <f>SUMIFS(ham_data!V:V,ham_data!$J:$J,'DETAY-yaslandırma'!$B74,ham_data!$E:$E,'DETAY-yaslandırma'!$A74)</f>
        <v>0</v>
      </c>
      <c r="N74" s="7">
        <f>SUMIFS(ham_data!W:W,ham_data!$J:$J,'DETAY-yaslandırma'!$B74,ham_data!$E:$E,'DETAY-yaslandırma'!$A74)</f>
        <v>0</v>
      </c>
      <c r="O74" s="7">
        <f>SUMIFS(ham_data!X:X,ham_data!$J:$J,'DETAY-yaslandırma'!$B74,ham_data!$E:$E,'DETAY-yaslandırma'!$A74)</f>
        <v>0</v>
      </c>
      <c r="P74" s="7">
        <f>SUMIFS(ham_data!Y:Y,ham_data!$J:$J,'DETAY-yaslandırma'!$B74,ham_data!$E:$E,'DETAY-yaslandırma'!$A74)</f>
        <v>0</v>
      </c>
      <c r="Q74" s="7">
        <f>SUMIFS(ham_data!Z:Z,ham_data!$J:$J,'DETAY-yaslandırma'!$B74,ham_data!$E:$E,'DETAY-yaslandırma'!$A74)</f>
        <v>0</v>
      </c>
      <c r="R74" s="7">
        <f>SUMIFS(ham_data!AA:AA,ham_data!$J:$J,'DETAY-yaslandırma'!$B74,ham_data!$E:$E,'DETAY-yaslandırma'!$A74)</f>
        <v>0</v>
      </c>
      <c r="S74" s="3">
        <f>SUMIFS(DETAY!E:E,DETAY!A:A,'DETAY-yaslandırma'!A74,DETAY!B:B,'DETAY-yaslandırma'!B74)</f>
        <v>0</v>
      </c>
      <c r="T74" s="3">
        <f t="shared" si="6"/>
        <v>0</v>
      </c>
      <c r="U74" s="11">
        <f t="shared" si="7"/>
        <v>0</v>
      </c>
    </row>
    <row r="75" spans="1:21" x14ac:dyDescent="0.35">
      <c r="A75" s="10" t="s">
        <v>81</v>
      </c>
      <c r="B75" s="2" t="s">
        <v>11</v>
      </c>
      <c r="C75" s="5">
        <f>SUMIFS(DETAY!C:C,DETAY!A:A,'DETAY-yaslandırma'!A75,DETAY!B:B,'DETAY-yaslandırma'!B75)</f>
        <v>0</v>
      </c>
      <c r="D75" s="5">
        <f>SUMIFS(ham_data!AB:AB,ham_data!$J:$J,'DETAY-yaslandırma'!$B75,ham_data!$E:$E,'DETAY-yaslandırma'!$A75)</f>
        <v>0</v>
      </c>
      <c r="E75" s="5">
        <f>SUMIFS(ham_data!AC:AC,ham_data!$J:$J,'DETAY-yaslandırma'!$B75,ham_data!$E:$E,'DETAY-yaslandırma'!$A75)</f>
        <v>0</v>
      </c>
      <c r="F75" s="5">
        <f>SUMIFS(ham_data!AD:AD,ham_data!$J:$J,'DETAY-yaslandırma'!$B75,ham_data!$E:$E,'DETAY-yaslandırma'!$A75)</f>
        <v>0</v>
      </c>
      <c r="G75" s="5">
        <f>SUMIFS(ham_data!AE:AE,ham_data!$J:$J,'DETAY-yaslandırma'!$B75,ham_data!$E:$E,'DETAY-yaslandırma'!$A75)</f>
        <v>0</v>
      </c>
      <c r="H75" s="5">
        <f>SUMIFS(ham_data!AF:AF,ham_data!$J:$J,'DETAY-yaslandırma'!$B75,ham_data!$E:$E,'DETAY-yaslandırma'!$A75)</f>
        <v>0</v>
      </c>
      <c r="I75" s="5">
        <f>SUMIFS(ham_data!AG:AG,ham_data!$J:$J,'DETAY-yaslandırma'!$B75,ham_data!$E:$E,'DETAY-yaslandırma'!$A75)</f>
        <v>0</v>
      </c>
      <c r="J75" s="5">
        <f>SUMIFS(ham_data!AH:AH,ham_data!$J:$J,'DETAY-yaslandırma'!$B75,ham_data!$E:$E,'DETAY-yaslandırma'!$A75)</f>
        <v>0</v>
      </c>
      <c r="K75" s="7">
        <f>SUMIFS(DETAY!D:D,DETAY!A:A,'DETAY-yaslandırma'!A75,DETAY!B:B,'DETAY-yaslandırma'!B75)</f>
        <v>0</v>
      </c>
      <c r="L75" s="7">
        <f>SUMIFS(ham_data!U:U,ham_data!$J:$J,'DETAY-yaslandırma'!$B75,ham_data!$E:$E,'DETAY-yaslandırma'!$A75)</f>
        <v>0</v>
      </c>
      <c r="M75" s="7">
        <f>SUMIFS(ham_data!V:V,ham_data!$J:$J,'DETAY-yaslandırma'!$B75,ham_data!$E:$E,'DETAY-yaslandırma'!$A75)</f>
        <v>0</v>
      </c>
      <c r="N75" s="7">
        <f>SUMIFS(ham_data!W:W,ham_data!$J:$J,'DETAY-yaslandırma'!$B75,ham_data!$E:$E,'DETAY-yaslandırma'!$A75)</f>
        <v>0</v>
      </c>
      <c r="O75" s="7">
        <f>SUMIFS(ham_data!X:X,ham_data!$J:$J,'DETAY-yaslandırma'!$B75,ham_data!$E:$E,'DETAY-yaslandırma'!$A75)</f>
        <v>0</v>
      </c>
      <c r="P75" s="7">
        <f>SUMIFS(ham_data!Y:Y,ham_data!$J:$J,'DETAY-yaslandırma'!$B75,ham_data!$E:$E,'DETAY-yaslandırma'!$A75)</f>
        <v>0</v>
      </c>
      <c r="Q75" s="7">
        <f>SUMIFS(ham_data!Z:Z,ham_data!$J:$J,'DETAY-yaslandırma'!$B75,ham_data!$E:$E,'DETAY-yaslandırma'!$A75)</f>
        <v>0</v>
      </c>
      <c r="R75" s="7">
        <f>SUMIFS(ham_data!AA:AA,ham_data!$J:$J,'DETAY-yaslandırma'!$B75,ham_data!$E:$E,'DETAY-yaslandırma'!$A75)</f>
        <v>0</v>
      </c>
      <c r="S75" s="3">
        <f>SUMIFS(DETAY!E:E,DETAY!A:A,'DETAY-yaslandırma'!A75,DETAY!B:B,'DETAY-yaslandırma'!B75)</f>
        <v>0</v>
      </c>
      <c r="T75" s="3">
        <f t="shared" si="6"/>
        <v>0</v>
      </c>
      <c r="U75" s="11">
        <f t="shared" si="7"/>
        <v>0</v>
      </c>
    </row>
    <row r="76" spans="1:21" x14ac:dyDescent="0.35">
      <c r="A76" s="10" t="s">
        <v>40</v>
      </c>
      <c r="B76" s="2" t="s">
        <v>37</v>
      </c>
      <c r="C76" s="5">
        <f>SUMIFS(DETAY!C:C,DETAY!A:A,'DETAY-yaslandırma'!A76,DETAY!B:B,'DETAY-yaslandırma'!B76)</f>
        <v>0</v>
      </c>
      <c r="D76" s="5">
        <f>SUMIFS(ham_data!AB:AB,ham_data!$J:$J,'DETAY-yaslandırma'!$B76,ham_data!$E:$E,'DETAY-yaslandırma'!$A76)</f>
        <v>0</v>
      </c>
      <c r="E76" s="5">
        <f>SUMIFS(ham_data!AC:AC,ham_data!$J:$J,'DETAY-yaslandırma'!$B76,ham_data!$E:$E,'DETAY-yaslandırma'!$A76)</f>
        <v>0</v>
      </c>
      <c r="F76" s="5">
        <f>SUMIFS(ham_data!AD:AD,ham_data!$J:$J,'DETAY-yaslandırma'!$B76,ham_data!$E:$E,'DETAY-yaslandırma'!$A76)</f>
        <v>0</v>
      </c>
      <c r="G76" s="5">
        <f>SUMIFS(ham_data!AE:AE,ham_data!$J:$J,'DETAY-yaslandırma'!$B76,ham_data!$E:$E,'DETAY-yaslandırma'!$A76)</f>
        <v>0</v>
      </c>
      <c r="H76" s="5">
        <f>SUMIFS(ham_data!AF:AF,ham_data!$J:$J,'DETAY-yaslandırma'!$B76,ham_data!$E:$E,'DETAY-yaslandırma'!$A76)</f>
        <v>0</v>
      </c>
      <c r="I76" s="5">
        <f>SUMIFS(ham_data!AG:AG,ham_data!$J:$J,'DETAY-yaslandırma'!$B76,ham_data!$E:$E,'DETAY-yaslandırma'!$A76)</f>
        <v>0</v>
      </c>
      <c r="J76" s="5">
        <f>SUMIFS(ham_data!AH:AH,ham_data!$J:$J,'DETAY-yaslandırma'!$B76,ham_data!$E:$E,'DETAY-yaslandırma'!$A76)</f>
        <v>0</v>
      </c>
      <c r="K76" s="7">
        <f>SUMIFS(DETAY!D:D,DETAY!A:A,'DETAY-yaslandırma'!A76,DETAY!B:B,'DETAY-yaslandırma'!B76)</f>
        <v>56</v>
      </c>
      <c r="L76" s="7">
        <f>SUMIFS(ham_data!U:U,ham_data!$J:$J,'DETAY-yaslandırma'!$B76,ham_data!$E:$E,'DETAY-yaslandırma'!$A76)</f>
        <v>56</v>
      </c>
      <c r="M76" s="7">
        <f>SUMIFS(ham_data!V:V,ham_data!$J:$J,'DETAY-yaslandırma'!$B76,ham_data!$E:$E,'DETAY-yaslandırma'!$A76)</f>
        <v>0</v>
      </c>
      <c r="N76" s="7">
        <f>SUMIFS(ham_data!W:W,ham_data!$J:$J,'DETAY-yaslandırma'!$B76,ham_data!$E:$E,'DETAY-yaslandırma'!$A76)</f>
        <v>0</v>
      </c>
      <c r="O76" s="7">
        <f>SUMIFS(ham_data!X:X,ham_data!$J:$J,'DETAY-yaslandırma'!$B76,ham_data!$E:$E,'DETAY-yaslandırma'!$A76)</f>
        <v>0</v>
      </c>
      <c r="P76" s="7">
        <f>SUMIFS(ham_data!Y:Y,ham_data!$J:$J,'DETAY-yaslandırma'!$B76,ham_data!$E:$E,'DETAY-yaslandırma'!$A76)</f>
        <v>0</v>
      </c>
      <c r="Q76" s="7">
        <f>SUMIFS(ham_data!Z:Z,ham_data!$J:$J,'DETAY-yaslandırma'!$B76,ham_data!$E:$E,'DETAY-yaslandırma'!$A76)</f>
        <v>0</v>
      </c>
      <c r="R76" s="7">
        <f>SUMIFS(ham_data!AA:AA,ham_data!$J:$J,'DETAY-yaslandırma'!$B76,ham_data!$E:$E,'DETAY-yaslandırma'!$A76)</f>
        <v>0</v>
      </c>
      <c r="S76" s="3">
        <f>SUMIFS(DETAY!E:E,DETAY!A:A,'DETAY-yaslandırma'!A76,DETAY!B:B,'DETAY-yaslandırma'!B76)</f>
        <v>56</v>
      </c>
      <c r="T76" s="3">
        <f t="shared" si="6"/>
        <v>0</v>
      </c>
      <c r="U76" s="11">
        <f t="shared" si="7"/>
        <v>0</v>
      </c>
    </row>
    <row r="77" spans="1:21" x14ac:dyDescent="0.35">
      <c r="A77" s="10" t="s">
        <v>226</v>
      </c>
      <c r="B77" s="2" t="s">
        <v>11</v>
      </c>
      <c r="C77" s="5">
        <f>SUMIFS(DETAY!C:C,DETAY!A:A,'DETAY-yaslandırma'!A77,DETAY!B:B,'DETAY-yaslandırma'!B77)</f>
        <v>0</v>
      </c>
      <c r="D77" s="5">
        <f>SUMIFS(ham_data!AB:AB,ham_data!$J:$J,'DETAY-yaslandırma'!$B77,ham_data!$E:$E,'DETAY-yaslandırma'!$A77)</f>
        <v>0</v>
      </c>
      <c r="E77" s="5">
        <f>SUMIFS(ham_data!AC:AC,ham_data!$J:$J,'DETAY-yaslandırma'!$B77,ham_data!$E:$E,'DETAY-yaslandırma'!$A77)</f>
        <v>0</v>
      </c>
      <c r="F77" s="5">
        <f>SUMIFS(ham_data!AD:AD,ham_data!$J:$J,'DETAY-yaslandırma'!$B77,ham_data!$E:$E,'DETAY-yaslandırma'!$A77)</f>
        <v>0</v>
      </c>
      <c r="G77" s="5">
        <f>SUMIFS(ham_data!AE:AE,ham_data!$J:$J,'DETAY-yaslandırma'!$B77,ham_data!$E:$E,'DETAY-yaslandırma'!$A77)</f>
        <v>0</v>
      </c>
      <c r="H77" s="5">
        <f>SUMIFS(ham_data!AF:AF,ham_data!$J:$J,'DETAY-yaslandırma'!$B77,ham_data!$E:$E,'DETAY-yaslandırma'!$A77)</f>
        <v>0</v>
      </c>
      <c r="I77" s="5">
        <f>SUMIFS(ham_data!AG:AG,ham_data!$J:$J,'DETAY-yaslandırma'!$B77,ham_data!$E:$E,'DETAY-yaslandırma'!$A77)</f>
        <v>0</v>
      </c>
      <c r="J77" s="5">
        <f>SUMIFS(ham_data!AH:AH,ham_data!$J:$J,'DETAY-yaslandırma'!$B77,ham_data!$E:$E,'DETAY-yaslandırma'!$A77)</f>
        <v>0</v>
      </c>
      <c r="K77" s="7">
        <f>SUMIFS(DETAY!D:D,DETAY!A:A,'DETAY-yaslandırma'!A77,DETAY!B:B,'DETAY-yaslandırma'!B77)</f>
        <v>2374792.9099999997</v>
      </c>
      <c r="L77" s="7">
        <f>SUMIFS(ham_data!U:U,ham_data!$J:$J,'DETAY-yaslandırma'!$B77,ham_data!$E:$E,'DETAY-yaslandırma'!$A77)</f>
        <v>1484460.6099999999</v>
      </c>
      <c r="M77" s="7">
        <f>SUMIFS(ham_data!V:V,ham_data!$J:$J,'DETAY-yaslandırma'!$B77,ham_data!$E:$E,'DETAY-yaslandırma'!$A77)</f>
        <v>890332.3</v>
      </c>
      <c r="N77" s="7">
        <f>SUMIFS(ham_data!W:W,ham_data!$J:$J,'DETAY-yaslandırma'!$B77,ham_data!$E:$E,'DETAY-yaslandırma'!$A77)</f>
        <v>0</v>
      </c>
      <c r="O77" s="7">
        <f>SUMIFS(ham_data!X:X,ham_data!$J:$J,'DETAY-yaslandırma'!$B77,ham_data!$E:$E,'DETAY-yaslandırma'!$A77)</f>
        <v>0</v>
      </c>
      <c r="P77" s="7">
        <f>SUMIFS(ham_data!Y:Y,ham_data!$J:$J,'DETAY-yaslandırma'!$B77,ham_data!$E:$E,'DETAY-yaslandırma'!$A77)</f>
        <v>0</v>
      </c>
      <c r="Q77" s="7">
        <f>SUMIFS(ham_data!Z:Z,ham_data!$J:$J,'DETAY-yaslandırma'!$B77,ham_data!$E:$E,'DETAY-yaslandırma'!$A77)</f>
        <v>0</v>
      </c>
      <c r="R77" s="7">
        <f>SUMIFS(ham_data!AA:AA,ham_data!$J:$J,'DETAY-yaslandırma'!$B77,ham_data!$E:$E,'DETAY-yaslandırma'!$A77)</f>
        <v>0</v>
      </c>
      <c r="S77" s="3">
        <f>SUMIFS(DETAY!E:E,DETAY!A:A,'DETAY-yaslandırma'!A77,DETAY!B:B,'DETAY-yaslandırma'!B77)</f>
        <v>2374792.9099999997</v>
      </c>
      <c r="T77" s="3">
        <f t="shared" si="6"/>
        <v>0</v>
      </c>
      <c r="U77" s="11">
        <f t="shared" si="7"/>
        <v>0</v>
      </c>
    </row>
    <row r="78" spans="1:21" x14ac:dyDescent="0.35">
      <c r="A78" s="10" t="s">
        <v>53</v>
      </c>
      <c r="B78" s="2" t="s">
        <v>11</v>
      </c>
      <c r="C78" s="5">
        <f>SUMIFS(DETAY!C:C,DETAY!A:A,'DETAY-yaslandırma'!A78,DETAY!B:B,'DETAY-yaslandırma'!B78)</f>
        <v>0</v>
      </c>
      <c r="D78" s="5">
        <f>SUMIFS(ham_data!AB:AB,ham_data!$J:$J,'DETAY-yaslandırma'!$B78,ham_data!$E:$E,'DETAY-yaslandırma'!$A78)</f>
        <v>0</v>
      </c>
      <c r="E78" s="5">
        <f>SUMIFS(ham_data!AC:AC,ham_data!$J:$J,'DETAY-yaslandırma'!$B78,ham_data!$E:$E,'DETAY-yaslandırma'!$A78)</f>
        <v>0</v>
      </c>
      <c r="F78" s="5">
        <f>SUMIFS(ham_data!AD:AD,ham_data!$J:$J,'DETAY-yaslandırma'!$B78,ham_data!$E:$E,'DETAY-yaslandırma'!$A78)</f>
        <v>0</v>
      </c>
      <c r="G78" s="5">
        <f>SUMIFS(ham_data!AE:AE,ham_data!$J:$J,'DETAY-yaslandırma'!$B78,ham_data!$E:$E,'DETAY-yaslandırma'!$A78)</f>
        <v>0</v>
      </c>
      <c r="H78" s="5">
        <f>SUMIFS(ham_data!AF:AF,ham_data!$J:$J,'DETAY-yaslandırma'!$B78,ham_data!$E:$E,'DETAY-yaslandırma'!$A78)</f>
        <v>0</v>
      </c>
      <c r="I78" s="5">
        <f>SUMIFS(ham_data!AG:AG,ham_data!$J:$J,'DETAY-yaslandırma'!$B78,ham_data!$E:$E,'DETAY-yaslandırma'!$A78)</f>
        <v>0</v>
      </c>
      <c r="J78" s="5">
        <f>SUMIFS(ham_data!AH:AH,ham_data!$J:$J,'DETAY-yaslandırma'!$B78,ham_data!$E:$E,'DETAY-yaslandırma'!$A78)</f>
        <v>0</v>
      </c>
      <c r="K78" s="7">
        <f>SUMIFS(DETAY!D:D,DETAY!A:A,'DETAY-yaslandırma'!A78,DETAY!B:B,'DETAY-yaslandırma'!B78)</f>
        <v>0</v>
      </c>
      <c r="L78" s="7">
        <f>SUMIFS(ham_data!U:U,ham_data!$J:$J,'DETAY-yaslandırma'!$B78,ham_data!$E:$E,'DETAY-yaslandırma'!$A78)</f>
        <v>0</v>
      </c>
      <c r="M78" s="7">
        <f>SUMIFS(ham_data!V:V,ham_data!$J:$J,'DETAY-yaslandırma'!$B78,ham_data!$E:$E,'DETAY-yaslandırma'!$A78)</f>
        <v>0</v>
      </c>
      <c r="N78" s="7">
        <f>SUMIFS(ham_data!W:W,ham_data!$J:$J,'DETAY-yaslandırma'!$B78,ham_data!$E:$E,'DETAY-yaslandırma'!$A78)</f>
        <v>0</v>
      </c>
      <c r="O78" s="7">
        <f>SUMIFS(ham_data!X:X,ham_data!$J:$J,'DETAY-yaslandırma'!$B78,ham_data!$E:$E,'DETAY-yaslandırma'!$A78)</f>
        <v>0</v>
      </c>
      <c r="P78" s="7">
        <f>SUMIFS(ham_data!Y:Y,ham_data!$J:$J,'DETAY-yaslandırma'!$B78,ham_data!$E:$E,'DETAY-yaslandırma'!$A78)</f>
        <v>0</v>
      </c>
      <c r="Q78" s="7">
        <f>SUMIFS(ham_data!Z:Z,ham_data!$J:$J,'DETAY-yaslandırma'!$B78,ham_data!$E:$E,'DETAY-yaslandırma'!$A78)</f>
        <v>0</v>
      </c>
      <c r="R78" s="7">
        <f>SUMIFS(ham_data!AA:AA,ham_data!$J:$J,'DETAY-yaslandırma'!$B78,ham_data!$E:$E,'DETAY-yaslandırma'!$A78)</f>
        <v>0</v>
      </c>
      <c r="S78" s="3">
        <f>SUMIFS(DETAY!E:E,DETAY!A:A,'DETAY-yaslandırma'!A78,DETAY!B:B,'DETAY-yaslandırma'!B78)</f>
        <v>0</v>
      </c>
      <c r="T78" s="3">
        <f t="shared" si="6"/>
        <v>0</v>
      </c>
      <c r="U78" s="11">
        <f t="shared" si="7"/>
        <v>0</v>
      </c>
    </row>
    <row r="79" spans="1:21" x14ac:dyDescent="0.35">
      <c r="A79" s="10" t="s">
        <v>34</v>
      </c>
      <c r="B79" s="2" t="s">
        <v>37</v>
      </c>
      <c r="C79" s="5">
        <f>SUMIFS(DETAY!C:C,DETAY!A:A,'DETAY-yaslandırma'!A79,DETAY!B:B,'DETAY-yaslandırma'!B79)</f>
        <v>0</v>
      </c>
      <c r="D79" s="5">
        <f>SUMIFS(ham_data!AB:AB,ham_data!$J:$J,'DETAY-yaslandırma'!$B79,ham_data!$E:$E,'DETAY-yaslandırma'!$A79)</f>
        <v>0</v>
      </c>
      <c r="E79" s="5">
        <f>SUMIFS(ham_data!AC:AC,ham_data!$J:$J,'DETAY-yaslandırma'!$B79,ham_data!$E:$E,'DETAY-yaslandırma'!$A79)</f>
        <v>0</v>
      </c>
      <c r="F79" s="5">
        <f>SUMIFS(ham_data!AD:AD,ham_data!$J:$J,'DETAY-yaslandırma'!$B79,ham_data!$E:$E,'DETAY-yaslandırma'!$A79)</f>
        <v>0</v>
      </c>
      <c r="G79" s="5">
        <f>SUMIFS(ham_data!AE:AE,ham_data!$J:$J,'DETAY-yaslandırma'!$B79,ham_data!$E:$E,'DETAY-yaslandırma'!$A79)</f>
        <v>0</v>
      </c>
      <c r="H79" s="5">
        <f>SUMIFS(ham_data!AF:AF,ham_data!$J:$J,'DETAY-yaslandırma'!$B79,ham_data!$E:$E,'DETAY-yaslandırma'!$A79)</f>
        <v>0</v>
      </c>
      <c r="I79" s="5">
        <f>SUMIFS(ham_data!AG:AG,ham_data!$J:$J,'DETAY-yaslandırma'!$B79,ham_data!$E:$E,'DETAY-yaslandırma'!$A79)</f>
        <v>0</v>
      </c>
      <c r="J79" s="5">
        <f>SUMIFS(ham_data!AH:AH,ham_data!$J:$J,'DETAY-yaslandırma'!$B79,ham_data!$E:$E,'DETAY-yaslandırma'!$A79)</f>
        <v>0</v>
      </c>
      <c r="K79" s="7">
        <f>SUMIFS(DETAY!D:D,DETAY!A:A,'DETAY-yaslandırma'!A79,DETAY!B:B,'DETAY-yaslandırma'!B79)</f>
        <v>0</v>
      </c>
      <c r="L79" s="7">
        <f>SUMIFS(ham_data!U:U,ham_data!$J:$J,'DETAY-yaslandırma'!$B79,ham_data!$E:$E,'DETAY-yaslandırma'!$A79)</f>
        <v>0</v>
      </c>
      <c r="M79" s="7">
        <f>SUMIFS(ham_data!V:V,ham_data!$J:$J,'DETAY-yaslandırma'!$B79,ham_data!$E:$E,'DETAY-yaslandırma'!$A79)</f>
        <v>0</v>
      </c>
      <c r="N79" s="7">
        <f>SUMIFS(ham_data!W:W,ham_data!$J:$J,'DETAY-yaslandırma'!$B79,ham_data!$E:$E,'DETAY-yaslandırma'!$A79)</f>
        <v>0</v>
      </c>
      <c r="O79" s="7">
        <f>SUMIFS(ham_data!X:X,ham_data!$J:$J,'DETAY-yaslandırma'!$B79,ham_data!$E:$E,'DETAY-yaslandırma'!$A79)</f>
        <v>0</v>
      </c>
      <c r="P79" s="7">
        <f>SUMIFS(ham_data!Y:Y,ham_data!$J:$J,'DETAY-yaslandırma'!$B79,ham_data!$E:$E,'DETAY-yaslandırma'!$A79)</f>
        <v>0</v>
      </c>
      <c r="Q79" s="7">
        <f>SUMIFS(ham_data!Z:Z,ham_data!$J:$J,'DETAY-yaslandırma'!$B79,ham_data!$E:$E,'DETAY-yaslandırma'!$A79)</f>
        <v>0</v>
      </c>
      <c r="R79" s="7">
        <f>SUMIFS(ham_data!AA:AA,ham_data!$J:$J,'DETAY-yaslandırma'!$B79,ham_data!$E:$E,'DETAY-yaslandırma'!$A79)</f>
        <v>0</v>
      </c>
      <c r="S79" s="3">
        <f>SUMIFS(DETAY!E:E,DETAY!A:A,'DETAY-yaslandırma'!A79,DETAY!B:B,'DETAY-yaslandırma'!B79)</f>
        <v>0</v>
      </c>
      <c r="T79" s="3">
        <f t="shared" si="6"/>
        <v>0</v>
      </c>
      <c r="U79" s="11">
        <f t="shared" si="7"/>
        <v>0</v>
      </c>
    </row>
    <row r="80" spans="1:21" x14ac:dyDescent="0.35">
      <c r="A80" s="10" t="s">
        <v>34</v>
      </c>
      <c r="B80" s="2" t="s">
        <v>11</v>
      </c>
      <c r="C80" s="5">
        <f>SUMIFS(DETAY!C:C,DETAY!A:A,'DETAY-yaslandırma'!A80,DETAY!B:B,'DETAY-yaslandırma'!B80)</f>
        <v>0</v>
      </c>
      <c r="D80" s="5">
        <f>SUMIFS(ham_data!AB:AB,ham_data!$J:$J,'DETAY-yaslandırma'!$B80,ham_data!$E:$E,'DETAY-yaslandırma'!$A80)</f>
        <v>0</v>
      </c>
      <c r="E80" s="5">
        <f>SUMIFS(ham_data!AC:AC,ham_data!$J:$J,'DETAY-yaslandırma'!$B80,ham_data!$E:$E,'DETAY-yaslandırma'!$A80)</f>
        <v>0</v>
      </c>
      <c r="F80" s="5">
        <f>SUMIFS(ham_data!AD:AD,ham_data!$J:$J,'DETAY-yaslandırma'!$B80,ham_data!$E:$E,'DETAY-yaslandırma'!$A80)</f>
        <v>0</v>
      </c>
      <c r="G80" s="5">
        <f>SUMIFS(ham_data!AE:AE,ham_data!$J:$J,'DETAY-yaslandırma'!$B80,ham_data!$E:$E,'DETAY-yaslandırma'!$A80)</f>
        <v>0</v>
      </c>
      <c r="H80" s="5">
        <f>SUMIFS(ham_data!AF:AF,ham_data!$J:$J,'DETAY-yaslandırma'!$B80,ham_data!$E:$E,'DETAY-yaslandırma'!$A80)</f>
        <v>0</v>
      </c>
      <c r="I80" s="5">
        <f>SUMIFS(ham_data!AG:AG,ham_data!$J:$J,'DETAY-yaslandırma'!$B80,ham_data!$E:$E,'DETAY-yaslandırma'!$A80)</f>
        <v>0</v>
      </c>
      <c r="J80" s="5">
        <f>SUMIFS(ham_data!AH:AH,ham_data!$J:$J,'DETAY-yaslandırma'!$B80,ham_data!$E:$E,'DETAY-yaslandırma'!$A80)</f>
        <v>0</v>
      </c>
      <c r="K80" s="7">
        <f>SUMIFS(DETAY!D:D,DETAY!A:A,'DETAY-yaslandırma'!A80,DETAY!B:B,'DETAY-yaslandırma'!B80)</f>
        <v>74862.3</v>
      </c>
      <c r="L80" s="7">
        <f>SUMIFS(ham_data!U:U,ham_data!$J:$J,'DETAY-yaslandırma'!$B80,ham_data!$E:$E,'DETAY-yaslandırma'!$A80)</f>
        <v>74862.3</v>
      </c>
      <c r="M80" s="7">
        <f>SUMIFS(ham_data!V:V,ham_data!$J:$J,'DETAY-yaslandırma'!$B80,ham_data!$E:$E,'DETAY-yaslandırma'!$A80)</f>
        <v>0</v>
      </c>
      <c r="N80" s="7">
        <f>SUMIFS(ham_data!W:W,ham_data!$J:$J,'DETAY-yaslandırma'!$B80,ham_data!$E:$E,'DETAY-yaslandırma'!$A80)</f>
        <v>0</v>
      </c>
      <c r="O80" s="7">
        <f>SUMIFS(ham_data!X:X,ham_data!$J:$J,'DETAY-yaslandırma'!$B80,ham_data!$E:$E,'DETAY-yaslandırma'!$A80)</f>
        <v>0</v>
      </c>
      <c r="P80" s="7">
        <f>SUMIFS(ham_data!Y:Y,ham_data!$J:$J,'DETAY-yaslandırma'!$B80,ham_data!$E:$E,'DETAY-yaslandırma'!$A80)</f>
        <v>0</v>
      </c>
      <c r="Q80" s="7">
        <f>SUMIFS(ham_data!Z:Z,ham_data!$J:$J,'DETAY-yaslandırma'!$B80,ham_data!$E:$E,'DETAY-yaslandırma'!$A80)</f>
        <v>0</v>
      </c>
      <c r="R80" s="7">
        <f>SUMIFS(ham_data!AA:AA,ham_data!$J:$J,'DETAY-yaslandırma'!$B80,ham_data!$E:$E,'DETAY-yaslandırma'!$A80)</f>
        <v>0</v>
      </c>
      <c r="S80" s="3">
        <f>SUMIFS(DETAY!E:E,DETAY!A:A,'DETAY-yaslandırma'!A80,DETAY!B:B,'DETAY-yaslandırma'!B80)</f>
        <v>74862.3</v>
      </c>
      <c r="T80" s="3">
        <f t="shared" si="6"/>
        <v>0</v>
      </c>
      <c r="U80" s="11">
        <f t="shared" si="7"/>
        <v>0</v>
      </c>
    </row>
    <row r="81" spans="1:21" x14ac:dyDescent="0.35">
      <c r="A81" s="10" t="s">
        <v>229</v>
      </c>
      <c r="B81" s="2" t="s">
        <v>11</v>
      </c>
      <c r="C81" s="5">
        <f>SUMIFS(DETAY!C:C,DETAY!A:A,'DETAY-yaslandırma'!A81,DETAY!B:B,'DETAY-yaslandırma'!B81)</f>
        <v>0</v>
      </c>
      <c r="D81" s="5">
        <f>SUMIFS(ham_data!AB:AB,ham_data!$J:$J,'DETAY-yaslandırma'!$B81,ham_data!$E:$E,'DETAY-yaslandırma'!$A81)</f>
        <v>0</v>
      </c>
      <c r="E81" s="5">
        <f>SUMIFS(ham_data!AC:AC,ham_data!$J:$J,'DETAY-yaslandırma'!$B81,ham_data!$E:$E,'DETAY-yaslandırma'!$A81)</f>
        <v>0</v>
      </c>
      <c r="F81" s="5">
        <f>SUMIFS(ham_data!AD:AD,ham_data!$J:$J,'DETAY-yaslandırma'!$B81,ham_data!$E:$E,'DETAY-yaslandırma'!$A81)</f>
        <v>0</v>
      </c>
      <c r="G81" s="5">
        <f>SUMIFS(ham_data!AE:AE,ham_data!$J:$J,'DETAY-yaslandırma'!$B81,ham_data!$E:$E,'DETAY-yaslandırma'!$A81)</f>
        <v>0</v>
      </c>
      <c r="H81" s="5">
        <f>SUMIFS(ham_data!AF:AF,ham_data!$J:$J,'DETAY-yaslandırma'!$B81,ham_data!$E:$E,'DETAY-yaslandırma'!$A81)</f>
        <v>0</v>
      </c>
      <c r="I81" s="5">
        <f>SUMIFS(ham_data!AG:AG,ham_data!$J:$J,'DETAY-yaslandırma'!$B81,ham_data!$E:$E,'DETAY-yaslandırma'!$A81)</f>
        <v>0</v>
      </c>
      <c r="J81" s="5">
        <f>SUMIFS(ham_data!AH:AH,ham_data!$J:$J,'DETAY-yaslandırma'!$B81,ham_data!$E:$E,'DETAY-yaslandırma'!$A81)</f>
        <v>0</v>
      </c>
      <c r="K81" s="7">
        <f>SUMIFS(DETAY!D:D,DETAY!A:A,'DETAY-yaslandırma'!A81,DETAY!B:B,'DETAY-yaslandırma'!B81)</f>
        <v>0</v>
      </c>
      <c r="L81" s="7">
        <f>SUMIFS(ham_data!U:U,ham_data!$J:$J,'DETAY-yaslandırma'!$B81,ham_data!$E:$E,'DETAY-yaslandırma'!$A81)</f>
        <v>0</v>
      </c>
      <c r="M81" s="7">
        <f>SUMIFS(ham_data!V:V,ham_data!$J:$J,'DETAY-yaslandırma'!$B81,ham_data!$E:$E,'DETAY-yaslandırma'!$A81)</f>
        <v>0</v>
      </c>
      <c r="N81" s="7">
        <f>SUMIFS(ham_data!W:W,ham_data!$J:$J,'DETAY-yaslandırma'!$B81,ham_data!$E:$E,'DETAY-yaslandırma'!$A81)</f>
        <v>0</v>
      </c>
      <c r="O81" s="7">
        <f>SUMIFS(ham_data!X:X,ham_data!$J:$J,'DETAY-yaslandırma'!$B81,ham_data!$E:$E,'DETAY-yaslandırma'!$A81)</f>
        <v>0</v>
      </c>
      <c r="P81" s="7">
        <f>SUMIFS(ham_data!Y:Y,ham_data!$J:$J,'DETAY-yaslandırma'!$B81,ham_data!$E:$E,'DETAY-yaslandırma'!$A81)</f>
        <v>0</v>
      </c>
      <c r="Q81" s="7">
        <f>SUMIFS(ham_data!Z:Z,ham_data!$J:$J,'DETAY-yaslandırma'!$B81,ham_data!$E:$E,'DETAY-yaslandırma'!$A81)</f>
        <v>0</v>
      </c>
      <c r="R81" s="7">
        <f>SUMIFS(ham_data!AA:AA,ham_data!$J:$J,'DETAY-yaslandırma'!$B81,ham_data!$E:$E,'DETAY-yaslandırma'!$A81)</f>
        <v>0</v>
      </c>
      <c r="S81" s="3">
        <f>SUMIFS(DETAY!E:E,DETAY!A:A,'DETAY-yaslandırma'!A81,DETAY!B:B,'DETAY-yaslandırma'!B81)</f>
        <v>0</v>
      </c>
      <c r="T81" s="3">
        <f t="shared" si="6"/>
        <v>0</v>
      </c>
      <c r="U81" s="11">
        <f t="shared" si="7"/>
        <v>0</v>
      </c>
    </row>
    <row r="82" spans="1:21" x14ac:dyDescent="0.35">
      <c r="A82" s="10" t="s">
        <v>236</v>
      </c>
      <c r="B82" s="2" t="s">
        <v>11</v>
      </c>
      <c r="C82" s="5">
        <f>SUMIFS(DETAY!C:C,DETAY!A:A,'DETAY-yaslandırma'!A82,DETAY!B:B,'DETAY-yaslandırma'!B82)</f>
        <v>2678755.08</v>
      </c>
      <c r="D82" s="5">
        <f>SUMIFS(ham_data!AB:AB,ham_data!$J:$J,'DETAY-yaslandırma'!$B82,ham_data!$E:$E,'DETAY-yaslandırma'!$A82)</f>
        <v>1376097.54</v>
      </c>
      <c r="E82" s="5">
        <f>SUMIFS(ham_data!AC:AC,ham_data!$J:$J,'DETAY-yaslandırma'!$B82,ham_data!$E:$E,'DETAY-yaslandırma'!$A82)</f>
        <v>0</v>
      </c>
      <c r="F82" s="5">
        <f>SUMIFS(ham_data!AD:AD,ham_data!$J:$J,'DETAY-yaslandırma'!$B82,ham_data!$E:$E,'DETAY-yaslandırma'!$A82)</f>
        <v>1302657.54</v>
      </c>
      <c r="G82" s="5">
        <f>SUMIFS(ham_data!AE:AE,ham_data!$J:$J,'DETAY-yaslandırma'!$B82,ham_data!$E:$E,'DETAY-yaslandırma'!$A82)</f>
        <v>0</v>
      </c>
      <c r="H82" s="5">
        <f>SUMIFS(ham_data!AF:AF,ham_data!$J:$J,'DETAY-yaslandırma'!$B82,ham_data!$E:$E,'DETAY-yaslandırma'!$A82)</f>
        <v>0</v>
      </c>
      <c r="I82" s="5">
        <f>SUMIFS(ham_data!AG:AG,ham_data!$J:$J,'DETAY-yaslandırma'!$B82,ham_data!$E:$E,'DETAY-yaslandırma'!$A82)</f>
        <v>0</v>
      </c>
      <c r="J82" s="5">
        <f>SUMIFS(ham_data!AH:AH,ham_data!$J:$J,'DETAY-yaslandırma'!$B82,ham_data!$E:$E,'DETAY-yaslandırma'!$A82)</f>
        <v>0</v>
      </c>
      <c r="K82" s="7">
        <f>SUMIFS(DETAY!D:D,DETAY!A:A,'DETAY-yaslandırma'!A82,DETAY!B:B,'DETAY-yaslandırma'!B82)</f>
        <v>0</v>
      </c>
      <c r="L82" s="7">
        <f>SUMIFS(ham_data!U:U,ham_data!$J:$J,'DETAY-yaslandırma'!$B82,ham_data!$E:$E,'DETAY-yaslandırma'!$A82)</f>
        <v>0</v>
      </c>
      <c r="M82" s="7">
        <f>SUMIFS(ham_data!V:V,ham_data!$J:$J,'DETAY-yaslandırma'!$B82,ham_data!$E:$E,'DETAY-yaslandırma'!$A82)</f>
        <v>0</v>
      </c>
      <c r="N82" s="7">
        <f>SUMIFS(ham_data!W:W,ham_data!$J:$J,'DETAY-yaslandırma'!$B82,ham_data!$E:$E,'DETAY-yaslandırma'!$A82)</f>
        <v>0</v>
      </c>
      <c r="O82" s="7">
        <f>SUMIFS(ham_data!X:X,ham_data!$J:$J,'DETAY-yaslandırma'!$B82,ham_data!$E:$E,'DETAY-yaslandırma'!$A82)</f>
        <v>0</v>
      </c>
      <c r="P82" s="7">
        <f>SUMIFS(ham_data!Y:Y,ham_data!$J:$J,'DETAY-yaslandırma'!$B82,ham_data!$E:$E,'DETAY-yaslandırma'!$A82)</f>
        <v>0</v>
      </c>
      <c r="Q82" s="7">
        <f>SUMIFS(ham_data!Z:Z,ham_data!$J:$J,'DETAY-yaslandırma'!$B82,ham_data!$E:$E,'DETAY-yaslandırma'!$A82)</f>
        <v>0</v>
      </c>
      <c r="R82" s="7">
        <f>SUMIFS(ham_data!AA:AA,ham_data!$J:$J,'DETAY-yaslandırma'!$B82,ham_data!$E:$E,'DETAY-yaslandırma'!$A82)</f>
        <v>0</v>
      </c>
      <c r="S82" s="3">
        <f>SUMIFS(DETAY!E:E,DETAY!A:A,'DETAY-yaslandırma'!A82,DETAY!B:B,'DETAY-yaslandırma'!B82)</f>
        <v>2678755.08</v>
      </c>
      <c r="T82" s="3">
        <f t="shared" si="6"/>
        <v>0</v>
      </c>
      <c r="U82" s="11">
        <f t="shared" si="7"/>
        <v>0</v>
      </c>
    </row>
    <row r="83" spans="1:21" x14ac:dyDescent="0.35">
      <c r="A83" s="10" t="s">
        <v>241</v>
      </c>
      <c r="B83" s="2" t="s">
        <v>11</v>
      </c>
      <c r="C83" s="5">
        <f>SUMIFS(DETAY!C:C,DETAY!A:A,'DETAY-yaslandırma'!A83,DETAY!B:B,'DETAY-yaslandırma'!B83)</f>
        <v>0</v>
      </c>
      <c r="D83" s="5">
        <f>SUMIFS(ham_data!AB:AB,ham_data!$J:$J,'DETAY-yaslandırma'!$B83,ham_data!$E:$E,'DETAY-yaslandırma'!$A83)</f>
        <v>0</v>
      </c>
      <c r="E83" s="5">
        <f>SUMIFS(ham_data!AC:AC,ham_data!$J:$J,'DETAY-yaslandırma'!$B83,ham_data!$E:$E,'DETAY-yaslandırma'!$A83)</f>
        <v>0</v>
      </c>
      <c r="F83" s="5">
        <f>SUMIFS(ham_data!AD:AD,ham_data!$J:$J,'DETAY-yaslandırma'!$B83,ham_data!$E:$E,'DETAY-yaslandırma'!$A83)</f>
        <v>0</v>
      </c>
      <c r="G83" s="5">
        <f>SUMIFS(ham_data!AE:AE,ham_data!$J:$J,'DETAY-yaslandırma'!$B83,ham_data!$E:$E,'DETAY-yaslandırma'!$A83)</f>
        <v>0</v>
      </c>
      <c r="H83" s="5">
        <f>SUMIFS(ham_data!AF:AF,ham_data!$J:$J,'DETAY-yaslandırma'!$B83,ham_data!$E:$E,'DETAY-yaslandırma'!$A83)</f>
        <v>0</v>
      </c>
      <c r="I83" s="5">
        <f>SUMIFS(ham_data!AG:AG,ham_data!$J:$J,'DETAY-yaslandırma'!$B83,ham_data!$E:$E,'DETAY-yaslandırma'!$A83)</f>
        <v>0</v>
      </c>
      <c r="J83" s="5">
        <f>SUMIFS(ham_data!AH:AH,ham_data!$J:$J,'DETAY-yaslandırma'!$B83,ham_data!$E:$E,'DETAY-yaslandırma'!$A83)</f>
        <v>0</v>
      </c>
      <c r="K83" s="7">
        <f>SUMIFS(DETAY!D:D,DETAY!A:A,'DETAY-yaslandırma'!A83,DETAY!B:B,'DETAY-yaslandırma'!B83)</f>
        <v>0</v>
      </c>
      <c r="L83" s="7">
        <f>SUMIFS(ham_data!U:U,ham_data!$J:$J,'DETAY-yaslandırma'!$B83,ham_data!$E:$E,'DETAY-yaslandırma'!$A83)</f>
        <v>0</v>
      </c>
      <c r="M83" s="7">
        <f>SUMIFS(ham_data!V:V,ham_data!$J:$J,'DETAY-yaslandırma'!$B83,ham_data!$E:$E,'DETAY-yaslandırma'!$A83)</f>
        <v>0</v>
      </c>
      <c r="N83" s="7">
        <f>SUMIFS(ham_data!W:W,ham_data!$J:$J,'DETAY-yaslandırma'!$B83,ham_data!$E:$E,'DETAY-yaslandırma'!$A83)</f>
        <v>0</v>
      </c>
      <c r="O83" s="7">
        <f>SUMIFS(ham_data!X:X,ham_data!$J:$J,'DETAY-yaslandırma'!$B83,ham_data!$E:$E,'DETAY-yaslandırma'!$A83)</f>
        <v>0</v>
      </c>
      <c r="P83" s="7">
        <f>SUMIFS(ham_data!Y:Y,ham_data!$J:$J,'DETAY-yaslandırma'!$B83,ham_data!$E:$E,'DETAY-yaslandırma'!$A83)</f>
        <v>0</v>
      </c>
      <c r="Q83" s="7">
        <f>SUMIFS(ham_data!Z:Z,ham_data!$J:$J,'DETAY-yaslandırma'!$B83,ham_data!$E:$E,'DETAY-yaslandırma'!$A83)</f>
        <v>0</v>
      </c>
      <c r="R83" s="7">
        <f>SUMIFS(ham_data!AA:AA,ham_data!$J:$J,'DETAY-yaslandırma'!$B83,ham_data!$E:$E,'DETAY-yaslandırma'!$A83)</f>
        <v>0</v>
      </c>
      <c r="S83" s="3">
        <f>SUMIFS(DETAY!E:E,DETAY!A:A,'DETAY-yaslandırma'!A83,DETAY!B:B,'DETAY-yaslandırma'!B83)</f>
        <v>0</v>
      </c>
      <c r="T83" s="3">
        <f t="shared" si="6"/>
        <v>0</v>
      </c>
      <c r="U83" s="11">
        <f t="shared" si="7"/>
        <v>0</v>
      </c>
    </row>
    <row r="84" spans="1:21" x14ac:dyDescent="0.35">
      <c r="A84" s="10" t="s">
        <v>228</v>
      </c>
      <c r="B84" s="2" t="s">
        <v>11</v>
      </c>
      <c r="C84" s="5">
        <f>SUMIFS(DETAY!C:C,DETAY!A:A,'DETAY-yaslandırma'!A84,DETAY!B:B,'DETAY-yaslandırma'!B84)</f>
        <v>5551326.7599999979</v>
      </c>
      <c r="D84" s="5">
        <f>SUMIFS(ham_data!AB:AB,ham_data!$J:$J,'DETAY-yaslandırma'!$B84,ham_data!$E:$E,'DETAY-yaslandırma'!$A84)</f>
        <v>0</v>
      </c>
      <c r="E84" s="5">
        <f>SUMIFS(ham_data!AC:AC,ham_data!$J:$J,'DETAY-yaslandırma'!$B84,ham_data!$E:$E,'DETAY-yaslandırma'!$A84)</f>
        <v>0</v>
      </c>
      <c r="F84" s="5">
        <f>SUMIFS(ham_data!AD:AD,ham_data!$J:$J,'DETAY-yaslandırma'!$B84,ham_data!$E:$E,'DETAY-yaslandırma'!$A84)</f>
        <v>268198.09999999998</v>
      </c>
      <c r="G84" s="5">
        <f>SUMIFS(ham_data!AE:AE,ham_data!$J:$J,'DETAY-yaslandırma'!$B84,ham_data!$E:$E,'DETAY-yaslandırma'!$A84)</f>
        <v>536396.19999999995</v>
      </c>
      <c r="H84" s="5">
        <f>SUMIFS(ham_data!AF:AF,ham_data!$J:$J,'DETAY-yaslandırma'!$B84,ham_data!$E:$E,'DETAY-yaslandırma'!$A84)</f>
        <v>2608945.54</v>
      </c>
      <c r="I84" s="5">
        <f>SUMIFS(ham_data!AG:AG,ham_data!$J:$J,'DETAY-yaslandırma'!$B84,ham_data!$E:$E,'DETAY-yaslandırma'!$A84)</f>
        <v>2137786.92</v>
      </c>
      <c r="J84" s="5">
        <f>SUMIFS(ham_data!AH:AH,ham_data!$J:$J,'DETAY-yaslandırma'!$B84,ham_data!$E:$E,'DETAY-yaslandırma'!$A84)</f>
        <v>0</v>
      </c>
      <c r="K84" s="7">
        <f>SUMIFS(DETAY!D:D,DETAY!A:A,'DETAY-yaslandırma'!A84,DETAY!B:B,'DETAY-yaslandırma'!B84)</f>
        <v>268198.09999999998</v>
      </c>
      <c r="L84" s="7">
        <f>SUMIFS(ham_data!U:U,ham_data!$J:$J,'DETAY-yaslandırma'!$B84,ham_data!$E:$E,'DETAY-yaslandırma'!$A84)</f>
        <v>268198.09999999998</v>
      </c>
      <c r="M84" s="7">
        <f>SUMIFS(ham_data!V:V,ham_data!$J:$J,'DETAY-yaslandırma'!$B84,ham_data!$E:$E,'DETAY-yaslandırma'!$A84)</f>
        <v>0</v>
      </c>
      <c r="N84" s="7">
        <f>SUMIFS(ham_data!W:W,ham_data!$J:$J,'DETAY-yaslandırma'!$B84,ham_data!$E:$E,'DETAY-yaslandırma'!$A84)</f>
        <v>0</v>
      </c>
      <c r="O84" s="7">
        <f>SUMIFS(ham_data!X:X,ham_data!$J:$J,'DETAY-yaslandırma'!$B84,ham_data!$E:$E,'DETAY-yaslandırma'!$A84)</f>
        <v>0</v>
      </c>
      <c r="P84" s="7">
        <f>SUMIFS(ham_data!Y:Y,ham_data!$J:$J,'DETAY-yaslandırma'!$B84,ham_data!$E:$E,'DETAY-yaslandırma'!$A84)</f>
        <v>0</v>
      </c>
      <c r="Q84" s="7">
        <f>SUMIFS(ham_data!Z:Z,ham_data!$J:$J,'DETAY-yaslandırma'!$B84,ham_data!$E:$E,'DETAY-yaslandırma'!$A84)</f>
        <v>0</v>
      </c>
      <c r="R84" s="7">
        <f>SUMIFS(ham_data!AA:AA,ham_data!$J:$J,'DETAY-yaslandırma'!$B84,ham_data!$E:$E,'DETAY-yaslandırma'!$A84)</f>
        <v>0</v>
      </c>
      <c r="S84" s="3">
        <f>SUMIFS(DETAY!E:E,DETAY!A:A,'DETAY-yaslandırma'!A84,DETAY!B:B,'DETAY-yaslandırma'!B84)</f>
        <v>5819524.8599999975</v>
      </c>
      <c r="T84" s="3">
        <f t="shared" si="6"/>
        <v>0</v>
      </c>
      <c r="U84" s="11">
        <f t="shared" si="7"/>
        <v>0</v>
      </c>
    </row>
    <row r="85" spans="1:21" x14ac:dyDescent="0.35">
      <c r="A85" s="10" t="s">
        <v>237</v>
      </c>
      <c r="B85" s="2" t="s">
        <v>11</v>
      </c>
      <c r="C85" s="5">
        <f>SUMIFS(DETAY!C:C,DETAY!A:A,'DETAY-yaslandırma'!A85,DETAY!B:B,'DETAY-yaslandırma'!B85)</f>
        <v>0</v>
      </c>
      <c r="D85" s="5">
        <f>SUMIFS(ham_data!AB:AB,ham_data!$J:$J,'DETAY-yaslandırma'!$B85,ham_data!$E:$E,'DETAY-yaslandırma'!$A85)</f>
        <v>0</v>
      </c>
      <c r="E85" s="5">
        <f>SUMIFS(ham_data!AC:AC,ham_data!$J:$J,'DETAY-yaslandırma'!$B85,ham_data!$E:$E,'DETAY-yaslandırma'!$A85)</f>
        <v>0</v>
      </c>
      <c r="F85" s="5">
        <f>SUMIFS(ham_data!AD:AD,ham_data!$J:$J,'DETAY-yaslandırma'!$B85,ham_data!$E:$E,'DETAY-yaslandırma'!$A85)</f>
        <v>0</v>
      </c>
      <c r="G85" s="5">
        <f>SUMIFS(ham_data!AE:AE,ham_data!$J:$J,'DETAY-yaslandırma'!$B85,ham_data!$E:$E,'DETAY-yaslandırma'!$A85)</f>
        <v>0</v>
      </c>
      <c r="H85" s="5">
        <f>SUMIFS(ham_data!AF:AF,ham_data!$J:$J,'DETAY-yaslandırma'!$B85,ham_data!$E:$E,'DETAY-yaslandırma'!$A85)</f>
        <v>0</v>
      </c>
      <c r="I85" s="5">
        <f>SUMIFS(ham_data!AG:AG,ham_data!$J:$J,'DETAY-yaslandırma'!$B85,ham_data!$E:$E,'DETAY-yaslandırma'!$A85)</f>
        <v>0</v>
      </c>
      <c r="J85" s="5">
        <f>SUMIFS(ham_data!AH:AH,ham_data!$J:$J,'DETAY-yaslandırma'!$B85,ham_data!$E:$E,'DETAY-yaslandırma'!$A85)</f>
        <v>0</v>
      </c>
      <c r="K85" s="7">
        <f>SUMIFS(DETAY!D:D,DETAY!A:A,'DETAY-yaslandırma'!A85,DETAY!B:B,'DETAY-yaslandırma'!B85)</f>
        <v>0</v>
      </c>
      <c r="L85" s="7">
        <f>SUMIFS(ham_data!U:U,ham_data!$J:$J,'DETAY-yaslandırma'!$B85,ham_data!$E:$E,'DETAY-yaslandırma'!$A85)</f>
        <v>0</v>
      </c>
      <c r="M85" s="7">
        <f>SUMIFS(ham_data!V:V,ham_data!$J:$J,'DETAY-yaslandırma'!$B85,ham_data!$E:$E,'DETAY-yaslandırma'!$A85)</f>
        <v>0</v>
      </c>
      <c r="N85" s="7">
        <f>SUMIFS(ham_data!W:W,ham_data!$J:$J,'DETAY-yaslandırma'!$B85,ham_data!$E:$E,'DETAY-yaslandırma'!$A85)</f>
        <v>0</v>
      </c>
      <c r="O85" s="7">
        <f>SUMIFS(ham_data!X:X,ham_data!$J:$J,'DETAY-yaslandırma'!$B85,ham_data!$E:$E,'DETAY-yaslandırma'!$A85)</f>
        <v>0</v>
      </c>
      <c r="P85" s="7">
        <f>SUMIFS(ham_data!Y:Y,ham_data!$J:$J,'DETAY-yaslandırma'!$B85,ham_data!$E:$E,'DETAY-yaslandırma'!$A85)</f>
        <v>0</v>
      </c>
      <c r="Q85" s="7">
        <f>SUMIFS(ham_data!Z:Z,ham_data!$J:$J,'DETAY-yaslandırma'!$B85,ham_data!$E:$E,'DETAY-yaslandırma'!$A85)</f>
        <v>0</v>
      </c>
      <c r="R85" s="7">
        <f>SUMIFS(ham_data!AA:AA,ham_data!$J:$J,'DETAY-yaslandırma'!$B85,ham_data!$E:$E,'DETAY-yaslandırma'!$A85)</f>
        <v>0</v>
      </c>
      <c r="S85" s="3">
        <f>SUMIFS(DETAY!E:E,DETAY!A:A,'DETAY-yaslandırma'!A85,DETAY!B:B,'DETAY-yaslandırma'!B85)</f>
        <v>0</v>
      </c>
      <c r="T85" s="3">
        <f t="shared" si="6"/>
        <v>0</v>
      </c>
      <c r="U85" s="11">
        <f t="shared" si="7"/>
        <v>0</v>
      </c>
    </row>
    <row r="86" spans="1:21" x14ac:dyDescent="0.35">
      <c r="A86" s="10" t="s">
        <v>245</v>
      </c>
      <c r="B86" s="2" t="s">
        <v>11</v>
      </c>
      <c r="C86" s="5">
        <f>SUMIFS(DETAY!C:C,DETAY!A:A,'DETAY-yaslandırma'!A86,DETAY!B:B,'DETAY-yaslandırma'!B86)</f>
        <v>0</v>
      </c>
      <c r="D86" s="5">
        <f>SUMIFS(ham_data!AB:AB,ham_data!$J:$J,'DETAY-yaslandırma'!$B86,ham_data!$E:$E,'DETAY-yaslandırma'!$A86)</f>
        <v>0</v>
      </c>
      <c r="E86" s="5">
        <f>SUMIFS(ham_data!AC:AC,ham_data!$J:$J,'DETAY-yaslandırma'!$B86,ham_data!$E:$E,'DETAY-yaslandırma'!$A86)</f>
        <v>0</v>
      </c>
      <c r="F86" s="5">
        <f>SUMIFS(ham_data!AD:AD,ham_data!$J:$J,'DETAY-yaslandırma'!$B86,ham_data!$E:$E,'DETAY-yaslandırma'!$A86)</f>
        <v>0</v>
      </c>
      <c r="G86" s="5">
        <f>SUMIFS(ham_data!AE:AE,ham_data!$J:$J,'DETAY-yaslandırma'!$B86,ham_data!$E:$E,'DETAY-yaslandırma'!$A86)</f>
        <v>0</v>
      </c>
      <c r="H86" s="5">
        <f>SUMIFS(ham_data!AF:AF,ham_data!$J:$J,'DETAY-yaslandırma'!$B86,ham_data!$E:$E,'DETAY-yaslandırma'!$A86)</f>
        <v>0</v>
      </c>
      <c r="I86" s="5">
        <f>SUMIFS(ham_data!AG:AG,ham_data!$J:$J,'DETAY-yaslandırma'!$B86,ham_data!$E:$E,'DETAY-yaslandırma'!$A86)</f>
        <v>0</v>
      </c>
      <c r="J86" s="5">
        <f>SUMIFS(ham_data!AH:AH,ham_data!$J:$J,'DETAY-yaslandırma'!$B86,ham_data!$E:$E,'DETAY-yaslandırma'!$A86)</f>
        <v>0</v>
      </c>
      <c r="K86" s="7">
        <f>SUMIFS(DETAY!D:D,DETAY!A:A,'DETAY-yaslandırma'!A86,DETAY!B:B,'DETAY-yaslandırma'!B86)</f>
        <v>0</v>
      </c>
      <c r="L86" s="7">
        <f>SUMIFS(ham_data!U:U,ham_data!$J:$J,'DETAY-yaslandırma'!$B86,ham_data!$E:$E,'DETAY-yaslandırma'!$A86)</f>
        <v>0</v>
      </c>
      <c r="M86" s="7">
        <f>SUMIFS(ham_data!V:V,ham_data!$J:$J,'DETAY-yaslandırma'!$B86,ham_data!$E:$E,'DETAY-yaslandırma'!$A86)</f>
        <v>0</v>
      </c>
      <c r="N86" s="7">
        <f>SUMIFS(ham_data!W:W,ham_data!$J:$J,'DETAY-yaslandırma'!$B86,ham_data!$E:$E,'DETAY-yaslandırma'!$A86)</f>
        <v>0</v>
      </c>
      <c r="O86" s="7">
        <f>SUMIFS(ham_data!X:X,ham_data!$J:$J,'DETAY-yaslandırma'!$B86,ham_data!$E:$E,'DETAY-yaslandırma'!$A86)</f>
        <v>0</v>
      </c>
      <c r="P86" s="7">
        <f>SUMIFS(ham_data!Y:Y,ham_data!$J:$J,'DETAY-yaslandırma'!$B86,ham_data!$E:$E,'DETAY-yaslandırma'!$A86)</f>
        <v>0</v>
      </c>
      <c r="Q86" s="7">
        <f>SUMIFS(ham_data!Z:Z,ham_data!$J:$J,'DETAY-yaslandırma'!$B86,ham_data!$E:$E,'DETAY-yaslandırma'!$A86)</f>
        <v>0</v>
      </c>
      <c r="R86" s="7">
        <f>SUMIFS(ham_data!AA:AA,ham_data!$J:$J,'DETAY-yaslandırma'!$B86,ham_data!$E:$E,'DETAY-yaslandırma'!$A86)</f>
        <v>0</v>
      </c>
      <c r="S86" s="3">
        <f>SUMIFS(DETAY!E:E,DETAY!A:A,'DETAY-yaslandırma'!A86,DETAY!B:B,'DETAY-yaslandırma'!B86)</f>
        <v>0</v>
      </c>
      <c r="T86" s="3">
        <f t="shared" si="6"/>
        <v>0</v>
      </c>
      <c r="U86" s="11">
        <f t="shared" si="7"/>
        <v>0</v>
      </c>
    </row>
    <row r="87" spans="1:21" x14ac:dyDescent="0.35">
      <c r="A87" s="10" t="s">
        <v>240</v>
      </c>
      <c r="B87" s="2" t="s">
        <v>11</v>
      </c>
      <c r="C87" s="5">
        <f>SUMIFS(DETAY!C:C,DETAY!A:A,'DETAY-yaslandırma'!A87,DETAY!B:B,'DETAY-yaslandırma'!B87)</f>
        <v>0</v>
      </c>
      <c r="D87" s="5">
        <f>SUMIFS(ham_data!AB:AB,ham_data!$J:$J,'DETAY-yaslandırma'!$B87,ham_data!$E:$E,'DETAY-yaslandırma'!$A87)</f>
        <v>0</v>
      </c>
      <c r="E87" s="5">
        <f>SUMIFS(ham_data!AC:AC,ham_data!$J:$J,'DETAY-yaslandırma'!$B87,ham_data!$E:$E,'DETAY-yaslandırma'!$A87)</f>
        <v>0</v>
      </c>
      <c r="F87" s="5">
        <f>SUMIFS(ham_data!AD:AD,ham_data!$J:$J,'DETAY-yaslandırma'!$B87,ham_data!$E:$E,'DETAY-yaslandırma'!$A87)</f>
        <v>0</v>
      </c>
      <c r="G87" s="5">
        <f>SUMIFS(ham_data!AE:AE,ham_data!$J:$J,'DETAY-yaslandırma'!$B87,ham_data!$E:$E,'DETAY-yaslandırma'!$A87)</f>
        <v>0</v>
      </c>
      <c r="H87" s="5">
        <f>SUMIFS(ham_data!AF:AF,ham_data!$J:$J,'DETAY-yaslandırma'!$B87,ham_data!$E:$E,'DETAY-yaslandırma'!$A87)</f>
        <v>0</v>
      </c>
      <c r="I87" s="5">
        <f>SUMIFS(ham_data!AG:AG,ham_data!$J:$J,'DETAY-yaslandırma'!$B87,ham_data!$E:$E,'DETAY-yaslandırma'!$A87)</f>
        <v>0</v>
      </c>
      <c r="J87" s="5">
        <f>SUMIFS(ham_data!AH:AH,ham_data!$J:$J,'DETAY-yaslandırma'!$B87,ham_data!$E:$E,'DETAY-yaslandırma'!$A87)</f>
        <v>0</v>
      </c>
      <c r="K87" s="7">
        <f>SUMIFS(DETAY!D:D,DETAY!A:A,'DETAY-yaslandırma'!A87,DETAY!B:B,'DETAY-yaslandırma'!B87)</f>
        <v>0</v>
      </c>
      <c r="L87" s="7">
        <f>SUMIFS(ham_data!U:U,ham_data!$J:$J,'DETAY-yaslandırma'!$B87,ham_data!$E:$E,'DETAY-yaslandırma'!$A87)</f>
        <v>0</v>
      </c>
      <c r="M87" s="7">
        <f>SUMIFS(ham_data!V:V,ham_data!$J:$J,'DETAY-yaslandırma'!$B87,ham_data!$E:$E,'DETAY-yaslandırma'!$A87)</f>
        <v>0</v>
      </c>
      <c r="N87" s="7">
        <f>SUMIFS(ham_data!W:W,ham_data!$J:$J,'DETAY-yaslandırma'!$B87,ham_data!$E:$E,'DETAY-yaslandırma'!$A87)</f>
        <v>0</v>
      </c>
      <c r="O87" s="7">
        <f>SUMIFS(ham_data!X:X,ham_data!$J:$J,'DETAY-yaslandırma'!$B87,ham_data!$E:$E,'DETAY-yaslandırma'!$A87)</f>
        <v>0</v>
      </c>
      <c r="P87" s="7">
        <f>SUMIFS(ham_data!Y:Y,ham_data!$J:$J,'DETAY-yaslandırma'!$B87,ham_data!$E:$E,'DETAY-yaslandırma'!$A87)</f>
        <v>0</v>
      </c>
      <c r="Q87" s="7">
        <f>SUMIFS(ham_data!Z:Z,ham_data!$J:$J,'DETAY-yaslandırma'!$B87,ham_data!$E:$E,'DETAY-yaslandırma'!$A87)</f>
        <v>0</v>
      </c>
      <c r="R87" s="7">
        <f>SUMIFS(ham_data!AA:AA,ham_data!$J:$J,'DETAY-yaslandırma'!$B87,ham_data!$E:$E,'DETAY-yaslandırma'!$A87)</f>
        <v>0</v>
      </c>
      <c r="S87" s="3">
        <f>SUMIFS(DETAY!E:E,DETAY!A:A,'DETAY-yaslandırma'!A87,DETAY!B:B,'DETAY-yaslandırma'!B87)</f>
        <v>0</v>
      </c>
      <c r="T87" s="3">
        <f t="shared" si="6"/>
        <v>0</v>
      </c>
      <c r="U87" s="11">
        <f t="shared" si="7"/>
        <v>0</v>
      </c>
    </row>
    <row r="88" spans="1:21" x14ac:dyDescent="0.35">
      <c r="A88" s="10" t="s">
        <v>233</v>
      </c>
      <c r="B88" s="2" t="s">
        <v>11</v>
      </c>
      <c r="C88" s="5">
        <f>SUMIFS(DETAY!C:C,DETAY!A:A,'DETAY-yaslandırma'!A88,DETAY!B:B,'DETAY-yaslandırma'!B88)</f>
        <v>0</v>
      </c>
      <c r="D88" s="5">
        <f>SUMIFS(ham_data!AB:AB,ham_data!$J:$J,'DETAY-yaslandırma'!$B88,ham_data!$E:$E,'DETAY-yaslandırma'!$A88)</f>
        <v>0</v>
      </c>
      <c r="E88" s="5">
        <f>SUMIFS(ham_data!AC:AC,ham_data!$J:$J,'DETAY-yaslandırma'!$B88,ham_data!$E:$E,'DETAY-yaslandırma'!$A88)</f>
        <v>0</v>
      </c>
      <c r="F88" s="5">
        <f>SUMIFS(ham_data!AD:AD,ham_data!$J:$J,'DETAY-yaslandırma'!$B88,ham_data!$E:$E,'DETAY-yaslandırma'!$A88)</f>
        <v>0</v>
      </c>
      <c r="G88" s="5">
        <f>SUMIFS(ham_data!AE:AE,ham_data!$J:$J,'DETAY-yaslandırma'!$B88,ham_data!$E:$E,'DETAY-yaslandırma'!$A88)</f>
        <v>0</v>
      </c>
      <c r="H88" s="5">
        <f>SUMIFS(ham_data!AF:AF,ham_data!$J:$J,'DETAY-yaslandırma'!$B88,ham_data!$E:$E,'DETAY-yaslandırma'!$A88)</f>
        <v>0</v>
      </c>
      <c r="I88" s="5">
        <f>SUMIFS(ham_data!AG:AG,ham_data!$J:$J,'DETAY-yaslandırma'!$B88,ham_data!$E:$E,'DETAY-yaslandırma'!$A88)</f>
        <v>0</v>
      </c>
      <c r="J88" s="5">
        <f>SUMIFS(ham_data!AH:AH,ham_data!$J:$J,'DETAY-yaslandırma'!$B88,ham_data!$E:$E,'DETAY-yaslandırma'!$A88)</f>
        <v>0</v>
      </c>
      <c r="K88" s="7">
        <f>SUMIFS(DETAY!D:D,DETAY!A:A,'DETAY-yaslandırma'!A88,DETAY!B:B,'DETAY-yaslandırma'!B88)</f>
        <v>0</v>
      </c>
      <c r="L88" s="7">
        <f>SUMIFS(ham_data!U:U,ham_data!$J:$J,'DETAY-yaslandırma'!$B88,ham_data!$E:$E,'DETAY-yaslandırma'!$A88)</f>
        <v>0</v>
      </c>
      <c r="M88" s="7">
        <f>SUMIFS(ham_data!V:V,ham_data!$J:$J,'DETAY-yaslandırma'!$B88,ham_data!$E:$E,'DETAY-yaslandırma'!$A88)</f>
        <v>0</v>
      </c>
      <c r="N88" s="7">
        <f>SUMIFS(ham_data!W:W,ham_data!$J:$J,'DETAY-yaslandırma'!$B88,ham_data!$E:$E,'DETAY-yaslandırma'!$A88)</f>
        <v>0</v>
      </c>
      <c r="O88" s="7">
        <f>SUMIFS(ham_data!X:X,ham_data!$J:$J,'DETAY-yaslandırma'!$B88,ham_data!$E:$E,'DETAY-yaslandırma'!$A88)</f>
        <v>0</v>
      </c>
      <c r="P88" s="7">
        <f>SUMIFS(ham_data!Y:Y,ham_data!$J:$J,'DETAY-yaslandırma'!$B88,ham_data!$E:$E,'DETAY-yaslandırma'!$A88)</f>
        <v>0</v>
      </c>
      <c r="Q88" s="7">
        <f>SUMIFS(ham_data!Z:Z,ham_data!$J:$J,'DETAY-yaslandırma'!$B88,ham_data!$E:$E,'DETAY-yaslandırma'!$A88)</f>
        <v>0</v>
      </c>
      <c r="R88" s="7">
        <f>SUMIFS(ham_data!AA:AA,ham_data!$J:$J,'DETAY-yaslandırma'!$B88,ham_data!$E:$E,'DETAY-yaslandırma'!$A88)</f>
        <v>0</v>
      </c>
      <c r="S88" s="3">
        <f>SUMIFS(DETAY!E:E,DETAY!A:A,'DETAY-yaslandırma'!A88,DETAY!B:B,'DETAY-yaslandırma'!B88)</f>
        <v>0</v>
      </c>
      <c r="T88" s="3">
        <f t="shared" si="6"/>
        <v>0</v>
      </c>
      <c r="U88" s="11">
        <f t="shared" si="7"/>
        <v>0</v>
      </c>
    </row>
    <row r="89" spans="1:21" x14ac:dyDescent="0.35">
      <c r="A89" s="10" t="s">
        <v>242</v>
      </c>
      <c r="B89" s="2" t="s">
        <v>11</v>
      </c>
      <c r="C89" s="5">
        <f>SUMIFS(DETAY!C:C,DETAY!A:A,'DETAY-yaslandırma'!A89,DETAY!B:B,'DETAY-yaslandırma'!B89)</f>
        <v>0</v>
      </c>
      <c r="D89" s="5">
        <f>SUMIFS(ham_data!AB:AB,ham_data!$J:$J,'DETAY-yaslandırma'!$B89,ham_data!$E:$E,'DETAY-yaslandırma'!$A89)</f>
        <v>0</v>
      </c>
      <c r="E89" s="5">
        <f>SUMIFS(ham_data!AC:AC,ham_data!$J:$J,'DETAY-yaslandırma'!$B89,ham_data!$E:$E,'DETAY-yaslandırma'!$A89)</f>
        <v>0</v>
      </c>
      <c r="F89" s="5">
        <f>SUMIFS(ham_data!AD:AD,ham_data!$J:$J,'DETAY-yaslandırma'!$B89,ham_data!$E:$E,'DETAY-yaslandırma'!$A89)</f>
        <v>0</v>
      </c>
      <c r="G89" s="5">
        <f>SUMIFS(ham_data!AE:AE,ham_data!$J:$J,'DETAY-yaslandırma'!$B89,ham_data!$E:$E,'DETAY-yaslandırma'!$A89)</f>
        <v>0</v>
      </c>
      <c r="H89" s="5">
        <f>SUMIFS(ham_data!AF:AF,ham_data!$J:$J,'DETAY-yaslandırma'!$B89,ham_data!$E:$E,'DETAY-yaslandırma'!$A89)</f>
        <v>0</v>
      </c>
      <c r="I89" s="5">
        <f>SUMIFS(ham_data!AG:AG,ham_data!$J:$J,'DETAY-yaslandırma'!$B89,ham_data!$E:$E,'DETAY-yaslandırma'!$A89)</f>
        <v>0</v>
      </c>
      <c r="J89" s="5">
        <f>SUMIFS(ham_data!AH:AH,ham_data!$J:$J,'DETAY-yaslandırma'!$B89,ham_data!$E:$E,'DETAY-yaslandırma'!$A89)</f>
        <v>0</v>
      </c>
      <c r="K89" s="7">
        <f>SUMIFS(DETAY!D:D,DETAY!A:A,'DETAY-yaslandırma'!A89,DETAY!B:B,'DETAY-yaslandırma'!B89)</f>
        <v>0</v>
      </c>
      <c r="L89" s="7">
        <f>SUMIFS(ham_data!U:U,ham_data!$J:$J,'DETAY-yaslandırma'!$B89,ham_data!$E:$E,'DETAY-yaslandırma'!$A89)</f>
        <v>0</v>
      </c>
      <c r="M89" s="7">
        <f>SUMIFS(ham_data!V:V,ham_data!$J:$J,'DETAY-yaslandırma'!$B89,ham_data!$E:$E,'DETAY-yaslandırma'!$A89)</f>
        <v>0</v>
      </c>
      <c r="N89" s="7">
        <f>SUMIFS(ham_data!W:W,ham_data!$J:$J,'DETAY-yaslandırma'!$B89,ham_data!$E:$E,'DETAY-yaslandırma'!$A89)</f>
        <v>0</v>
      </c>
      <c r="O89" s="7">
        <f>SUMIFS(ham_data!X:X,ham_data!$J:$J,'DETAY-yaslandırma'!$B89,ham_data!$E:$E,'DETAY-yaslandırma'!$A89)</f>
        <v>0</v>
      </c>
      <c r="P89" s="7">
        <f>SUMIFS(ham_data!Y:Y,ham_data!$J:$J,'DETAY-yaslandırma'!$B89,ham_data!$E:$E,'DETAY-yaslandırma'!$A89)</f>
        <v>0</v>
      </c>
      <c r="Q89" s="7">
        <f>SUMIFS(ham_data!Z:Z,ham_data!$J:$J,'DETAY-yaslandırma'!$B89,ham_data!$E:$E,'DETAY-yaslandırma'!$A89)</f>
        <v>0</v>
      </c>
      <c r="R89" s="7">
        <f>SUMIFS(ham_data!AA:AA,ham_data!$J:$J,'DETAY-yaslandırma'!$B89,ham_data!$E:$E,'DETAY-yaslandırma'!$A89)</f>
        <v>0</v>
      </c>
      <c r="S89" s="3">
        <f>SUMIFS(DETAY!E:E,DETAY!A:A,'DETAY-yaslandırma'!A89,DETAY!B:B,'DETAY-yaslandırma'!B89)</f>
        <v>0</v>
      </c>
      <c r="T89" s="3">
        <f t="shared" si="6"/>
        <v>0</v>
      </c>
      <c r="U89" s="11">
        <f t="shared" si="7"/>
        <v>0</v>
      </c>
    </row>
    <row r="90" spans="1:21" x14ac:dyDescent="0.35">
      <c r="A90" s="10" t="s">
        <v>246</v>
      </c>
      <c r="B90" s="2" t="s">
        <v>19</v>
      </c>
      <c r="C90" s="5">
        <f>SUMIFS(DETAY!C:C,DETAY!A:A,'DETAY-yaslandırma'!A90,DETAY!B:B,'DETAY-yaslandırma'!B90)</f>
        <v>0</v>
      </c>
      <c r="D90" s="5">
        <f>SUMIFS(ham_data!AB:AB,ham_data!$J:$J,'DETAY-yaslandırma'!$B90,ham_data!$E:$E,'DETAY-yaslandırma'!$A90)</f>
        <v>0</v>
      </c>
      <c r="E90" s="5">
        <f>SUMIFS(ham_data!AC:AC,ham_data!$J:$J,'DETAY-yaslandırma'!$B90,ham_data!$E:$E,'DETAY-yaslandırma'!$A90)</f>
        <v>0</v>
      </c>
      <c r="F90" s="5">
        <f>SUMIFS(ham_data!AD:AD,ham_data!$J:$J,'DETAY-yaslandırma'!$B90,ham_data!$E:$E,'DETAY-yaslandırma'!$A90)</f>
        <v>0</v>
      </c>
      <c r="G90" s="5">
        <f>SUMIFS(ham_data!AE:AE,ham_data!$J:$J,'DETAY-yaslandırma'!$B90,ham_data!$E:$E,'DETAY-yaslandırma'!$A90)</f>
        <v>0</v>
      </c>
      <c r="H90" s="5">
        <f>SUMIFS(ham_data!AF:AF,ham_data!$J:$J,'DETAY-yaslandırma'!$B90,ham_data!$E:$E,'DETAY-yaslandırma'!$A90)</f>
        <v>0</v>
      </c>
      <c r="I90" s="5">
        <f>SUMIFS(ham_data!AG:AG,ham_data!$J:$J,'DETAY-yaslandırma'!$B90,ham_data!$E:$E,'DETAY-yaslandırma'!$A90)</f>
        <v>0</v>
      </c>
      <c r="J90" s="5">
        <f>SUMIFS(ham_data!AH:AH,ham_data!$J:$J,'DETAY-yaslandırma'!$B90,ham_data!$E:$E,'DETAY-yaslandırma'!$A90)</f>
        <v>0</v>
      </c>
      <c r="K90" s="7">
        <f>SUMIFS(DETAY!D:D,DETAY!A:A,'DETAY-yaslandırma'!A90,DETAY!B:B,'DETAY-yaslandırma'!B90)</f>
        <v>0</v>
      </c>
      <c r="L90" s="7">
        <f>SUMIFS(ham_data!U:U,ham_data!$J:$J,'DETAY-yaslandırma'!$B90,ham_data!$E:$E,'DETAY-yaslandırma'!$A90)</f>
        <v>0</v>
      </c>
      <c r="M90" s="7">
        <f>SUMIFS(ham_data!V:V,ham_data!$J:$J,'DETAY-yaslandırma'!$B90,ham_data!$E:$E,'DETAY-yaslandırma'!$A90)</f>
        <v>0</v>
      </c>
      <c r="N90" s="7">
        <f>SUMIFS(ham_data!W:W,ham_data!$J:$J,'DETAY-yaslandırma'!$B90,ham_data!$E:$E,'DETAY-yaslandırma'!$A90)</f>
        <v>0</v>
      </c>
      <c r="O90" s="7">
        <f>SUMIFS(ham_data!X:X,ham_data!$J:$J,'DETAY-yaslandırma'!$B90,ham_data!$E:$E,'DETAY-yaslandırma'!$A90)</f>
        <v>0</v>
      </c>
      <c r="P90" s="7">
        <f>SUMIFS(ham_data!Y:Y,ham_data!$J:$J,'DETAY-yaslandırma'!$B90,ham_data!$E:$E,'DETAY-yaslandırma'!$A90)</f>
        <v>0</v>
      </c>
      <c r="Q90" s="7">
        <f>SUMIFS(ham_data!Z:Z,ham_data!$J:$J,'DETAY-yaslandırma'!$B90,ham_data!$E:$E,'DETAY-yaslandırma'!$A90)</f>
        <v>0</v>
      </c>
      <c r="R90" s="7">
        <f>SUMIFS(ham_data!AA:AA,ham_data!$J:$J,'DETAY-yaslandırma'!$B90,ham_data!$E:$E,'DETAY-yaslandırma'!$A90)</f>
        <v>0</v>
      </c>
      <c r="S90" s="3">
        <f>SUMIFS(DETAY!E:E,DETAY!A:A,'DETAY-yaslandırma'!A90,DETAY!B:B,'DETAY-yaslandırma'!B90)</f>
        <v>0</v>
      </c>
      <c r="T90" s="3">
        <f t="shared" si="6"/>
        <v>0</v>
      </c>
      <c r="U90" s="11">
        <f t="shared" si="7"/>
        <v>0</v>
      </c>
    </row>
    <row r="91" spans="1:21" x14ac:dyDescent="0.35">
      <c r="A91" s="10" t="s">
        <v>244</v>
      </c>
      <c r="B91" s="2" t="s">
        <v>11</v>
      </c>
      <c r="C91" s="5">
        <f>SUMIFS(DETAY!C:C,DETAY!A:A,'DETAY-yaslandırma'!A91,DETAY!B:B,'DETAY-yaslandırma'!B91)</f>
        <v>0</v>
      </c>
      <c r="D91" s="5">
        <f>SUMIFS(ham_data!AB:AB,ham_data!$J:$J,'DETAY-yaslandırma'!$B91,ham_data!$E:$E,'DETAY-yaslandırma'!$A91)</f>
        <v>0</v>
      </c>
      <c r="E91" s="5">
        <f>SUMIFS(ham_data!AC:AC,ham_data!$J:$J,'DETAY-yaslandırma'!$B91,ham_data!$E:$E,'DETAY-yaslandırma'!$A91)</f>
        <v>0</v>
      </c>
      <c r="F91" s="5">
        <f>SUMIFS(ham_data!AD:AD,ham_data!$J:$J,'DETAY-yaslandırma'!$B91,ham_data!$E:$E,'DETAY-yaslandırma'!$A91)</f>
        <v>0</v>
      </c>
      <c r="G91" s="5">
        <f>SUMIFS(ham_data!AE:AE,ham_data!$J:$J,'DETAY-yaslandırma'!$B91,ham_data!$E:$E,'DETAY-yaslandırma'!$A91)</f>
        <v>0</v>
      </c>
      <c r="H91" s="5">
        <f>SUMIFS(ham_data!AF:AF,ham_data!$J:$J,'DETAY-yaslandırma'!$B91,ham_data!$E:$E,'DETAY-yaslandırma'!$A91)</f>
        <v>0</v>
      </c>
      <c r="I91" s="5">
        <f>SUMIFS(ham_data!AG:AG,ham_data!$J:$J,'DETAY-yaslandırma'!$B91,ham_data!$E:$E,'DETAY-yaslandırma'!$A91)</f>
        <v>0</v>
      </c>
      <c r="J91" s="5">
        <f>SUMIFS(ham_data!AH:AH,ham_data!$J:$J,'DETAY-yaslandırma'!$B91,ham_data!$E:$E,'DETAY-yaslandırma'!$A91)</f>
        <v>0</v>
      </c>
      <c r="K91" s="7">
        <f>SUMIFS(DETAY!D:D,DETAY!A:A,'DETAY-yaslandırma'!A91,DETAY!B:B,'DETAY-yaslandırma'!B91)</f>
        <v>0</v>
      </c>
      <c r="L91" s="7">
        <f>SUMIFS(ham_data!U:U,ham_data!$J:$J,'DETAY-yaslandırma'!$B91,ham_data!$E:$E,'DETAY-yaslandırma'!$A91)</f>
        <v>0</v>
      </c>
      <c r="M91" s="7">
        <f>SUMIFS(ham_data!V:V,ham_data!$J:$J,'DETAY-yaslandırma'!$B91,ham_data!$E:$E,'DETAY-yaslandırma'!$A91)</f>
        <v>0</v>
      </c>
      <c r="N91" s="7">
        <f>SUMIFS(ham_data!W:W,ham_data!$J:$J,'DETAY-yaslandırma'!$B91,ham_data!$E:$E,'DETAY-yaslandırma'!$A91)</f>
        <v>0</v>
      </c>
      <c r="O91" s="7">
        <f>SUMIFS(ham_data!X:X,ham_data!$J:$J,'DETAY-yaslandırma'!$B91,ham_data!$E:$E,'DETAY-yaslandırma'!$A91)</f>
        <v>0</v>
      </c>
      <c r="P91" s="7">
        <f>SUMIFS(ham_data!Y:Y,ham_data!$J:$J,'DETAY-yaslandırma'!$B91,ham_data!$E:$E,'DETAY-yaslandırma'!$A91)</f>
        <v>0</v>
      </c>
      <c r="Q91" s="7">
        <f>SUMIFS(ham_data!Z:Z,ham_data!$J:$J,'DETAY-yaslandırma'!$B91,ham_data!$E:$E,'DETAY-yaslandırma'!$A91)</f>
        <v>0</v>
      </c>
      <c r="R91" s="7">
        <f>SUMIFS(ham_data!AA:AA,ham_data!$J:$J,'DETAY-yaslandırma'!$B91,ham_data!$E:$E,'DETAY-yaslandırma'!$A91)</f>
        <v>0</v>
      </c>
      <c r="S91" s="3">
        <f>SUMIFS(DETAY!E:E,DETAY!A:A,'DETAY-yaslandırma'!A91,DETAY!B:B,'DETAY-yaslandırma'!B91)</f>
        <v>0</v>
      </c>
      <c r="T91" s="3">
        <f t="shared" si="6"/>
        <v>0</v>
      </c>
      <c r="U91" s="11">
        <f t="shared" si="7"/>
        <v>0</v>
      </c>
    </row>
    <row r="92" spans="1:21" x14ac:dyDescent="0.35">
      <c r="A92" s="10" t="s">
        <v>230</v>
      </c>
      <c r="B92" s="2" t="s">
        <v>11</v>
      </c>
      <c r="C92" s="5">
        <f>SUMIFS(DETAY!C:C,DETAY!A:A,'DETAY-yaslandırma'!A92,DETAY!B:B,'DETAY-yaslandırma'!B92)</f>
        <v>0.01</v>
      </c>
      <c r="D92" s="5">
        <f>SUMIFS(ham_data!AB:AB,ham_data!$J:$J,'DETAY-yaslandırma'!$B92,ham_data!$E:$E,'DETAY-yaslandırma'!$A92)</f>
        <v>0.01</v>
      </c>
      <c r="E92" s="5">
        <f>SUMIFS(ham_data!AC:AC,ham_data!$J:$J,'DETAY-yaslandırma'!$B92,ham_data!$E:$E,'DETAY-yaslandırma'!$A92)</f>
        <v>0</v>
      </c>
      <c r="F92" s="5">
        <f>SUMIFS(ham_data!AD:AD,ham_data!$J:$J,'DETAY-yaslandırma'!$B92,ham_data!$E:$E,'DETAY-yaslandırma'!$A92)</f>
        <v>0</v>
      </c>
      <c r="G92" s="5">
        <f>SUMIFS(ham_data!AE:AE,ham_data!$J:$J,'DETAY-yaslandırma'!$B92,ham_data!$E:$E,'DETAY-yaslandırma'!$A92)</f>
        <v>0</v>
      </c>
      <c r="H92" s="5">
        <f>SUMIFS(ham_data!AF:AF,ham_data!$J:$J,'DETAY-yaslandırma'!$B92,ham_data!$E:$E,'DETAY-yaslandırma'!$A92)</f>
        <v>0</v>
      </c>
      <c r="I92" s="5">
        <f>SUMIFS(ham_data!AG:AG,ham_data!$J:$J,'DETAY-yaslandırma'!$B92,ham_data!$E:$E,'DETAY-yaslandırma'!$A92)</f>
        <v>0</v>
      </c>
      <c r="J92" s="5">
        <f>SUMIFS(ham_data!AH:AH,ham_data!$J:$J,'DETAY-yaslandırma'!$B92,ham_data!$E:$E,'DETAY-yaslandırma'!$A92)</f>
        <v>0</v>
      </c>
      <c r="K92" s="7">
        <f>SUMIFS(DETAY!D:D,DETAY!A:A,'DETAY-yaslandırma'!A92,DETAY!B:B,'DETAY-yaslandırma'!B92)</f>
        <v>0</v>
      </c>
      <c r="L92" s="7">
        <f>SUMIFS(ham_data!U:U,ham_data!$J:$J,'DETAY-yaslandırma'!$B92,ham_data!$E:$E,'DETAY-yaslandırma'!$A92)</f>
        <v>0</v>
      </c>
      <c r="M92" s="7">
        <f>SUMIFS(ham_data!V:V,ham_data!$J:$J,'DETAY-yaslandırma'!$B92,ham_data!$E:$E,'DETAY-yaslandırma'!$A92)</f>
        <v>0</v>
      </c>
      <c r="N92" s="7">
        <f>SUMIFS(ham_data!W:W,ham_data!$J:$J,'DETAY-yaslandırma'!$B92,ham_data!$E:$E,'DETAY-yaslandırma'!$A92)</f>
        <v>0</v>
      </c>
      <c r="O92" s="7">
        <f>SUMIFS(ham_data!X:X,ham_data!$J:$J,'DETAY-yaslandırma'!$B92,ham_data!$E:$E,'DETAY-yaslandırma'!$A92)</f>
        <v>0</v>
      </c>
      <c r="P92" s="7">
        <f>SUMIFS(ham_data!Y:Y,ham_data!$J:$J,'DETAY-yaslandırma'!$B92,ham_data!$E:$E,'DETAY-yaslandırma'!$A92)</f>
        <v>0</v>
      </c>
      <c r="Q92" s="7">
        <f>SUMIFS(ham_data!Z:Z,ham_data!$J:$J,'DETAY-yaslandırma'!$B92,ham_data!$E:$E,'DETAY-yaslandırma'!$A92)</f>
        <v>0</v>
      </c>
      <c r="R92" s="7">
        <f>SUMIFS(ham_data!AA:AA,ham_data!$J:$J,'DETAY-yaslandırma'!$B92,ham_data!$E:$E,'DETAY-yaslandırma'!$A92)</f>
        <v>0</v>
      </c>
      <c r="S92" s="3">
        <f>SUMIFS(DETAY!E:E,DETAY!A:A,'DETAY-yaslandırma'!A92,DETAY!B:B,'DETAY-yaslandırma'!B92)</f>
        <v>0.01</v>
      </c>
      <c r="T92" s="3">
        <f t="shared" si="6"/>
        <v>0</v>
      </c>
      <c r="U92" s="11">
        <f t="shared" si="7"/>
        <v>0</v>
      </c>
    </row>
    <row r="93" spans="1:21" x14ac:dyDescent="0.35">
      <c r="A93" s="10" t="s">
        <v>243</v>
      </c>
      <c r="B93" s="2" t="s">
        <v>11</v>
      </c>
      <c r="C93" s="5">
        <f>SUMIFS(DETAY!C:C,DETAY!A:A,'DETAY-yaslandırma'!A93,DETAY!B:B,'DETAY-yaslandırma'!B93)</f>
        <v>0.11</v>
      </c>
      <c r="D93" s="5">
        <f>SUMIFS(ham_data!AB:AB,ham_data!$J:$J,'DETAY-yaslandırma'!$B93,ham_data!$E:$E,'DETAY-yaslandırma'!$A93)</f>
        <v>0</v>
      </c>
      <c r="E93" s="5">
        <f>SUMIFS(ham_data!AC:AC,ham_data!$J:$J,'DETAY-yaslandırma'!$B93,ham_data!$E:$E,'DETAY-yaslandırma'!$A93)</f>
        <v>0.11</v>
      </c>
      <c r="F93" s="5">
        <f>SUMIFS(ham_data!AD:AD,ham_data!$J:$J,'DETAY-yaslandırma'!$B93,ham_data!$E:$E,'DETAY-yaslandırma'!$A93)</f>
        <v>0</v>
      </c>
      <c r="G93" s="5">
        <f>SUMIFS(ham_data!AE:AE,ham_data!$J:$J,'DETAY-yaslandırma'!$B93,ham_data!$E:$E,'DETAY-yaslandırma'!$A93)</f>
        <v>0</v>
      </c>
      <c r="H93" s="5">
        <f>SUMIFS(ham_data!AF:AF,ham_data!$J:$J,'DETAY-yaslandırma'!$B93,ham_data!$E:$E,'DETAY-yaslandırma'!$A93)</f>
        <v>0</v>
      </c>
      <c r="I93" s="5">
        <f>SUMIFS(ham_data!AG:AG,ham_data!$J:$J,'DETAY-yaslandırma'!$B93,ham_data!$E:$E,'DETAY-yaslandırma'!$A93)</f>
        <v>0</v>
      </c>
      <c r="J93" s="5">
        <f>SUMIFS(ham_data!AH:AH,ham_data!$J:$J,'DETAY-yaslandırma'!$B93,ham_data!$E:$E,'DETAY-yaslandırma'!$A93)</f>
        <v>0</v>
      </c>
      <c r="K93" s="7">
        <f>SUMIFS(DETAY!D:D,DETAY!A:A,'DETAY-yaslandırma'!A93,DETAY!B:B,'DETAY-yaslandırma'!B93)</f>
        <v>0</v>
      </c>
      <c r="L93" s="7">
        <f>SUMIFS(ham_data!U:U,ham_data!$J:$J,'DETAY-yaslandırma'!$B93,ham_data!$E:$E,'DETAY-yaslandırma'!$A93)</f>
        <v>0</v>
      </c>
      <c r="M93" s="7">
        <f>SUMIFS(ham_data!V:V,ham_data!$J:$J,'DETAY-yaslandırma'!$B93,ham_data!$E:$E,'DETAY-yaslandırma'!$A93)</f>
        <v>0</v>
      </c>
      <c r="N93" s="7">
        <f>SUMIFS(ham_data!W:W,ham_data!$J:$J,'DETAY-yaslandırma'!$B93,ham_data!$E:$E,'DETAY-yaslandırma'!$A93)</f>
        <v>0</v>
      </c>
      <c r="O93" s="7">
        <f>SUMIFS(ham_data!X:X,ham_data!$J:$J,'DETAY-yaslandırma'!$B93,ham_data!$E:$E,'DETAY-yaslandırma'!$A93)</f>
        <v>0</v>
      </c>
      <c r="P93" s="7">
        <f>SUMIFS(ham_data!Y:Y,ham_data!$J:$J,'DETAY-yaslandırma'!$B93,ham_data!$E:$E,'DETAY-yaslandırma'!$A93)</f>
        <v>0</v>
      </c>
      <c r="Q93" s="7">
        <f>SUMIFS(ham_data!Z:Z,ham_data!$J:$J,'DETAY-yaslandırma'!$B93,ham_data!$E:$E,'DETAY-yaslandırma'!$A93)</f>
        <v>0</v>
      </c>
      <c r="R93" s="7">
        <f>SUMIFS(ham_data!AA:AA,ham_data!$J:$J,'DETAY-yaslandırma'!$B93,ham_data!$E:$E,'DETAY-yaslandırma'!$A93)</f>
        <v>0</v>
      </c>
      <c r="S93" s="3">
        <f>SUMIFS(DETAY!E:E,DETAY!A:A,'DETAY-yaslandırma'!A93,DETAY!B:B,'DETAY-yaslandırma'!B93)</f>
        <v>0.11</v>
      </c>
      <c r="T93" s="3">
        <f t="shared" si="6"/>
        <v>0</v>
      </c>
      <c r="U93" s="11">
        <f t="shared" si="7"/>
        <v>0</v>
      </c>
    </row>
    <row r="94" spans="1:21" x14ac:dyDescent="0.35">
      <c r="A94" s="10" t="s">
        <v>238</v>
      </c>
      <c r="B94" s="2" t="s">
        <v>11</v>
      </c>
      <c r="C94" s="5">
        <f>SUMIFS(DETAY!C:C,DETAY!A:A,'DETAY-yaslandırma'!A94,DETAY!B:B,'DETAY-yaslandırma'!B94)</f>
        <v>0</v>
      </c>
      <c r="D94" s="5">
        <f>SUMIFS(ham_data!AB:AB,ham_data!$J:$J,'DETAY-yaslandırma'!$B94,ham_data!$E:$E,'DETAY-yaslandırma'!$A94)</f>
        <v>0</v>
      </c>
      <c r="E94" s="5">
        <f>SUMIFS(ham_data!AC:AC,ham_data!$J:$J,'DETAY-yaslandırma'!$B94,ham_data!$E:$E,'DETAY-yaslandırma'!$A94)</f>
        <v>0</v>
      </c>
      <c r="F94" s="5">
        <f>SUMIFS(ham_data!AD:AD,ham_data!$J:$J,'DETAY-yaslandırma'!$B94,ham_data!$E:$E,'DETAY-yaslandırma'!$A94)</f>
        <v>0</v>
      </c>
      <c r="G94" s="5">
        <f>SUMIFS(ham_data!AE:AE,ham_data!$J:$J,'DETAY-yaslandırma'!$B94,ham_data!$E:$E,'DETAY-yaslandırma'!$A94)</f>
        <v>0</v>
      </c>
      <c r="H94" s="5">
        <f>SUMIFS(ham_data!AF:AF,ham_data!$J:$J,'DETAY-yaslandırma'!$B94,ham_data!$E:$E,'DETAY-yaslandırma'!$A94)</f>
        <v>0</v>
      </c>
      <c r="I94" s="5">
        <f>SUMIFS(ham_data!AG:AG,ham_data!$J:$J,'DETAY-yaslandırma'!$B94,ham_data!$E:$E,'DETAY-yaslandırma'!$A94)</f>
        <v>0</v>
      </c>
      <c r="J94" s="5">
        <f>SUMIFS(ham_data!AH:AH,ham_data!$J:$J,'DETAY-yaslandırma'!$B94,ham_data!$E:$E,'DETAY-yaslandırma'!$A94)</f>
        <v>0</v>
      </c>
      <c r="K94" s="7">
        <f>SUMIFS(DETAY!D:D,DETAY!A:A,'DETAY-yaslandırma'!A94,DETAY!B:B,'DETAY-yaslandırma'!B94)</f>
        <v>0</v>
      </c>
      <c r="L94" s="7">
        <f>SUMIFS(ham_data!U:U,ham_data!$J:$J,'DETAY-yaslandırma'!$B94,ham_data!$E:$E,'DETAY-yaslandırma'!$A94)</f>
        <v>0</v>
      </c>
      <c r="M94" s="7">
        <f>SUMIFS(ham_data!V:V,ham_data!$J:$J,'DETAY-yaslandırma'!$B94,ham_data!$E:$E,'DETAY-yaslandırma'!$A94)</f>
        <v>0</v>
      </c>
      <c r="N94" s="7">
        <f>SUMIFS(ham_data!W:W,ham_data!$J:$J,'DETAY-yaslandırma'!$B94,ham_data!$E:$E,'DETAY-yaslandırma'!$A94)</f>
        <v>0</v>
      </c>
      <c r="O94" s="7">
        <f>SUMIFS(ham_data!X:X,ham_data!$J:$J,'DETAY-yaslandırma'!$B94,ham_data!$E:$E,'DETAY-yaslandırma'!$A94)</f>
        <v>0</v>
      </c>
      <c r="P94" s="7">
        <f>SUMIFS(ham_data!Y:Y,ham_data!$J:$J,'DETAY-yaslandırma'!$B94,ham_data!$E:$E,'DETAY-yaslandırma'!$A94)</f>
        <v>0</v>
      </c>
      <c r="Q94" s="7">
        <f>SUMIFS(ham_data!Z:Z,ham_data!$J:$J,'DETAY-yaslandırma'!$B94,ham_data!$E:$E,'DETAY-yaslandırma'!$A94)</f>
        <v>0</v>
      </c>
      <c r="R94" s="7">
        <f>SUMIFS(ham_data!AA:AA,ham_data!$J:$J,'DETAY-yaslandırma'!$B94,ham_data!$E:$E,'DETAY-yaslandırma'!$A94)</f>
        <v>0</v>
      </c>
      <c r="S94" s="3">
        <f>SUMIFS(DETAY!E:E,DETAY!A:A,'DETAY-yaslandırma'!A94,DETAY!B:B,'DETAY-yaslandırma'!B94)</f>
        <v>0</v>
      </c>
      <c r="T94" s="3">
        <f t="shared" si="6"/>
        <v>0</v>
      </c>
      <c r="U94" s="11">
        <f t="shared" si="7"/>
        <v>0</v>
      </c>
    </row>
    <row r="95" spans="1:21" x14ac:dyDescent="0.35">
      <c r="A95" s="10" t="s">
        <v>232</v>
      </c>
      <c r="B95" s="2" t="s">
        <v>11</v>
      </c>
      <c r="C95" s="5">
        <f>SUMIFS(DETAY!C:C,DETAY!A:A,'DETAY-yaslandırma'!A95,DETAY!B:B,'DETAY-yaslandırma'!B95)</f>
        <v>906968.83000000007</v>
      </c>
      <c r="D95" s="5">
        <f>SUMIFS(ham_data!AB:AB,ham_data!$J:$J,'DETAY-yaslandırma'!$B95,ham_data!$E:$E,'DETAY-yaslandırma'!$A95)</f>
        <v>633983.11</v>
      </c>
      <c r="E95" s="5">
        <f>SUMIFS(ham_data!AC:AC,ham_data!$J:$J,'DETAY-yaslandırma'!$B95,ham_data!$E:$E,'DETAY-yaslandırma'!$A95)</f>
        <v>172239.42</v>
      </c>
      <c r="F95" s="5">
        <f>SUMIFS(ham_data!AD:AD,ham_data!$J:$J,'DETAY-yaslandırma'!$B95,ham_data!$E:$E,'DETAY-yaslandırma'!$A95)</f>
        <v>0</v>
      </c>
      <c r="G95" s="5">
        <f>SUMIFS(ham_data!AE:AE,ham_data!$J:$J,'DETAY-yaslandırma'!$B95,ham_data!$E:$E,'DETAY-yaslandırma'!$A95)</f>
        <v>0</v>
      </c>
      <c r="H95" s="5">
        <f>SUMIFS(ham_data!AF:AF,ham_data!$J:$J,'DETAY-yaslandırma'!$B95,ham_data!$E:$E,'DETAY-yaslandırma'!$A95)</f>
        <v>0</v>
      </c>
      <c r="I95" s="5">
        <f>SUMIFS(ham_data!AG:AG,ham_data!$J:$J,'DETAY-yaslandırma'!$B95,ham_data!$E:$E,'DETAY-yaslandırma'!$A95)</f>
        <v>100746.3</v>
      </c>
      <c r="J95" s="5">
        <f>SUMIFS(ham_data!AH:AH,ham_data!$J:$J,'DETAY-yaslandırma'!$B95,ham_data!$E:$E,'DETAY-yaslandırma'!$A95)</f>
        <v>0</v>
      </c>
      <c r="K95" s="7">
        <f>SUMIFS(DETAY!D:D,DETAY!A:A,'DETAY-yaslandırma'!A95,DETAY!B:B,'DETAY-yaslandırma'!B95)</f>
        <v>0</v>
      </c>
      <c r="L95" s="7">
        <f>SUMIFS(ham_data!U:U,ham_data!$J:$J,'DETAY-yaslandırma'!$B95,ham_data!$E:$E,'DETAY-yaslandırma'!$A95)</f>
        <v>0</v>
      </c>
      <c r="M95" s="7">
        <f>SUMIFS(ham_data!V:V,ham_data!$J:$J,'DETAY-yaslandırma'!$B95,ham_data!$E:$E,'DETAY-yaslandırma'!$A95)</f>
        <v>0</v>
      </c>
      <c r="N95" s="7">
        <f>SUMIFS(ham_data!W:W,ham_data!$J:$J,'DETAY-yaslandırma'!$B95,ham_data!$E:$E,'DETAY-yaslandırma'!$A95)</f>
        <v>0</v>
      </c>
      <c r="O95" s="7">
        <f>SUMIFS(ham_data!X:X,ham_data!$J:$J,'DETAY-yaslandırma'!$B95,ham_data!$E:$E,'DETAY-yaslandırma'!$A95)</f>
        <v>0</v>
      </c>
      <c r="P95" s="7">
        <f>SUMIFS(ham_data!Y:Y,ham_data!$J:$J,'DETAY-yaslandırma'!$B95,ham_data!$E:$E,'DETAY-yaslandırma'!$A95)</f>
        <v>0</v>
      </c>
      <c r="Q95" s="7">
        <f>SUMIFS(ham_data!Z:Z,ham_data!$J:$J,'DETAY-yaslandırma'!$B95,ham_data!$E:$E,'DETAY-yaslandırma'!$A95)</f>
        <v>0</v>
      </c>
      <c r="R95" s="7">
        <f>SUMIFS(ham_data!AA:AA,ham_data!$J:$J,'DETAY-yaslandırma'!$B95,ham_data!$E:$E,'DETAY-yaslandırma'!$A95)</f>
        <v>0</v>
      </c>
      <c r="S95" s="3">
        <f>SUMIFS(DETAY!E:E,DETAY!A:A,'DETAY-yaslandırma'!A95,DETAY!B:B,'DETAY-yaslandırma'!B95)</f>
        <v>906968.83000000007</v>
      </c>
      <c r="T95" s="3">
        <f t="shared" si="6"/>
        <v>0</v>
      </c>
      <c r="U95" s="11">
        <f t="shared" si="7"/>
        <v>0</v>
      </c>
    </row>
    <row r="96" spans="1:21" x14ac:dyDescent="0.35">
      <c r="A96" s="10" t="s">
        <v>235</v>
      </c>
      <c r="B96" s="2" t="s">
        <v>11</v>
      </c>
      <c r="C96" s="5">
        <f>SUMIFS(DETAY!C:C,DETAY!A:A,'DETAY-yaslandırma'!A96,DETAY!B:B,'DETAY-yaslandırma'!B96)</f>
        <v>0</v>
      </c>
      <c r="D96" s="5">
        <f>SUMIFS(ham_data!AB:AB,ham_data!$J:$J,'DETAY-yaslandırma'!$B96,ham_data!$E:$E,'DETAY-yaslandırma'!$A96)</f>
        <v>0</v>
      </c>
      <c r="E96" s="5">
        <f>SUMIFS(ham_data!AC:AC,ham_data!$J:$J,'DETAY-yaslandırma'!$B96,ham_data!$E:$E,'DETAY-yaslandırma'!$A96)</f>
        <v>0</v>
      </c>
      <c r="F96" s="5">
        <f>SUMIFS(ham_data!AD:AD,ham_data!$J:$J,'DETAY-yaslandırma'!$B96,ham_data!$E:$E,'DETAY-yaslandırma'!$A96)</f>
        <v>0</v>
      </c>
      <c r="G96" s="5">
        <f>SUMIFS(ham_data!AE:AE,ham_data!$J:$J,'DETAY-yaslandırma'!$B96,ham_data!$E:$E,'DETAY-yaslandırma'!$A96)</f>
        <v>0</v>
      </c>
      <c r="H96" s="5">
        <f>SUMIFS(ham_data!AF:AF,ham_data!$J:$J,'DETAY-yaslandırma'!$B96,ham_data!$E:$E,'DETAY-yaslandırma'!$A96)</f>
        <v>0</v>
      </c>
      <c r="I96" s="5">
        <f>SUMIFS(ham_data!AG:AG,ham_data!$J:$J,'DETAY-yaslandırma'!$B96,ham_data!$E:$E,'DETAY-yaslandırma'!$A96)</f>
        <v>0</v>
      </c>
      <c r="J96" s="5">
        <f>SUMIFS(ham_data!AH:AH,ham_data!$J:$J,'DETAY-yaslandırma'!$B96,ham_data!$E:$E,'DETAY-yaslandırma'!$A96)</f>
        <v>0</v>
      </c>
      <c r="K96" s="7">
        <f>SUMIFS(DETAY!D:D,DETAY!A:A,'DETAY-yaslandırma'!A96,DETAY!B:B,'DETAY-yaslandırma'!B96)</f>
        <v>0</v>
      </c>
      <c r="L96" s="7">
        <f>SUMIFS(ham_data!U:U,ham_data!$J:$J,'DETAY-yaslandırma'!$B96,ham_data!$E:$E,'DETAY-yaslandırma'!$A96)</f>
        <v>0</v>
      </c>
      <c r="M96" s="7">
        <f>SUMIFS(ham_data!V:V,ham_data!$J:$J,'DETAY-yaslandırma'!$B96,ham_data!$E:$E,'DETAY-yaslandırma'!$A96)</f>
        <v>0</v>
      </c>
      <c r="N96" s="7">
        <f>SUMIFS(ham_data!W:W,ham_data!$J:$J,'DETAY-yaslandırma'!$B96,ham_data!$E:$E,'DETAY-yaslandırma'!$A96)</f>
        <v>0</v>
      </c>
      <c r="O96" s="7">
        <f>SUMIFS(ham_data!X:X,ham_data!$J:$J,'DETAY-yaslandırma'!$B96,ham_data!$E:$E,'DETAY-yaslandırma'!$A96)</f>
        <v>0</v>
      </c>
      <c r="P96" s="7">
        <f>SUMIFS(ham_data!Y:Y,ham_data!$J:$J,'DETAY-yaslandırma'!$B96,ham_data!$E:$E,'DETAY-yaslandırma'!$A96)</f>
        <v>0</v>
      </c>
      <c r="Q96" s="7">
        <f>SUMIFS(ham_data!Z:Z,ham_data!$J:$J,'DETAY-yaslandırma'!$B96,ham_data!$E:$E,'DETAY-yaslandırma'!$A96)</f>
        <v>0</v>
      </c>
      <c r="R96" s="7">
        <f>SUMIFS(ham_data!AA:AA,ham_data!$J:$J,'DETAY-yaslandırma'!$B96,ham_data!$E:$E,'DETAY-yaslandırma'!$A96)</f>
        <v>0</v>
      </c>
      <c r="S96" s="3">
        <f>SUMIFS(DETAY!E:E,DETAY!A:A,'DETAY-yaslandırma'!A96,DETAY!B:B,'DETAY-yaslandırma'!B96)</f>
        <v>0</v>
      </c>
      <c r="T96" s="3">
        <f t="shared" si="6"/>
        <v>0</v>
      </c>
      <c r="U96" s="11">
        <f t="shared" si="7"/>
        <v>0</v>
      </c>
    </row>
    <row r="97" spans="1:21" x14ac:dyDescent="0.35">
      <c r="A97" s="10" t="s">
        <v>239</v>
      </c>
      <c r="B97" s="2" t="s">
        <v>11</v>
      </c>
      <c r="C97" s="5">
        <f>SUMIFS(DETAY!C:C,DETAY!A:A,'DETAY-yaslandırma'!A97,DETAY!B:B,'DETAY-yaslandırma'!B97)</f>
        <v>0</v>
      </c>
      <c r="D97" s="5">
        <f>SUMIFS(ham_data!AB:AB,ham_data!$J:$J,'DETAY-yaslandırma'!$B97,ham_data!$E:$E,'DETAY-yaslandırma'!$A97)</f>
        <v>0</v>
      </c>
      <c r="E97" s="5">
        <f>SUMIFS(ham_data!AC:AC,ham_data!$J:$J,'DETAY-yaslandırma'!$B97,ham_data!$E:$E,'DETAY-yaslandırma'!$A97)</f>
        <v>0</v>
      </c>
      <c r="F97" s="5">
        <f>SUMIFS(ham_data!AD:AD,ham_data!$J:$J,'DETAY-yaslandırma'!$B97,ham_data!$E:$E,'DETAY-yaslandırma'!$A97)</f>
        <v>0</v>
      </c>
      <c r="G97" s="5">
        <f>SUMIFS(ham_data!AE:AE,ham_data!$J:$J,'DETAY-yaslandırma'!$B97,ham_data!$E:$E,'DETAY-yaslandırma'!$A97)</f>
        <v>0</v>
      </c>
      <c r="H97" s="5">
        <f>SUMIFS(ham_data!AF:AF,ham_data!$J:$J,'DETAY-yaslandırma'!$B97,ham_data!$E:$E,'DETAY-yaslandırma'!$A97)</f>
        <v>0</v>
      </c>
      <c r="I97" s="5">
        <f>SUMIFS(ham_data!AG:AG,ham_data!$J:$J,'DETAY-yaslandırma'!$B97,ham_data!$E:$E,'DETAY-yaslandırma'!$A97)</f>
        <v>0</v>
      </c>
      <c r="J97" s="5">
        <f>SUMIFS(ham_data!AH:AH,ham_data!$J:$J,'DETAY-yaslandırma'!$B97,ham_data!$E:$E,'DETAY-yaslandırma'!$A97)</f>
        <v>0</v>
      </c>
      <c r="K97" s="7">
        <f>SUMIFS(DETAY!D:D,DETAY!A:A,'DETAY-yaslandırma'!A97,DETAY!B:B,'DETAY-yaslandırma'!B97)</f>
        <v>0</v>
      </c>
      <c r="L97" s="7">
        <f>SUMIFS(ham_data!U:U,ham_data!$J:$J,'DETAY-yaslandırma'!$B97,ham_data!$E:$E,'DETAY-yaslandırma'!$A97)</f>
        <v>0</v>
      </c>
      <c r="M97" s="7">
        <f>SUMIFS(ham_data!V:V,ham_data!$J:$J,'DETAY-yaslandırma'!$B97,ham_data!$E:$E,'DETAY-yaslandırma'!$A97)</f>
        <v>0</v>
      </c>
      <c r="N97" s="7">
        <f>SUMIFS(ham_data!W:W,ham_data!$J:$J,'DETAY-yaslandırma'!$B97,ham_data!$E:$E,'DETAY-yaslandırma'!$A97)</f>
        <v>0</v>
      </c>
      <c r="O97" s="7">
        <f>SUMIFS(ham_data!X:X,ham_data!$J:$J,'DETAY-yaslandırma'!$B97,ham_data!$E:$E,'DETAY-yaslandırma'!$A97)</f>
        <v>0</v>
      </c>
      <c r="P97" s="7">
        <f>SUMIFS(ham_data!Y:Y,ham_data!$J:$J,'DETAY-yaslandırma'!$B97,ham_data!$E:$E,'DETAY-yaslandırma'!$A97)</f>
        <v>0</v>
      </c>
      <c r="Q97" s="7">
        <f>SUMIFS(ham_data!Z:Z,ham_data!$J:$J,'DETAY-yaslandırma'!$B97,ham_data!$E:$E,'DETAY-yaslandırma'!$A97)</f>
        <v>0</v>
      </c>
      <c r="R97" s="7">
        <f>SUMIFS(ham_data!AA:AA,ham_data!$J:$J,'DETAY-yaslandırma'!$B97,ham_data!$E:$E,'DETAY-yaslandırma'!$A97)</f>
        <v>0</v>
      </c>
      <c r="S97" s="3">
        <f>SUMIFS(DETAY!E:E,DETAY!A:A,'DETAY-yaslandırma'!A97,DETAY!B:B,'DETAY-yaslandırma'!B97)</f>
        <v>0</v>
      </c>
      <c r="T97" s="3">
        <f t="shared" si="6"/>
        <v>0</v>
      </c>
      <c r="U97" s="11">
        <f t="shared" si="7"/>
        <v>0</v>
      </c>
    </row>
    <row r="98" spans="1:21" x14ac:dyDescent="0.35">
      <c r="A98" s="10" t="s">
        <v>234</v>
      </c>
      <c r="B98" s="2" t="s">
        <v>11</v>
      </c>
      <c r="C98" s="5">
        <f>SUMIFS(DETAY!C:C,DETAY!A:A,'DETAY-yaslandırma'!A98,DETAY!B:B,'DETAY-yaslandırma'!B98)</f>
        <v>0</v>
      </c>
      <c r="D98" s="5">
        <f>SUMIFS(ham_data!AB:AB,ham_data!$J:$J,'DETAY-yaslandırma'!$B98,ham_data!$E:$E,'DETAY-yaslandırma'!$A98)</f>
        <v>0</v>
      </c>
      <c r="E98" s="5">
        <f>SUMIFS(ham_data!AC:AC,ham_data!$J:$J,'DETAY-yaslandırma'!$B98,ham_data!$E:$E,'DETAY-yaslandırma'!$A98)</f>
        <v>0</v>
      </c>
      <c r="F98" s="5">
        <f>SUMIFS(ham_data!AD:AD,ham_data!$J:$J,'DETAY-yaslandırma'!$B98,ham_data!$E:$E,'DETAY-yaslandırma'!$A98)</f>
        <v>0</v>
      </c>
      <c r="G98" s="5">
        <f>SUMIFS(ham_data!AE:AE,ham_data!$J:$J,'DETAY-yaslandırma'!$B98,ham_data!$E:$E,'DETAY-yaslandırma'!$A98)</f>
        <v>0</v>
      </c>
      <c r="H98" s="5">
        <f>SUMIFS(ham_data!AF:AF,ham_data!$J:$J,'DETAY-yaslandırma'!$B98,ham_data!$E:$E,'DETAY-yaslandırma'!$A98)</f>
        <v>0</v>
      </c>
      <c r="I98" s="5">
        <f>SUMIFS(ham_data!AG:AG,ham_data!$J:$J,'DETAY-yaslandırma'!$B98,ham_data!$E:$E,'DETAY-yaslandırma'!$A98)</f>
        <v>0</v>
      </c>
      <c r="J98" s="5">
        <f>SUMIFS(ham_data!AH:AH,ham_data!$J:$J,'DETAY-yaslandırma'!$B98,ham_data!$E:$E,'DETAY-yaslandırma'!$A98)</f>
        <v>0</v>
      </c>
      <c r="K98" s="7">
        <f>SUMIFS(DETAY!D:D,DETAY!A:A,'DETAY-yaslandırma'!A98,DETAY!B:B,'DETAY-yaslandırma'!B98)</f>
        <v>293867.42</v>
      </c>
      <c r="L98" s="7">
        <f>SUMIFS(ham_data!U:U,ham_data!$J:$J,'DETAY-yaslandırma'!$B98,ham_data!$E:$E,'DETAY-yaslandırma'!$A98)</f>
        <v>293867.42</v>
      </c>
      <c r="M98" s="7">
        <f>SUMIFS(ham_data!V:V,ham_data!$J:$J,'DETAY-yaslandırma'!$B98,ham_data!$E:$E,'DETAY-yaslandırma'!$A98)</f>
        <v>0</v>
      </c>
      <c r="N98" s="7">
        <f>SUMIFS(ham_data!W:W,ham_data!$J:$J,'DETAY-yaslandırma'!$B98,ham_data!$E:$E,'DETAY-yaslandırma'!$A98)</f>
        <v>0</v>
      </c>
      <c r="O98" s="7">
        <f>SUMIFS(ham_data!X:X,ham_data!$J:$J,'DETAY-yaslandırma'!$B98,ham_data!$E:$E,'DETAY-yaslandırma'!$A98)</f>
        <v>0</v>
      </c>
      <c r="P98" s="7">
        <f>SUMIFS(ham_data!Y:Y,ham_data!$J:$J,'DETAY-yaslandırma'!$B98,ham_data!$E:$E,'DETAY-yaslandırma'!$A98)</f>
        <v>0</v>
      </c>
      <c r="Q98" s="7">
        <f>SUMIFS(ham_data!Z:Z,ham_data!$J:$J,'DETAY-yaslandırma'!$B98,ham_data!$E:$E,'DETAY-yaslandırma'!$A98)</f>
        <v>0</v>
      </c>
      <c r="R98" s="7">
        <f>SUMIFS(ham_data!AA:AA,ham_data!$J:$J,'DETAY-yaslandırma'!$B98,ham_data!$E:$E,'DETAY-yaslandırma'!$A98)</f>
        <v>0</v>
      </c>
      <c r="S98" s="3">
        <f>SUMIFS(DETAY!E:E,DETAY!A:A,'DETAY-yaslandırma'!A98,DETAY!B:B,'DETAY-yaslandırma'!B98)</f>
        <v>293867.42</v>
      </c>
      <c r="T98" s="3">
        <f t="shared" si="6"/>
        <v>0</v>
      </c>
      <c r="U98" s="11">
        <f t="shared" si="7"/>
        <v>0</v>
      </c>
    </row>
    <row r="99" spans="1:21" x14ac:dyDescent="0.35">
      <c r="A99" s="10" t="s">
        <v>106</v>
      </c>
      <c r="B99" s="2" t="s">
        <v>37</v>
      </c>
      <c r="C99" s="5">
        <f>SUMIFS(DETAY!C:C,DETAY!A:A,'DETAY-yaslandırma'!A99,DETAY!B:B,'DETAY-yaslandırma'!B99)</f>
        <v>517.20000000000005</v>
      </c>
      <c r="D99" s="5">
        <f>SUMIFS(ham_data!AB:AB,ham_data!$J:$J,'DETAY-yaslandırma'!$B99,ham_data!$E:$E,'DETAY-yaslandırma'!$A99)</f>
        <v>0</v>
      </c>
      <c r="E99" s="5">
        <f>SUMIFS(ham_data!AC:AC,ham_data!$J:$J,'DETAY-yaslandırma'!$B99,ham_data!$E:$E,'DETAY-yaslandırma'!$A99)</f>
        <v>0</v>
      </c>
      <c r="F99" s="5">
        <f>SUMIFS(ham_data!AD:AD,ham_data!$J:$J,'DETAY-yaslandırma'!$B99,ham_data!$E:$E,'DETAY-yaslandırma'!$A99)</f>
        <v>0</v>
      </c>
      <c r="G99" s="5">
        <f>SUMIFS(ham_data!AE:AE,ham_data!$J:$J,'DETAY-yaslandırma'!$B99,ham_data!$E:$E,'DETAY-yaslandırma'!$A99)</f>
        <v>0</v>
      </c>
      <c r="H99" s="5">
        <f>SUMIFS(ham_data!AF:AF,ham_data!$J:$J,'DETAY-yaslandırma'!$B99,ham_data!$E:$E,'DETAY-yaslandırma'!$A99)</f>
        <v>517.20000000000005</v>
      </c>
      <c r="I99" s="5">
        <f>SUMIFS(ham_data!AG:AG,ham_data!$J:$J,'DETAY-yaslandırma'!$B99,ham_data!$E:$E,'DETAY-yaslandırma'!$A99)</f>
        <v>0</v>
      </c>
      <c r="J99" s="5">
        <f>SUMIFS(ham_data!AH:AH,ham_data!$J:$J,'DETAY-yaslandırma'!$B99,ham_data!$E:$E,'DETAY-yaslandırma'!$A99)</f>
        <v>0</v>
      </c>
      <c r="K99" s="7">
        <f>SUMIFS(DETAY!D:D,DETAY!A:A,'DETAY-yaslandırma'!A99,DETAY!B:B,'DETAY-yaslandırma'!B99)</f>
        <v>327</v>
      </c>
      <c r="L99" s="7">
        <f>SUMIFS(ham_data!U:U,ham_data!$J:$J,'DETAY-yaslandırma'!$B99,ham_data!$E:$E,'DETAY-yaslandırma'!$A99)</f>
        <v>0</v>
      </c>
      <c r="M99" s="7">
        <f>SUMIFS(ham_data!V:V,ham_data!$J:$J,'DETAY-yaslandırma'!$B99,ham_data!$E:$E,'DETAY-yaslandırma'!$A99)</f>
        <v>327</v>
      </c>
      <c r="N99" s="7">
        <f>SUMIFS(ham_data!W:W,ham_data!$J:$J,'DETAY-yaslandırma'!$B99,ham_data!$E:$E,'DETAY-yaslandırma'!$A99)</f>
        <v>0</v>
      </c>
      <c r="O99" s="7">
        <f>SUMIFS(ham_data!X:X,ham_data!$J:$J,'DETAY-yaslandırma'!$B99,ham_data!$E:$E,'DETAY-yaslandırma'!$A99)</f>
        <v>0</v>
      </c>
      <c r="P99" s="7">
        <f>SUMIFS(ham_data!Y:Y,ham_data!$J:$J,'DETAY-yaslandırma'!$B99,ham_data!$E:$E,'DETAY-yaslandırma'!$A99)</f>
        <v>0</v>
      </c>
      <c r="Q99" s="7">
        <f>SUMIFS(ham_data!Z:Z,ham_data!$J:$J,'DETAY-yaslandırma'!$B99,ham_data!$E:$E,'DETAY-yaslandırma'!$A99)</f>
        <v>0</v>
      </c>
      <c r="R99" s="7">
        <f>SUMIFS(ham_data!AA:AA,ham_data!$J:$J,'DETAY-yaslandırma'!$B99,ham_data!$E:$E,'DETAY-yaslandırma'!$A99)</f>
        <v>0</v>
      </c>
      <c r="S99" s="3">
        <f>SUMIFS(DETAY!E:E,DETAY!A:A,'DETAY-yaslandırma'!A99,DETAY!B:B,'DETAY-yaslandırma'!B99)</f>
        <v>844.2</v>
      </c>
      <c r="T99" s="3">
        <f t="shared" si="6"/>
        <v>0</v>
      </c>
      <c r="U99" s="11">
        <f t="shared" si="7"/>
        <v>0</v>
      </c>
    </row>
    <row r="100" spans="1:21" x14ac:dyDescent="0.35">
      <c r="A100" s="10" t="s">
        <v>136</v>
      </c>
      <c r="B100" s="2" t="s">
        <v>11</v>
      </c>
      <c r="C100" s="5">
        <f>SUMIFS(DETAY!C:C,DETAY!A:A,'DETAY-yaslandırma'!A100,DETAY!B:B,'DETAY-yaslandırma'!B100)</f>
        <v>23280224.829999998</v>
      </c>
      <c r="D100" s="5">
        <f>SUMIFS(ham_data!AB:AB,ham_data!$J:$J,'DETAY-yaslandırma'!$B100,ham_data!$E:$E,'DETAY-yaslandırma'!$A100)</f>
        <v>11683.33</v>
      </c>
      <c r="E100" s="5">
        <f>SUMIFS(ham_data!AC:AC,ham_data!$J:$J,'DETAY-yaslandırma'!$B100,ham_data!$E:$E,'DETAY-yaslandırma'!$A100)</f>
        <v>23268541.5</v>
      </c>
      <c r="F100" s="5">
        <f>SUMIFS(ham_data!AD:AD,ham_data!$J:$J,'DETAY-yaslandırma'!$B100,ham_data!$E:$E,'DETAY-yaslandırma'!$A100)</f>
        <v>0</v>
      </c>
      <c r="G100" s="5">
        <f>SUMIFS(ham_data!AE:AE,ham_data!$J:$J,'DETAY-yaslandırma'!$B100,ham_data!$E:$E,'DETAY-yaslandırma'!$A100)</f>
        <v>0</v>
      </c>
      <c r="H100" s="5">
        <f>SUMIFS(ham_data!AF:AF,ham_data!$J:$J,'DETAY-yaslandırma'!$B100,ham_data!$E:$E,'DETAY-yaslandırma'!$A100)</f>
        <v>0</v>
      </c>
      <c r="I100" s="5">
        <f>SUMIFS(ham_data!AG:AG,ham_data!$J:$J,'DETAY-yaslandırma'!$B100,ham_data!$E:$E,'DETAY-yaslandırma'!$A100)</f>
        <v>0</v>
      </c>
      <c r="J100" s="5">
        <f>SUMIFS(ham_data!AH:AH,ham_data!$J:$J,'DETAY-yaslandırma'!$B100,ham_data!$E:$E,'DETAY-yaslandırma'!$A100)</f>
        <v>0</v>
      </c>
      <c r="K100" s="7">
        <f>SUMIFS(DETAY!D:D,DETAY!A:A,'DETAY-yaslandırma'!A100,DETAY!B:B,'DETAY-yaslandırma'!B100)</f>
        <v>17585656.800000001</v>
      </c>
      <c r="L100" s="7">
        <f>SUMIFS(ham_data!U:U,ham_data!$J:$J,'DETAY-yaslandırma'!$B100,ham_data!$E:$E,'DETAY-yaslandırma'!$A100)</f>
        <v>17585656.800000001</v>
      </c>
      <c r="M100" s="7">
        <f>SUMIFS(ham_data!V:V,ham_data!$J:$J,'DETAY-yaslandırma'!$B100,ham_data!$E:$E,'DETAY-yaslandırma'!$A100)</f>
        <v>0</v>
      </c>
      <c r="N100" s="7">
        <f>SUMIFS(ham_data!W:W,ham_data!$J:$J,'DETAY-yaslandırma'!$B100,ham_data!$E:$E,'DETAY-yaslandırma'!$A100)</f>
        <v>0</v>
      </c>
      <c r="O100" s="7">
        <f>SUMIFS(ham_data!X:X,ham_data!$J:$J,'DETAY-yaslandırma'!$B100,ham_data!$E:$E,'DETAY-yaslandırma'!$A100)</f>
        <v>0</v>
      </c>
      <c r="P100" s="7">
        <f>SUMIFS(ham_data!Y:Y,ham_data!$J:$J,'DETAY-yaslandırma'!$B100,ham_data!$E:$E,'DETAY-yaslandırma'!$A100)</f>
        <v>0</v>
      </c>
      <c r="Q100" s="7">
        <f>SUMIFS(ham_data!Z:Z,ham_data!$J:$J,'DETAY-yaslandırma'!$B100,ham_data!$E:$E,'DETAY-yaslandırma'!$A100)</f>
        <v>0</v>
      </c>
      <c r="R100" s="7">
        <f>SUMIFS(ham_data!AA:AA,ham_data!$J:$J,'DETAY-yaslandırma'!$B100,ham_data!$E:$E,'DETAY-yaslandırma'!$A100)</f>
        <v>0</v>
      </c>
      <c r="S100" s="3">
        <f>SUMIFS(DETAY!E:E,DETAY!A:A,'DETAY-yaslandırma'!A100,DETAY!B:B,'DETAY-yaslandırma'!B100)</f>
        <v>40865881.629999995</v>
      </c>
      <c r="T100" s="3">
        <f t="shared" si="6"/>
        <v>0</v>
      </c>
      <c r="U100" s="11">
        <f t="shared" si="7"/>
        <v>0</v>
      </c>
    </row>
    <row r="101" spans="1:21" x14ac:dyDescent="0.35">
      <c r="A101" s="10" t="s">
        <v>250</v>
      </c>
      <c r="B101" s="2" t="s">
        <v>11</v>
      </c>
      <c r="C101" s="5">
        <f>SUMIFS(DETAY!C:C,DETAY!A:A,'DETAY-yaslandırma'!A101,DETAY!B:B,'DETAY-yaslandırma'!B101)</f>
        <v>0</v>
      </c>
      <c r="D101" s="5">
        <f>SUMIFS(ham_data!AB:AB,ham_data!$J:$J,'DETAY-yaslandırma'!$B101,ham_data!$E:$E,'DETAY-yaslandırma'!$A101)</f>
        <v>0</v>
      </c>
      <c r="E101" s="5">
        <f>SUMIFS(ham_data!AC:AC,ham_data!$J:$J,'DETAY-yaslandırma'!$B101,ham_data!$E:$E,'DETAY-yaslandırma'!$A101)</f>
        <v>0</v>
      </c>
      <c r="F101" s="5">
        <f>SUMIFS(ham_data!AD:AD,ham_data!$J:$J,'DETAY-yaslandırma'!$B101,ham_data!$E:$E,'DETAY-yaslandırma'!$A101)</f>
        <v>0</v>
      </c>
      <c r="G101" s="5">
        <f>SUMIFS(ham_data!AE:AE,ham_data!$J:$J,'DETAY-yaslandırma'!$B101,ham_data!$E:$E,'DETAY-yaslandırma'!$A101)</f>
        <v>0</v>
      </c>
      <c r="H101" s="5">
        <f>SUMIFS(ham_data!AF:AF,ham_data!$J:$J,'DETAY-yaslandırma'!$B101,ham_data!$E:$E,'DETAY-yaslandırma'!$A101)</f>
        <v>0</v>
      </c>
      <c r="I101" s="5">
        <f>SUMIFS(ham_data!AG:AG,ham_data!$J:$J,'DETAY-yaslandırma'!$B101,ham_data!$E:$E,'DETAY-yaslandırma'!$A101)</f>
        <v>0</v>
      </c>
      <c r="J101" s="5">
        <f>SUMIFS(ham_data!AH:AH,ham_data!$J:$J,'DETAY-yaslandırma'!$B101,ham_data!$E:$E,'DETAY-yaslandırma'!$A101)</f>
        <v>0</v>
      </c>
      <c r="K101" s="7">
        <f>SUMIFS(DETAY!D:D,DETAY!A:A,'DETAY-yaslandırma'!A101,DETAY!B:B,'DETAY-yaslandırma'!B101)</f>
        <v>0</v>
      </c>
      <c r="L101" s="7">
        <f>SUMIFS(ham_data!U:U,ham_data!$J:$J,'DETAY-yaslandırma'!$B101,ham_data!$E:$E,'DETAY-yaslandırma'!$A101)</f>
        <v>0</v>
      </c>
      <c r="M101" s="7">
        <f>SUMIFS(ham_data!V:V,ham_data!$J:$J,'DETAY-yaslandırma'!$B101,ham_data!$E:$E,'DETAY-yaslandırma'!$A101)</f>
        <v>0</v>
      </c>
      <c r="N101" s="7">
        <f>SUMIFS(ham_data!W:W,ham_data!$J:$J,'DETAY-yaslandırma'!$B101,ham_data!$E:$E,'DETAY-yaslandırma'!$A101)</f>
        <v>0</v>
      </c>
      <c r="O101" s="7">
        <f>SUMIFS(ham_data!X:X,ham_data!$J:$J,'DETAY-yaslandırma'!$B101,ham_data!$E:$E,'DETAY-yaslandırma'!$A101)</f>
        <v>0</v>
      </c>
      <c r="P101" s="7">
        <f>SUMIFS(ham_data!Y:Y,ham_data!$J:$J,'DETAY-yaslandırma'!$B101,ham_data!$E:$E,'DETAY-yaslandırma'!$A101)</f>
        <v>0</v>
      </c>
      <c r="Q101" s="7">
        <f>SUMIFS(ham_data!Z:Z,ham_data!$J:$J,'DETAY-yaslandırma'!$B101,ham_data!$E:$E,'DETAY-yaslandırma'!$A101)</f>
        <v>0</v>
      </c>
      <c r="R101" s="7">
        <f>SUMIFS(ham_data!AA:AA,ham_data!$J:$J,'DETAY-yaslandırma'!$B101,ham_data!$E:$E,'DETAY-yaslandırma'!$A101)</f>
        <v>0</v>
      </c>
      <c r="S101" s="3">
        <f>SUMIFS(DETAY!E:E,DETAY!A:A,'DETAY-yaslandırma'!A101,DETAY!B:B,'DETAY-yaslandırma'!B101)</f>
        <v>0</v>
      </c>
      <c r="T101" s="3">
        <f t="shared" si="6"/>
        <v>0</v>
      </c>
      <c r="U101" s="11">
        <f t="shared" si="7"/>
        <v>0</v>
      </c>
    </row>
    <row r="102" spans="1:21" x14ac:dyDescent="0.35">
      <c r="A102" s="10" t="s">
        <v>247</v>
      </c>
      <c r="B102" s="2" t="s">
        <v>11</v>
      </c>
      <c r="C102" s="5">
        <f>SUMIFS(DETAY!C:C,DETAY!A:A,'DETAY-yaslandırma'!A102,DETAY!B:B,'DETAY-yaslandırma'!B102)</f>
        <v>0</v>
      </c>
      <c r="D102" s="5">
        <f>SUMIFS(ham_data!AB:AB,ham_data!$J:$J,'DETAY-yaslandırma'!$B102,ham_data!$E:$E,'DETAY-yaslandırma'!$A102)</f>
        <v>0</v>
      </c>
      <c r="E102" s="5">
        <f>SUMIFS(ham_data!AC:AC,ham_data!$J:$J,'DETAY-yaslandırma'!$B102,ham_data!$E:$E,'DETAY-yaslandırma'!$A102)</f>
        <v>0</v>
      </c>
      <c r="F102" s="5">
        <f>SUMIFS(ham_data!AD:AD,ham_data!$J:$J,'DETAY-yaslandırma'!$B102,ham_data!$E:$E,'DETAY-yaslandırma'!$A102)</f>
        <v>0</v>
      </c>
      <c r="G102" s="5">
        <f>SUMIFS(ham_data!AE:AE,ham_data!$J:$J,'DETAY-yaslandırma'!$B102,ham_data!$E:$E,'DETAY-yaslandırma'!$A102)</f>
        <v>0</v>
      </c>
      <c r="H102" s="5">
        <f>SUMIFS(ham_data!AF:AF,ham_data!$J:$J,'DETAY-yaslandırma'!$B102,ham_data!$E:$E,'DETAY-yaslandırma'!$A102)</f>
        <v>0</v>
      </c>
      <c r="I102" s="5">
        <f>SUMIFS(ham_data!AG:AG,ham_data!$J:$J,'DETAY-yaslandırma'!$B102,ham_data!$E:$E,'DETAY-yaslandırma'!$A102)</f>
        <v>0</v>
      </c>
      <c r="J102" s="5">
        <f>SUMIFS(ham_data!AH:AH,ham_data!$J:$J,'DETAY-yaslandırma'!$B102,ham_data!$E:$E,'DETAY-yaslandırma'!$A102)</f>
        <v>0</v>
      </c>
      <c r="K102" s="7">
        <f>SUMIFS(DETAY!D:D,DETAY!A:A,'DETAY-yaslandırma'!A102,DETAY!B:B,'DETAY-yaslandırma'!B102)</f>
        <v>1255405.9299999997</v>
      </c>
      <c r="L102" s="7">
        <f>SUMIFS(ham_data!U:U,ham_data!$J:$J,'DETAY-yaslandırma'!$B102,ham_data!$E:$E,'DETAY-yaslandırma'!$A102)</f>
        <v>1255405.9299999997</v>
      </c>
      <c r="M102" s="7">
        <f>SUMIFS(ham_data!V:V,ham_data!$J:$J,'DETAY-yaslandırma'!$B102,ham_data!$E:$E,'DETAY-yaslandırma'!$A102)</f>
        <v>0</v>
      </c>
      <c r="N102" s="7">
        <f>SUMIFS(ham_data!W:W,ham_data!$J:$J,'DETAY-yaslandırma'!$B102,ham_data!$E:$E,'DETAY-yaslandırma'!$A102)</f>
        <v>0</v>
      </c>
      <c r="O102" s="7">
        <f>SUMIFS(ham_data!X:X,ham_data!$J:$J,'DETAY-yaslandırma'!$B102,ham_data!$E:$E,'DETAY-yaslandırma'!$A102)</f>
        <v>0</v>
      </c>
      <c r="P102" s="7">
        <f>SUMIFS(ham_data!Y:Y,ham_data!$J:$J,'DETAY-yaslandırma'!$B102,ham_data!$E:$E,'DETAY-yaslandırma'!$A102)</f>
        <v>0</v>
      </c>
      <c r="Q102" s="7">
        <f>SUMIFS(ham_data!Z:Z,ham_data!$J:$J,'DETAY-yaslandırma'!$B102,ham_data!$E:$E,'DETAY-yaslandırma'!$A102)</f>
        <v>0</v>
      </c>
      <c r="R102" s="7">
        <f>SUMIFS(ham_data!AA:AA,ham_data!$J:$J,'DETAY-yaslandırma'!$B102,ham_data!$E:$E,'DETAY-yaslandırma'!$A102)</f>
        <v>0</v>
      </c>
      <c r="S102" s="3">
        <f>SUMIFS(DETAY!E:E,DETAY!A:A,'DETAY-yaslandırma'!A102,DETAY!B:B,'DETAY-yaslandırma'!B102)</f>
        <v>1255405.9299999997</v>
      </c>
      <c r="T102" s="3">
        <f t="shared" si="6"/>
        <v>0</v>
      </c>
      <c r="U102" s="11">
        <f t="shared" si="7"/>
        <v>0</v>
      </c>
    </row>
    <row r="103" spans="1:21" x14ac:dyDescent="0.35">
      <c r="A103" s="10" t="s">
        <v>251</v>
      </c>
      <c r="B103" s="2" t="s">
        <v>11</v>
      </c>
      <c r="C103" s="5">
        <f>SUMIFS(DETAY!C:C,DETAY!A:A,'DETAY-yaslandırma'!A103,DETAY!B:B,'DETAY-yaslandırma'!B103)</f>
        <v>0</v>
      </c>
      <c r="D103" s="5">
        <f>SUMIFS(ham_data!AB:AB,ham_data!$J:$J,'DETAY-yaslandırma'!$B103,ham_data!$E:$E,'DETAY-yaslandırma'!$A103)</f>
        <v>0</v>
      </c>
      <c r="E103" s="5">
        <f>SUMIFS(ham_data!AC:AC,ham_data!$J:$J,'DETAY-yaslandırma'!$B103,ham_data!$E:$E,'DETAY-yaslandırma'!$A103)</f>
        <v>0</v>
      </c>
      <c r="F103" s="5">
        <f>SUMIFS(ham_data!AD:AD,ham_data!$J:$J,'DETAY-yaslandırma'!$B103,ham_data!$E:$E,'DETAY-yaslandırma'!$A103)</f>
        <v>0</v>
      </c>
      <c r="G103" s="5">
        <f>SUMIFS(ham_data!AE:AE,ham_data!$J:$J,'DETAY-yaslandırma'!$B103,ham_data!$E:$E,'DETAY-yaslandırma'!$A103)</f>
        <v>0</v>
      </c>
      <c r="H103" s="5">
        <f>SUMIFS(ham_data!AF:AF,ham_data!$J:$J,'DETAY-yaslandırma'!$B103,ham_data!$E:$E,'DETAY-yaslandırma'!$A103)</f>
        <v>0</v>
      </c>
      <c r="I103" s="5">
        <f>SUMIFS(ham_data!AG:AG,ham_data!$J:$J,'DETAY-yaslandırma'!$B103,ham_data!$E:$E,'DETAY-yaslandırma'!$A103)</f>
        <v>0</v>
      </c>
      <c r="J103" s="5">
        <f>SUMIFS(ham_data!AH:AH,ham_data!$J:$J,'DETAY-yaslandırma'!$B103,ham_data!$E:$E,'DETAY-yaslandırma'!$A103)</f>
        <v>0</v>
      </c>
      <c r="K103" s="7">
        <f>SUMIFS(DETAY!D:D,DETAY!A:A,'DETAY-yaslandırma'!A103,DETAY!B:B,'DETAY-yaslandırma'!B103)</f>
        <v>0</v>
      </c>
      <c r="L103" s="7">
        <f>SUMIFS(ham_data!U:U,ham_data!$J:$J,'DETAY-yaslandırma'!$B103,ham_data!$E:$E,'DETAY-yaslandırma'!$A103)</f>
        <v>0</v>
      </c>
      <c r="M103" s="7">
        <f>SUMIFS(ham_data!V:V,ham_data!$J:$J,'DETAY-yaslandırma'!$B103,ham_data!$E:$E,'DETAY-yaslandırma'!$A103)</f>
        <v>0</v>
      </c>
      <c r="N103" s="7">
        <f>SUMIFS(ham_data!W:W,ham_data!$J:$J,'DETAY-yaslandırma'!$B103,ham_data!$E:$E,'DETAY-yaslandırma'!$A103)</f>
        <v>0</v>
      </c>
      <c r="O103" s="7">
        <f>SUMIFS(ham_data!X:X,ham_data!$J:$J,'DETAY-yaslandırma'!$B103,ham_data!$E:$E,'DETAY-yaslandırma'!$A103)</f>
        <v>0</v>
      </c>
      <c r="P103" s="7">
        <f>SUMIFS(ham_data!Y:Y,ham_data!$J:$J,'DETAY-yaslandırma'!$B103,ham_data!$E:$E,'DETAY-yaslandırma'!$A103)</f>
        <v>0</v>
      </c>
      <c r="Q103" s="7">
        <f>SUMIFS(ham_data!Z:Z,ham_data!$J:$J,'DETAY-yaslandırma'!$B103,ham_data!$E:$E,'DETAY-yaslandırma'!$A103)</f>
        <v>0</v>
      </c>
      <c r="R103" s="7">
        <f>SUMIFS(ham_data!AA:AA,ham_data!$J:$J,'DETAY-yaslandırma'!$B103,ham_data!$E:$E,'DETAY-yaslandırma'!$A103)</f>
        <v>0</v>
      </c>
      <c r="S103" s="3">
        <f>SUMIFS(DETAY!E:E,DETAY!A:A,'DETAY-yaslandırma'!A103,DETAY!B:B,'DETAY-yaslandırma'!B103)</f>
        <v>0</v>
      </c>
      <c r="T103" s="3">
        <f t="shared" si="6"/>
        <v>0</v>
      </c>
      <c r="U103" s="11">
        <f t="shared" si="7"/>
        <v>0</v>
      </c>
    </row>
    <row r="104" spans="1:21" x14ac:dyDescent="0.35">
      <c r="A104" s="10" t="s">
        <v>259</v>
      </c>
      <c r="B104" s="2" t="s">
        <v>11</v>
      </c>
      <c r="C104" s="5">
        <f>SUMIFS(DETAY!C:C,DETAY!A:A,'DETAY-yaslandırma'!A104,DETAY!B:B,'DETAY-yaslandırma'!B104)</f>
        <v>1281300.6000000001</v>
      </c>
      <c r="D104" s="5">
        <f>SUMIFS(ham_data!AB:AB,ham_data!$J:$J,'DETAY-yaslandırma'!$B104,ham_data!$E:$E,'DETAY-yaslandırma'!$A104)</f>
        <v>641640.31000000006</v>
      </c>
      <c r="E104" s="5">
        <f>SUMIFS(ham_data!AC:AC,ham_data!$J:$J,'DETAY-yaslandırma'!$B104,ham_data!$E:$E,'DETAY-yaslandırma'!$A104)</f>
        <v>0</v>
      </c>
      <c r="F104" s="5">
        <f>SUMIFS(ham_data!AD:AD,ham_data!$J:$J,'DETAY-yaslandırma'!$B104,ham_data!$E:$E,'DETAY-yaslandırma'!$A104)</f>
        <v>639660.29</v>
      </c>
      <c r="G104" s="5">
        <f>SUMIFS(ham_data!AE:AE,ham_data!$J:$J,'DETAY-yaslandırma'!$B104,ham_data!$E:$E,'DETAY-yaslandırma'!$A104)</f>
        <v>0</v>
      </c>
      <c r="H104" s="5">
        <f>SUMIFS(ham_data!AF:AF,ham_data!$J:$J,'DETAY-yaslandırma'!$B104,ham_data!$E:$E,'DETAY-yaslandırma'!$A104)</f>
        <v>0</v>
      </c>
      <c r="I104" s="5">
        <f>SUMIFS(ham_data!AG:AG,ham_data!$J:$J,'DETAY-yaslandırma'!$B104,ham_data!$E:$E,'DETAY-yaslandırma'!$A104)</f>
        <v>0</v>
      </c>
      <c r="J104" s="5">
        <f>SUMIFS(ham_data!AH:AH,ham_data!$J:$J,'DETAY-yaslandırma'!$B104,ham_data!$E:$E,'DETAY-yaslandırma'!$A104)</f>
        <v>0</v>
      </c>
      <c r="K104" s="7">
        <f>SUMIFS(DETAY!D:D,DETAY!A:A,'DETAY-yaslandırma'!A104,DETAY!B:B,'DETAY-yaslandırma'!B104)</f>
        <v>0</v>
      </c>
      <c r="L104" s="7">
        <f>SUMIFS(ham_data!U:U,ham_data!$J:$J,'DETAY-yaslandırma'!$B104,ham_data!$E:$E,'DETAY-yaslandırma'!$A104)</f>
        <v>0</v>
      </c>
      <c r="M104" s="7">
        <f>SUMIFS(ham_data!V:V,ham_data!$J:$J,'DETAY-yaslandırma'!$B104,ham_data!$E:$E,'DETAY-yaslandırma'!$A104)</f>
        <v>0</v>
      </c>
      <c r="N104" s="7">
        <f>SUMIFS(ham_data!W:W,ham_data!$J:$J,'DETAY-yaslandırma'!$B104,ham_data!$E:$E,'DETAY-yaslandırma'!$A104)</f>
        <v>0</v>
      </c>
      <c r="O104" s="7">
        <f>SUMIFS(ham_data!X:X,ham_data!$J:$J,'DETAY-yaslandırma'!$B104,ham_data!$E:$E,'DETAY-yaslandırma'!$A104)</f>
        <v>0</v>
      </c>
      <c r="P104" s="7">
        <f>SUMIFS(ham_data!Y:Y,ham_data!$J:$J,'DETAY-yaslandırma'!$B104,ham_data!$E:$E,'DETAY-yaslandırma'!$A104)</f>
        <v>0</v>
      </c>
      <c r="Q104" s="7">
        <f>SUMIFS(ham_data!Z:Z,ham_data!$J:$J,'DETAY-yaslandırma'!$B104,ham_data!$E:$E,'DETAY-yaslandırma'!$A104)</f>
        <v>0</v>
      </c>
      <c r="R104" s="7">
        <f>SUMIFS(ham_data!AA:AA,ham_data!$J:$J,'DETAY-yaslandırma'!$B104,ham_data!$E:$E,'DETAY-yaslandırma'!$A104)</f>
        <v>0</v>
      </c>
      <c r="S104" s="3">
        <f>SUMIFS(DETAY!E:E,DETAY!A:A,'DETAY-yaslandırma'!A104,DETAY!B:B,'DETAY-yaslandırma'!B104)</f>
        <v>1281300.6000000001</v>
      </c>
      <c r="T104" s="3">
        <f t="shared" si="6"/>
        <v>0</v>
      </c>
      <c r="U104" s="11">
        <f t="shared" si="7"/>
        <v>0</v>
      </c>
    </row>
    <row r="105" spans="1:21" x14ac:dyDescent="0.35">
      <c r="A105" s="10" t="s">
        <v>258</v>
      </c>
      <c r="B105" s="2" t="s">
        <v>11</v>
      </c>
      <c r="C105" s="5">
        <f>SUMIFS(DETAY!C:C,DETAY!A:A,'DETAY-yaslandırma'!A105,DETAY!B:B,'DETAY-yaslandırma'!B105)</f>
        <v>0</v>
      </c>
      <c r="D105" s="5">
        <f>SUMIFS(ham_data!AB:AB,ham_data!$J:$J,'DETAY-yaslandırma'!$B105,ham_data!$E:$E,'DETAY-yaslandırma'!$A105)</f>
        <v>0</v>
      </c>
      <c r="E105" s="5">
        <f>SUMIFS(ham_data!AC:AC,ham_data!$J:$J,'DETAY-yaslandırma'!$B105,ham_data!$E:$E,'DETAY-yaslandırma'!$A105)</f>
        <v>0</v>
      </c>
      <c r="F105" s="5">
        <f>SUMIFS(ham_data!AD:AD,ham_data!$J:$J,'DETAY-yaslandırma'!$B105,ham_data!$E:$E,'DETAY-yaslandırma'!$A105)</f>
        <v>0</v>
      </c>
      <c r="G105" s="5">
        <f>SUMIFS(ham_data!AE:AE,ham_data!$J:$J,'DETAY-yaslandırma'!$B105,ham_data!$E:$E,'DETAY-yaslandırma'!$A105)</f>
        <v>0</v>
      </c>
      <c r="H105" s="5">
        <f>SUMIFS(ham_data!AF:AF,ham_data!$J:$J,'DETAY-yaslandırma'!$B105,ham_data!$E:$E,'DETAY-yaslandırma'!$A105)</f>
        <v>0</v>
      </c>
      <c r="I105" s="5">
        <f>SUMIFS(ham_data!AG:AG,ham_data!$J:$J,'DETAY-yaslandırma'!$B105,ham_data!$E:$E,'DETAY-yaslandırma'!$A105)</f>
        <v>0</v>
      </c>
      <c r="J105" s="5">
        <f>SUMIFS(ham_data!AH:AH,ham_data!$J:$J,'DETAY-yaslandırma'!$B105,ham_data!$E:$E,'DETAY-yaslandırma'!$A105)</f>
        <v>0</v>
      </c>
      <c r="K105" s="7">
        <f>SUMIFS(DETAY!D:D,DETAY!A:A,'DETAY-yaslandırma'!A105,DETAY!B:B,'DETAY-yaslandırma'!B105)</f>
        <v>0</v>
      </c>
      <c r="L105" s="7">
        <f>SUMIFS(ham_data!U:U,ham_data!$J:$J,'DETAY-yaslandırma'!$B105,ham_data!$E:$E,'DETAY-yaslandırma'!$A105)</f>
        <v>0</v>
      </c>
      <c r="M105" s="7">
        <f>SUMIFS(ham_data!V:V,ham_data!$J:$J,'DETAY-yaslandırma'!$B105,ham_data!$E:$E,'DETAY-yaslandırma'!$A105)</f>
        <v>0</v>
      </c>
      <c r="N105" s="7">
        <f>SUMIFS(ham_data!W:W,ham_data!$J:$J,'DETAY-yaslandırma'!$B105,ham_data!$E:$E,'DETAY-yaslandırma'!$A105)</f>
        <v>0</v>
      </c>
      <c r="O105" s="7">
        <f>SUMIFS(ham_data!X:X,ham_data!$J:$J,'DETAY-yaslandırma'!$B105,ham_data!$E:$E,'DETAY-yaslandırma'!$A105)</f>
        <v>0</v>
      </c>
      <c r="P105" s="7">
        <f>SUMIFS(ham_data!Y:Y,ham_data!$J:$J,'DETAY-yaslandırma'!$B105,ham_data!$E:$E,'DETAY-yaslandırma'!$A105)</f>
        <v>0</v>
      </c>
      <c r="Q105" s="7">
        <f>SUMIFS(ham_data!Z:Z,ham_data!$J:$J,'DETAY-yaslandırma'!$B105,ham_data!$E:$E,'DETAY-yaslandırma'!$A105)</f>
        <v>0</v>
      </c>
      <c r="R105" s="7">
        <f>SUMIFS(ham_data!AA:AA,ham_data!$J:$J,'DETAY-yaslandırma'!$B105,ham_data!$E:$E,'DETAY-yaslandırma'!$A105)</f>
        <v>0</v>
      </c>
      <c r="S105" s="3">
        <f>SUMIFS(DETAY!E:E,DETAY!A:A,'DETAY-yaslandırma'!A105,DETAY!B:B,'DETAY-yaslandırma'!B105)</f>
        <v>0</v>
      </c>
      <c r="T105" s="3">
        <f t="shared" si="6"/>
        <v>0</v>
      </c>
      <c r="U105" s="11">
        <f t="shared" si="7"/>
        <v>0</v>
      </c>
    </row>
    <row r="106" spans="1:21" x14ac:dyDescent="0.35">
      <c r="A106" s="10" t="s">
        <v>257</v>
      </c>
      <c r="B106" s="2" t="s">
        <v>11</v>
      </c>
      <c r="C106" s="5">
        <f>SUMIFS(DETAY!C:C,DETAY!A:A,'DETAY-yaslandırma'!A106,DETAY!B:B,'DETAY-yaslandırma'!B106)</f>
        <v>0</v>
      </c>
      <c r="D106" s="5">
        <f>SUMIFS(ham_data!AB:AB,ham_data!$J:$J,'DETAY-yaslandırma'!$B106,ham_data!$E:$E,'DETAY-yaslandırma'!$A106)</f>
        <v>0</v>
      </c>
      <c r="E106" s="5">
        <f>SUMIFS(ham_data!AC:AC,ham_data!$J:$J,'DETAY-yaslandırma'!$B106,ham_data!$E:$E,'DETAY-yaslandırma'!$A106)</f>
        <v>0</v>
      </c>
      <c r="F106" s="5">
        <f>SUMIFS(ham_data!AD:AD,ham_data!$J:$J,'DETAY-yaslandırma'!$B106,ham_data!$E:$E,'DETAY-yaslandırma'!$A106)</f>
        <v>0</v>
      </c>
      <c r="G106" s="5">
        <f>SUMIFS(ham_data!AE:AE,ham_data!$J:$J,'DETAY-yaslandırma'!$B106,ham_data!$E:$E,'DETAY-yaslandırma'!$A106)</f>
        <v>0</v>
      </c>
      <c r="H106" s="5">
        <f>SUMIFS(ham_data!AF:AF,ham_data!$J:$J,'DETAY-yaslandırma'!$B106,ham_data!$E:$E,'DETAY-yaslandırma'!$A106)</f>
        <v>0</v>
      </c>
      <c r="I106" s="5">
        <f>SUMIFS(ham_data!AG:AG,ham_data!$J:$J,'DETAY-yaslandırma'!$B106,ham_data!$E:$E,'DETAY-yaslandırma'!$A106)</f>
        <v>0</v>
      </c>
      <c r="J106" s="5">
        <f>SUMIFS(ham_data!AH:AH,ham_data!$J:$J,'DETAY-yaslandırma'!$B106,ham_data!$E:$E,'DETAY-yaslandırma'!$A106)</f>
        <v>0</v>
      </c>
      <c r="K106" s="7">
        <f>SUMIFS(DETAY!D:D,DETAY!A:A,'DETAY-yaslandırma'!A106,DETAY!B:B,'DETAY-yaslandırma'!B106)</f>
        <v>829952.84</v>
      </c>
      <c r="L106" s="7">
        <f>SUMIFS(ham_data!U:U,ham_data!$J:$J,'DETAY-yaslandırma'!$B106,ham_data!$E:$E,'DETAY-yaslandırma'!$A106)</f>
        <v>0</v>
      </c>
      <c r="M106" s="7">
        <f>SUMIFS(ham_data!V:V,ham_data!$J:$J,'DETAY-yaslandırma'!$B106,ham_data!$E:$E,'DETAY-yaslandırma'!$A106)</f>
        <v>829952.84</v>
      </c>
      <c r="N106" s="7">
        <f>SUMIFS(ham_data!W:W,ham_data!$J:$J,'DETAY-yaslandırma'!$B106,ham_data!$E:$E,'DETAY-yaslandırma'!$A106)</f>
        <v>0</v>
      </c>
      <c r="O106" s="7">
        <f>SUMIFS(ham_data!X:X,ham_data!$J:$J,'DETAY-yaslandırma'!$B106,ham_data!$E:$E,'DETAY-yaslandırma'!$A106)</f>
        <v>0</v>
      </c>
      <c r="P106" s="7">
        <f>SUMIFS(ham_data!Y:Y,ham_data!$J:$J,'DETAY-yaslandırma'!$B106,ham_data!$E:$E,'DETAY-yaslandırma'!$A106)</f>
        <v>0</v>
      </c>
      <c r="Q106" s="7">
        <f>SUMIFS(ham_data!Z:Z,ham_data!$J:$J,'DETAY-yaslandırma'!$B106,ham_data!$E:$E,'DETAY-yaslandırma'!$A106)</f>
        <v>0</v>
      </c>
      <c r="R106" s="7">
        <f>SUMIFS(ham_data!AA:AA,ham_data!$J:$J,'DETAY-yaslandırma'!$B106,ham_data!$E:$E,'DETAY-yaslandırma'!$A106)</f>
        <v>0</v>
      </c>
      <c r="S106" s="3">
        <f>SUMIFS(DETAY!E:E,DETAY!A:A,'DETAY-yaslandırma'!A106,DETAY!B:B,'DETAY-yaslandırma'!B106)</f>
        <v>829952.84</v>
      </c>
      <c r="T106" s="3">
        <f t="shared" si="6"/>
        <v>0</v>
      </c>
      <c r="U106" s="11">
        <f t="shared" si="7"/>
        <v>0</v>
      </c>
    </row>
    <row r="107" spans="1:21" x14ac:dyDescent="0.35">
      <c r="A107" s="10" t="s">
        <v>261</v>
      </c>
      <c r="B107" s="2" t="s">
        <v>11</v>
      </c>
      <c r="C107" s="5">
        <f>SUMIFS(DETAY!C:C,DETAY!A:A,'DETAY-yaslandırma'!A107,DETAY!B:B,'DETAY-yaslandırma'!B107)</f>
        <v>0</v>
      </c>
      <c r="D107" s="5">
        <f>SUMIFS(ham_data!AB:AB,ham_data!$J:$J,'DETAY-yaslandırma'!$B107,ham_data!$E:$E,'DETAY-yaslandırma'!$A107)</f>
        <v>0</v>
      </c>
      <c r="E107" s="5">
        <f>SUMIFS(ham_data!AC:AC,ham_data!$J:$J,'DETAY-yaslandırma'!$B107,ham_data!$E:$E,'DETAY-yaslandırma'!$A107)</f>
        <v>0</v>
      </c>
      <c r="F107" s="5">
        <f>SUMIFS(ham_data!AD:AD,ham_data!$J:$J,'DETAY-yaslandırma'!$B107,ham_data!$E:$E,'DETAY-yaslandırma'!$A107)</f>
        <v>0</v>
      </c>
      <c r="G107" s="5">
        <f>SUMIFS(ham_data!AE:AE,ham_data!$J:$J,'DETAY-yaslandırma'!$B107,ham_data!$E:$E,'DETAY-yaslandırma'!$A107)</f>
        <v>0</v>
      </c>
      <c r="H107" s="5">
        <f>SUMIFS(ham_data!AF:AF,ham_data!$J:$J,'DETAY-yaslandırma'!$B107,ham_data!$E:$E,'DETAY-yaslandırma'!$A107)</f>
        <v>0</v>
      </c>
      <c r="I107" s="5">
        <f>SUMIFS(ham_data!AG:AG,ham_data!$J:$J,'DETAY-yaslandırma'!$B107,ham_data!$E:$E,'DETAY-yaslandırma'!$A107)</f>
        <v>0</v>
      </c>
      <c r="J107" s="5">
        <f>SUMIFS(ham_data!AH:AH,ham_data!$J:$J,'DETAY-yaslandırma'!$B107,ham_data!$E:$E,'DETAY-yaslandırma'!$A107)</f>
        <v>0</v>
      </c>
      <c r="K107" s="7">
        <f>SUMIFS(DETAY!D:D,DETAY!A:A,'DETAY-yaslandırma'!A107,DETAY!B:B,'DETAY-yaslandırma'!B107)</f>
        <v>0</v>
      </c>
      <c r="L107" s="7">
        <f>SUMIFS(ham_data!U:U,ham_data!$J:$J,'DETAY-yaslandırma'!$B107,ham_data!$E:$E,'DETAY-yaslandırma'!$A107)</f>
        <v>0</v>
      </c>
      <c r="M107" s="7">
        <f>SUMIFS(ham_data!V:V,ham_data!$J:$J,'DETAY-yaslandırma'!$B107,ham_data!$E:$E,'DETAY-yaslandırma'!$A107)</f>
        <v>0</v>
      </c>
      <c r="N107" s="7">
        <f>SUMIFS(ham_data!W:W,ham_data!$J:$J,'DETAY-yaslandırma'!$B107,ham_data!$E:$E,'DETAY-yaslandırma'!$A107)</f>
        <v>0</v>
      </c>
      <c r="O107" s="7">
        <f>SUMIFS(ham_data!X:X,ham_data!$J:$J,'DETAY-yaslandırma'!$B107,ham_data!$E:$E,'DETAY-yaslandırma'!$A107)</f>
        <v>0</v>
      </c>
      <c r="P107" s="7">
        <f>SUMIFS(ham_data!Y:Y,ham_data!$J:$J,'DETAY-yaslandırma'!$B107,ham_data!$E:$E,'DETAY-yaslandırma'!$A107)</f>
        <v>0</v>
      </c>
      <c r="Q107" s="7">
        <f>SUMIFS(ham_data!Z:Z,ham_data!$J:$J,'DETAY-yaslandırma'!$B107,ham_data!$E:$E,'DETAY-yaslandırma'!$A107)</f>
        <v>0</v>
      </c>
      <c r="R107" s="7">
        <f>SUMIFS(ham_data!AA:AA,ham_data!$J:$J,'DETAY-yaslandırma'!$B107,ham_data!$E:$E,'DETAY-yaslandırma'!$A107)</f>
        <v>0</v>
      </c>
      <c r="S107" s="3">
        <f>SUMIFS(DETAY!E:E,DETAY!A:A,'DETAY-yaslandırma'!A107,DETAY!B:B,'DETAY-yaslandırma'!B107)</f>
        <v>0</v>
      </c>
      <c r="T107" s="3">
        <f t="shared" si="6"/>
        <v>0</v>
      </c>
      <c r="U107" s="11">
        <f t="shared" si="7"/>
        <v>0</v>
      </c>
    </row>
    <row r="108" spans="1:21" x14ac:dyDescent="0.35">
      <c r="A108" s="10" t="s">
        <v>262</v>
      </c>
      <c r="B108" s="2" t="s">
        <v>11</v>
      </c>
      <c r="C108" s="5">
        <f>SUMIFS(DETAY!C:C,DETAY!A:A,'DETAY-yaslandırma'!A108,DETAY!B:B,'DETAY-yaslandırma'!B108)</f>
        <v>0</v>
      </c>
      <c r="D108" s="5">
        <f>SUMIFS(ham_data!AB:AB,ham_data!$J:$J,'DETAY-yaslandırma'!$B108,ham_data!$E:$E,'DETAY-yaslandırma'!$A108)</f>
        <v>0</v>
      </c>
      <c r="E108" s="5">
        <f>SUMIFS(ham_data!AC:AC,ham_data!$J:$J,'DETAY-yaslandırma'!$B108,ham_data!$E:$E,'DETAY-yaslandırma'!$A108)</f>
        <v>0</v>
      </c>
      <c r="F108" s="5">
        <f>SUMIFS(ham_data!AD:AD,ham_data!$J:$J,'DETAY-yaslandırma'!$B108,ham_data!$E:$E,'DETAY-yaslandırma'!$A108)</f>
        <v>0</v>
      </c>
      <c r="G108" s="5">
        <f>SUMIFS(ham_data!AE:AE,ham_data!$J:$J,'DETAY-yaslandırma'!$B108,ham_data!$E:$E,'DETAY-yaslandırma'!$A108)</f>
        <v>0</v>
      </c>
      <c r="H108" s="5">
        <f>SUMIFS(ham_data!AF:AF,ham_data!$J:$J,'DETAY-yaslandırma'!$B108,ham_data!$E:$E,'DETAY-yaslandırma'!$A108)</f>
        <v>0</v>
      </c>
      <c r="I108" s="5">
        <f>SUMIFS(ham_data!AG:AG,ham_data!$J:$J,'DETAY-yaslandırma'!$B108,ham_data!$E:$E,'DETAY-yaslandırma'!$A108)</f>
        <v>0</v>
      </c>
      <c r="J108" s="5">
        <f>SUMIFS(ham_data!AH:AH,ham_data!$J:$J,'DETAY-yaslandırma'!$B108,ham_data!$E:$E,'DETAY-yaslandırma'!$A108)</f>
        <v>0</v>
      </c>
      <c r="K108" s="7">
        <f>SUMIFS(DETAY!D:D,DETAY!A:A,'DETAY-yaslandırma'!A108,DETAY!B:B,'DETAY-yaslandırma'!B108)</f>
        <v>0</v>
      </c>
      <c r="L108" s="7">
        <f>SUMIFS(ham_data!U:U,ham_data!$J:$J,'DETAY-yaslandırma'!$B108,ham_data!$E:$E,'DETAY-yaslandırma'!$A108)</f>
        <v>0</v>
      </c>
      <c r="M108" s="7">
        <f>SUMIFS(ham_data!V:V,ham_data!$J:$J,'DETAY-yaslandırma'!$B108,ham_data!$E:$E,'DETAY-yaslandırma'!$A108)</f>
        <v>0</v>
      </c>
      <c r="N108" s="7">
        <f>SUMIFS(ham_data!W:W,ham_data!$J:$J,'DETAY-yaslandırma'!$B108,ham_data!$E:$E,'DETAY-yaslandırma'!$A108)</f>
        <v>0</v>
      </c>
      <c r="O108" s="7">
        <f>SUMIFS(ham_data!X:X,ham_data!$J:$J,'DETAY-yaslandırma'!$B108,ham_data!$E:$E,'DETAY-yaslandırma'!$A108)</f>
        <v>0</v>
      </c>
      <c r="P108" s="7">
        <f>SUMIFS(ham_data!Y:Y,ham_data!$J:$J,'DETAY-yaslandırma'!$B108,ham_data!$E:$E,'DETAY-yaslandırma'!$A108)</f>
        <v>0</v>
      </c>
      <c r="Q108" s="7">
        <f>SUMIFS(ham_data!Z:Z,ham_data!$J:$J,'DETAY-yaslandırma'!$B108,ham_data!$E:$E,'DETAY-yaslandırma'!$A108)</f>
        <v>0</v>
      </c>
      <c r="R108" s="7">
        <f>SUMIFS(ham_data!AA:AA,ham_data!$J:$J,'DETAY-yaslandırma'!$B108,ham_data!$E:$E,'DETAY-yaslandırma'!$A108)</f>
        <v>0</v>
      </c>
      <c r="S108" s="3">
        <f>SUMIFS(DETAY!E:E,DETAY!A:A,'DETAY-yaslandırma'!A108,DETAY!B:B,'DETAY-yaslandırma'!B108)</f>
        <v>0</v>
      </c>
      <c r="T108" s="3">
        <f t="shared" si="6"/>
        <v>0</v>
      </c>
      <c r="U108" s="11">
        <f t="shared" si="7"/>
        <v>0</v>
      </c>
    </row>
    <row r="109" spans="1:21" x14ac:dyDescent="0.35">
      <c r="A109" s="10" t="s">
        <v>253</v>
      </c>
      <c r="B109" s="2" t="s">
        <v>11</v>
      </c>
      <c r="C109" s="5">
        <f>SUMIFS(DETAY!C:C,DETAY!A:A,'DETAY-yaslandırma'!A109,DETAY!B:B,'DETAY-yaslandırma'!B109)</f>
        <v>0</v>
      </c>
      <c r="D109" s="5">
        <f>SUMIFS(ham_data!AB:AB,ham_data!$J:$J,'DETAY-yaslandırma'!$B109,ham_data!$E:$E,'DETAY-yaslandırma'!$A109)</f>
        <v>0</v>
      </c>
      <c r="E109" s="5">
        <f>SUMIFS(ham_data!AC:AC,ham_data!$J:$J,'DETAY-yaslandırma'!$B109,ham_data!$E:$E,'DETAY-yaslandırma'!$A109)</f>
        <v>0</v>
      </c>
      <c r="F109" s="5">
        <f>SUMIFS(ham_data!AD:AD,ham_data!$J:$J,'DETAY-yaslandırma'!$B109,ham_data!$E:$E,'DETAY-yaslandırma'!$A109)</f>
        <v>0</v>
      </c>
      <c r="G109" s="5">
        <f>SUMIFS(ham_data!AE:AE,ham_data!$J:$J,'DETAY-yaslandırma'!$B109,ham_data!$E:$E,'DETAY-yaslandırma'!$A109)</f>
        <v>0</v>
      </c>
      <c r="H109" s="5">
        <f>SUMIFS(ham_data!AF:AF,ham_data!$J:$J,'DETAY-yaslandırma'!$B109,ham_data!$E:$E,'DETAY-yaslandırma'!$A109)</f>
        <v>0</v>
      </c>
      <c r="I109" s="5">
        <f>SUMIFS(ham_data!AG:AG,ham_data!$J:$J,'DETAY-yaslandırma'!$B109,ham_data!$E:$E,'DETAY-yaslandırma'!$A109)</f>
        <v>0</v>
      </c>
      <c r="J109" s="5">
        <f>SUMIFS(ham_data!AH:AH,ham_data!$J:$J,'DETAY-yaslandırma'!$B109,ham_data!$E:$E,'DETAY-yaslandırma'!$A109)</f>
        <v>0</v>
      </c>
      <c r="K109" s="7">
        <f>SUMIFS(DETAY!D:D,DETAY!A:A,'DETAY-yaslandırma'!A109,DETAY!B:B,'DETAY-yaslandırma'!B109)</f>
        <v>0</v>
      </c>
      <c r="L109" s="7">
        <f>SUMIFS(ham_data!U:U,ham_data!$J:$J,'DETAY-yaslandırma'!$B109,ham_data!$E:$E,'DETAY-yaslandırma'!$A109)</f>
        <v>0</v>
      </c>
      <c r="M109" s="7">
        <f>SUMIFS(ham_data!V:V,ham_data!$J:$J,'DETAY-yaslandırma'!$B109,ham_data!$E:$E,'DETAY-yaslandırma'!$A109)</f>
        <v>0</v>
      </c>
      <c r="N109" s="7">
        <f>SUMIFS(ham_data!W:W,ham_data!$J:$J,'DETAY-yaslandırma'!$B109,ham_data!$E:$E,'DETAY-yaslandırma'!$A109)</f>
        <v>0</v>
      </c>
      <c r="O109" s="7">
        <f>SUMIFS(ham_data!X:X,ham_data!$J:$J,'DETAY-yaslandırma'!$B109,ham_data!$E:$E,'DETAY-yaslandırma'!$A109)</f>
        <v>0</v>
      </c>
      <c r="P109" s="7">
        <f>SUMIFS(ham_data!Y:Y,ham_data!$J:$J,'DETAY-yaslandırma'!$B109,ham_data!$E:$E,'DETAY-yaslandırma'!$A109)</f>
        <v>0</v>
      </c>
      <c r="Q109" s="7">
        <f>SUMIFS(ham_data!Z:Z,ham_data!$J:$J,'DETAY-yaslandırma'!$B109,ham_data!$E:$E,'DETAY-yaslandırma'!$A109)</f>
        <v>0</v>
      </c>
      <c r="R109" s="7">
        <f>SUMIFS(ham_data!AA:AA,ham_data!$J:$J,'DETAY-yaslandırma'!$B109,ham_data!$E:$E,'DETAY-yaslandırma'!$A109)</f>
        <v>0</v>
      </c>
      <c r="S109" s="3">
        <f>SUMIFS(DETAY!E:E,DETAY!A:A,'DETAY-yaslandırma'!A109,DETAY!B:B,'DETAY-yaslandırma'!B109)</f>
        <v>0</v>
      </c>
      <c r="T109" s="3">
        <f t="shared" si="6"/>
        <v>0</v>
      </c>
      <c r="U109" s="11">
        <f t="shared" si="7"/>
        <v>0</v>
      </c>
    </row>
    <row r="110" spans="1:21" x14ac:dyDescent="0.35">
      <c r="A110" s="10" t="s">
        <v>256</v>
      </c>
      <c r="B110" s="2" t="s">
        <v>11</v>
      </c>
      <c r="C110" s="5">
        <f>SUMIFS(DETAY!C:C,DETAY!A:A,'DETAY-yaslandırma'!A110,DETAY!B:B,'DETAY-yaslandırma'!B110)</f>
        <v>0</v>
      </c>
      <c r="D110" s="5">
        <f>SUMIFS(ham_data!AB:AB,ham_data!$J:$J,'DETAY-yaslandırma'!$B110,ham_data!$E:$E,'DETAY-yaslandırma'!$A110)</f>
        <v>0</v>
      </c>
      <c r="E110" s="5">
        <f>SUMIFS(ham_data!AC:AC,ham_data!$J:$J,'DETAY-yaslandırma'!$B110,ham_data!$E:$E,'DETAY-yaslandırma'!$A110)</f>
        <v>0</v>
      </c>
      <c r="F110" s="5">
        <f>SUMIFS(ham_data!AD:AD,ham_data!$J:$J,'DETAY-yaslandırma'!$B110,ham_data!$E:$E,'DETAY-yaslandırma'!$A110)</f>
        <v>0</v>
      </c>
      <c r="G110" s="5">
        <f>SUMIFS(ham_data!AE:AE,ham_data!$J:$J,'DETAY-yaslandırma'!$B110,ham_data!$E:$E,'DETAY-yaslandırma'!$A110)</f>
        <v>0</v>
      </c>
      <c r="H110" s="5">
        <f>SUMIFS(ham_data!AF:AF,ham_data!$J:$J,'DETAY-yaslandırma'!$B110,ham_data!$E:$E,'DETAY-yaslandırma'!$A110)</f>
        <v>0</v>
      </c>
      <c r="I110" s="5">
        <f>SUMIFS(ham_data!AG:AG,ham_data!$J:$J,'DETAY-yaslandırma'!$B110,ham_data!$E:$E,'DETAY-yaslandırma'!$A110)</f>
        <v>0</v>
      </c>
      <c r="J110" s="5">
        <f>SUMIFS(ham_data!AH:AH,ham_data!$J:$J,'DETAY-yaslandırma'!$B110,ham_data!$E:$E,'DETAY-yaslandırma'!$A110)</f>
        <v>0</v>
      </c>
      <c r="K110" s="7">
        <f>SUMIFS(DETAY!D:D,DETAY!A:A,'DETAY-yaslandırma'!A110,DETAY!B:B,'DETAY-yaslandırma'!B110)</f>
        <v>0</v>
      </c>
      <c r="L110" s="7">
        <f>SUMIFS(ham_data!U:U,ham_data!$J:$J,'DETAY-yaslandırma'!$B110,ham_data!$E:$E,'DETAY-yaslandırma'!$A110)</f>
        <v>0</v>
      </c>
      <c r="M110" s="7">
        <f>SUMIFS(ham_data!V:V,ham_data!$J:$J,'DETAY-yaslandırma'!$B110,ham_data!$E:$E,'DETAY-yaslandırma'!$A110)</f>
        <v>0</v>
      </c>
      <c r="N110" s="7">
        <f>SUMIFS(ham_data!W:W,ham_data!$J:$J,'DETAY-yaslandırma'!$B110,ham_data!$E:$E,'DETAY-yaslandırma'!$A110)</f>
        <v>0</v>
      </c>
      <c r="O110" s="7">
        <f>SUMIFS(ham_data!X:X,ham_data!$J:$J,'DETAY-yaslandırma'!$B110,ham_data!$E:$E,'DETAY-yaslandırma'!$A110)</f>
        <v>0</v>
      </c>
      <c r="P110" s="7">
        <f>SUMIFS(ham_data!Y:Y,ham_data!$J:$J,'DETAY-yaslandırma'!$B110,ham_data!$E:$E,'DETAY-yaslandırma'!$A110)</f>
        <v>0</v>
      </c>
      <c r="Q110" s="7">
        <f>SUMIFS(ham_data!Z:Z,ham_data!$J:$J,'DETAY-yaslandırma'!$B110,ham_data!$E:$E,'DETAY-yaslandırma'!$A110)</f>
        <v>0</v>
      </c>
      <c r="R110" s="7">
        <f>SUMIFS(ham_data!AA:AA,ham_data!$J:$J,'DETAY-yaslandırma'!$B110,ham_data!$E:$E,'DETAY-yaslandırma'!$A110)</f>
        <v>0</v>
      </c>
      <c r="S110" s="3">
        <f>SUMIFS(DETAY!E:E,DETAY!A:A,'DETAY-yaslandırma'!A110,DETAY!B:B,'DETAY-yaslandırma'!B110)</f>
        <v>0</v>
      </c>
      <c r="T110" s="3">
        <f t="shared" si="6"/>
        <v>0</v>
      </c>
      <c r="U110" s="11">
        <f t="shared" si="7"/>
        <v>0</v>
      </c>
    </row>
    <row r="111" spans="1:21" x14ac:dyDescent="0.35">
      <c r="A111" s="10" t="s">
        <v>254</v>
      </c>
      <c r="B111" s="2" t="s">
        <v>11</v>
      </c>
      <c r="C111" s="5">
        <f>SUMIFS(DETAY!C:C,DETAY!A:A,'DETAY-yaslandırma'!A111,DETAY!B:B,'DETAY-yaslandırma'!B111)</f>
        <v>0</v>
      </c>
      <c r="D111" s="5">
        <f>SUMIFS(ham_data!AB:AB,ham_data!$J:$J,'DETAY-yaslandırma'!$B111,ham_data!$E:$E,'DETAY-yaslandırma'!$A111)</f>
        <v>0</v>
      </c>
      <c r="E111" s="5">
        <f>SUMIFS(ham_data!AC:AC,ham_data!$J:$J,'DETAY-yaslandırma'!$B111,ham_data!$E:$E,'DETAY-yaslandırma'!$A111)</f>
        <v>0</v>
      </c>
      <c r="F111" s="5">
        <f>SUMIFS(ham_data!AD:AD,ham_data!$J:$J,'DETAY-yaslandırma'!$B111,ham_data!$E:$E,'DETAY-yaslandırma'!$A111)</f>
        <v>0</v>
      </c>
      <c r="G111" s="5">
        <f>SUMIFS(ham_data!AE:AE,ham_data!$J:$J,'DETAY-yaslandırma'!$B111,ham_data!$E:$E,'DETAY-yaslandırma'!$A111)</f>
        <v>0</v>
      </c>
      <c r="H111" s="5">
        <f>SUMIFS(ham_data!AF:AF,ham_data!$J:$J,'DETAY-yaslandırma'!$B111,ham_data!$E:$E,'DETAY-yaslandırma'!$A111)</f>
        <v>0</v>
      </c>
      <c r="I111" s="5">
        <f>SUMIFS(ham_data!AG:AG,ham_data!$J:$J,'DETAY-yaslandırma'!$B111,ham_data!$E:$E,'DETAY-yaslandırma'!$A111)</f>
        <v>0</v>
      </c>
      <c r="J111" s="5">
        <f>SUMIFS(ham_data!AH:AH,ham_data!$J:$J,'DETAY-yaslandırma'!$B111,ham_data!$E:$E,'DETAY-yaslandırma'!$A111)</f>
        <v>0</v>
      </c>
      <c r="K111" s="7">
        <f>SUMIFS(DETAY!D:D,DETAY!A:A,'DETAY-yaslandırma'!A111,DETAY!B:B,'DETAY-yaslandırma'!B111)</f>
        <v>0</v>
      </c>
      <c r="L111" s="7">
        <f>SUMIFS(ham_data!U:U,ham_data!$J:$J,'DETAY-yaslandırma'!$B111,ham_data!$E:$E,'DETAY-yaslandırma'!$A111)</f>
        <v>0</v>
      </c>
      <c r="M111" s="7">
        <f>SUMIFS(ham_data!V:V,ham_data!$J:$J,'DETAY-yaslandırma'!$B111,ham_data!$E:$E,'DETAY-yaslandırma'!$A111)</f>
        <v>0</v>
      </c>
      <c r="N111" s="7">
        <f>SUMIFS(ham_data!W:W,ham_data!$J:$J,'DETAY-yaslandırma'!$B111,ham_data!$E:$E,'DETAY-yaslandırma'!$A111)</f>
        <v>0</v>
      </c>
      <c r="O111" s="7">
        <f>SUMIFS(ham_data!X:X,ham_data!$J:$J,'DETAY-yaslandırma'!$B111,ham_data!$E:$E,'DETAY-yaslandırma'!$A111)</f>
        <v>0</v>
      </c>
      <c r="P111" s="7">
        <f>SUMIFS(ham_data!Y:Y,ham_data!$J:$J,'DETAY-yaslandırma'!$B111,ham_data!$E:$E,'DETAY-yaslandırma'!$A111)</f>
        <v>0</v>
      </c>
      <c r="Q111" s="7">
        <f>SUMIFS(ham_data!Z:Z,ham_data!$J:$J,'DETAY-yaslandırma'!$B111,ham_data!$E:$E,'DETAY-yaslandırma'!$A111)</f>
        <v>0</v>
      </c>
      <c r="R111" s="7">
        <f>SUMIFS(ham_data!AA:AA,ham_data!$J:$J,'DETAY-yaslandırma'!$B111,ham_data!$E:$E,'DETAY-yaslandırma'!$A111)</f>
        <v>0</v>
      </c>
      <c r="S111" s="3">
        <f>SUMIFS(DETAY!E:E,DETAY!A:A,'DETAY-yaslandırma'!A111,DETAY!B:B,'DETAY-yaslandırma'!B111)</f>
        <v>0</v>
      </c>
      <c r="T111" s="3">
        <f t="shared" si="6"/>
        <v>0</v>
      </c>
      <c r="U111" s="11">
        <f t="shared" si="7"/>
        <v>0</v>
      </c>
    </row>
    <row r="112" spans="1:21" x14ac:dyDescent="0.35">
      <c r="A112" s="10" t="s">
        <v>248</v>
      </c>
      <c r="B112" s="2" t="s">
        <v>11</v>
      </c>
      <c r="C112" s="5">
        <f>SUMIFS(DETAY!C:C,DETAY!A:A,'DETAY-yaslandırma'!A112,DETAY!B:B,'DETAY-yaslandırma'!B112)</f>
        <v>0</v>
      </c>
      <c r="D112" s="5">
        <f>SUMIFS(ham_data!AB:AB,ham_data!$J:$J,'DETAY-yaslandırma'!$B112,ham_data!$E:$E,'DETAY-yaslandırma'!$A112)</f>
        <v>0</v>
      </c>
      <c r="E112" s="5">
        <f>SUMIFS(ham_data!AC:AC,ham_data!$J:$J,'DETAY-yaslandırma'!$B112,ham_data!$E:$E,'DETAY-yaslandırma'!$A112)</f>
        <v>0</v>
      </c>
      <c r="F112" s="5">
        <f>SUMIFS(ham_data!AD:AD,ham_data!$J:$J,'DETAY-yaslandırma'!$B112,ham_data!$E:$E,'DETAY-yaslandırma'!$A112)</f>
        <v>0</v>
      </c>
      <c r="G112" s="5">
        <f>SUMIFS(ham_data!AE:AE,ham_data!$J:$J,'DETAY-yaslandırma'!$B112,ham_data!$E:$E,'DETAY-yaslandırma'!$A112)</f>
        <v>0</v>
      </c>
      <c r="H112" s="5">
        <f>SUMIFS(ham_data!AF:AF,ham_data!$J:$J,'DETAY-yaslandırma'!$B112,ham_data!$E:$E,'DETAY-yaslandırma'!$A112)</f>
        <v>0</v>
      </c>
      <c r="I112" s="5">
        <f>SUMIFS(ham_data!AG:AG,ham_data!$J:$J,'DETAY-yaslandırma'!$B112,ham_data!$E:$E,'DETAY-yaslandırma'!$A112)</f>
        <v>0</v>
      </c>
      <c r="J112" s="5">
        <f>SUMIFS(ham_data!AH:AH,ham_data!$J:$J,'DETAY-yaslandırma'!$B112,ham_data!$E:$E,'DETAY-yaslandırma'!$A112)</f>
        <v>0</v>
      </c>
      <c r="K112" s="7">
        <f>SUMIFS(DETAY!D:D,DETAY!A:A,'DETAY-yaslandırma'!A112,DETAY!B:B,'DETAY-yaslandırma'!B112)</f>
        <v>0</v>
      </c>
      <c r="L112" s="7">
        <f>SUMIFS(ham_data!U:U,ham_data!$J:$J,'DETAY-yaslandırma'!$B112,ham_data!$E:$E,'DETAY-yaslandırma'!$A112)</f>
        <v>0</v>
      </c>
      <c r="M112" s="7">
        <f>SUMIFS(ham_data!V:V,ham_data!$J:$J,'DETAY-yaslandırma'!$B112,ham_data!$E:$E,'DETAY-yaslandırma'!$A112)</f>
        <v>0</v>
      </c>
      <c r="N112" s="7">
        <f>SUMIFS(ham_data!W:W,ham_data!$J:$J,'DETAY-yaslandırma'!$B112,ham_data!$E:$E,'DETAY-yaslandırma'!$A112)</f>
        <v>0</v>
      </c>
      <c r="O112" s="7">
        <f>SUMIFS(ham_data!X:X,ham_data!$J:$J,'DETAY-yaslandırma'!$B112,ham_data!$E:$E,'DETAY-yaslandırma'!$A112)</f>
        <v>0</v>
      </c>
      <c r="P112" s="7">
        <f>SUMIFS(ham_data!Y:Y,ham_data!$J:$J,'DETAY-yaslandırma'!$B112,ham_data!$E:$E,'DETAY-yaslandırma'!$A112)</f>
        <v>0</v>
      </c>
      <c r="Q112" s="7">
        <f>SUMIFS(ham_data!Z:Z,ham_data!$J:$J,'DETAY-yaslandırma'!$B112,ham_data!$E:$E,'DETAY-yaslandırma'!$A112)</f>
        <v>0</v>
      </c>
      <c r="R112" s="7">
        <f>SUMIFS(ham_data!AA:AA,ham_data!$J:$J,'DETAY-yaslandırma'!$B112,ham_data!$E:$E,'DETAY-yaslandırma'!$A112)</f>
        <v>0</v>
      </c>
      <c r="S112" s="3">
        <f>SUMIFS(DETAY!E:E,DETAY!A:A,'DETAY-yaslandırma'!A112,DETAY!B:B,'DETAY-yaslandırma'!B112)</f>
        <v>0</v>
      </c>
      <c r="T112" s="3">
        <f t="shared" si="6"/>
        <v>0</v>
      </c>
      <c r="U112" s="11">
        <f t="shared" si="7"/>
        <v>0</v>
      </c>
    </row>
    <row r="113" spans="1:21" x14ac:dyDescent="0.35">
      <c r="A113" s="10" t="s">
        <v>260</v>
      </c>
      <c r="B113" s="2" t="s">
        <v>11</v>
      </c>
      <c r="C113" s="5">
        <f>SUMIFS(DETAY!C:C,DETAY!A:A,'DETAY-yaslandırma'!A113,DETAY!B:B,'DETAY-yaslandırma'!B113)</f>
        <v>0</v>
      </c>
      <c r="D113" s="5">
        <f>SUMIFS(ham_data!AB:AB,ham_data!$J:$J,'DETAY-yaslandırma'!$B113,ham_data!$E:$E,'DETAY-yaslandırma'!$A113)</f>
        <v>0</v>
      </c>
      <c r="E113" s="5">
        <f>SUMIFS(ham_data!AC:AC,ham_data!$J:$J,'DETAY-yaslandırma'!$B113,ham_data!$E:$E,'DETAY-yaslandırma'!$A113)</f>
        <v>0</v>
      </c>
      <c r="F113" s="5">
        <f>SUMIFS(ham_data!AD:AD,ham_data!$J:$J,'DETAY-yaslandırma'!$B113,ham_data!$E:$E,'DETAY-yaslandırma'!$A113)</f>
        <v>0</v>
      </c>
      <c r="G113" s="5">
        <f>SUMIFS(ham_data!AE:AE,ham_data!$J:$J,'DETAY-yaslandırma'!$B113,ham_data!$E:$E,'DETAY-yaslandırma'!$A113)</f>
        <v>0</v>
      </c>
      <c r="H113" s="5">
        <f>SUMIFS(ham_data!AF:AF,ham_data!$J:$J,'DETAY-yaslandırma'!$B113,ham_data!$E:$E,'DETAY-yaslandırma'!$A113)</f>
        <v>0</v>
      </c>
      <c r="I113" s="5">
        <f>SUMIFS(ham_data!AG:AG,ham_data!$J:$J,'DETAY-yaslandırma'!$B113,ham_data!$E:$E,'DETAY-yaslandırma'!$A113)</f>
        <v>0</v>
      </c>
      <c r="J113" s="5">
        <f>SUMIFS(ham_data!AH:AH,ham_data!$J:$J,'DETAY-yaslandırma'!$B113,ham_data!$E:$E,'DETAY-yaslandırma'!$A113)</f>
        <v>0</v>
      </c>
      <c r="K113" s="7">
        <f>SUMIFS(DETAY!D:D,DETAY!A:A,'DETAY-yaslandırma'!A113,DETAY!B:B,'DETAY-yaslandırma'!B113)</f>
        <v>0</v>
      </c>
      <c r="L113" s="7">
        <f>SUMIFS(ham_data!U:U,ham_data!$J:$J,'DETAY-yaslandırma'!$B113,ham_data!$E:$E,'DETAY-yaslandırma'!$A113)</f>
        <v>0</v>
      </c>
      <c r="M113" s="7">
        <f>SUMIFS(ham_data!V:V,ham_data!$J:$J,'DETAY-yaslandırma'!$B113,ham_data!$E:$E,'DETAY-yaslandırma'!$A113)</f>
        <v>0</v>
      </c>
      <c r="N113" s="7">
        <f>SUMIFS(ham_data!W:W,ham_data!$J:$J,'DETAY-yaslandırma'!$B113,ham_data!$E:$E,'DETAY-yaslandırma'!$A113)</f>
        <v>0</v>
      </c>
      <c r="O113" s="7">
        <f>SUMIFS(ham_data!X:X,ham_data!$J:$J,'DETAY-yaslandırma'!$B113,ham_data!$E:$E,'DETAY-yaslandırma'!$A113)</f>
        <v>0</v>
      </c>
      <c r="P113" s="7">
        <f>SUMIFS(ham_data!Y:Y,ham_data!$J:$J,'DETAY-yaslandırma'!$B113,ham_data!$E:$E,'DETAY-yaslandırma'!$A113)</f>
        <v>0</v>
      </c>
      <c r="Q113" s="7">
        <f>SUMIFS(ham_data!Z:Z,ham_data!$J:$J,'DETAY-yaslandırma'!$B113,ham_data!$E:$E,'DETAY-yaslandırma'!$A113)</f>
        <v>0</v>
      </c>
      <c r="R113" s="7">
        <f>SUMIFS(ham_data!AA:AA,ham_data!$J:$J,'DETAY-yaslandırma'!$B113,ham_data!$E:$E,'DETAY-yaslandırma'!$A113)</f>
        <v>0</v>
      </c>
      <c r="S113" s="3">
        <f>SUMIFS(DETAY!E:E,DETAY!A:A,'DETAY-yaslandırma'!A113,DETAY!B:B,'DETAY-yaslandırma'!B113)</f>
        <v>0</v>
      </c>
      <c r="T113" s="3">
        <f t="shared" si="6"/>
        <v>0</v>
      </c>
      <c r="U113" s="11">
        <f t="shared" si="7"/>
        <v>0</v>
      </c>
    </row>
    <row r="114" spans="1:21" x14ac:dyDescent="0.35">
      <c r="A114" s="10" t="s">
        <v>249</v>
      </c>
      <c r="B114" s="2" t="s">
        <v>11</v>
      </c>
      <c r="C114" s="5">
        <f>SUMIFS(DETAY!C:C,DETAY!A:A,'DETAY-yaslandırma'!A114,DETAY!B:B,'DETAY-yaslandırma'!B114)</f>
        <v>0</v>
      </c>
      <c r="D114" s="5">
        <f>SUMIFS(ham_data!AB:AB,ham_data!$J:$J,'DETAY-yaslandırma'!$B114,ham_data!$E:$E,'DETAY-yaslandırma'!$A114)</f>
        <v>0</v>
      </c>
      <c r="E114" s="5">
        <f>SUMIFS(ham_data!AC:AC,ham_data!$J:$J,'DETAY-yaslandırma'!$B114,ham_data!$E:$E,'DETAY-yaslandırma'!$A114)</f>
        <v>0</v>
      </c>
      <c r="F114" s="5">
        <f>SUMIFS(ham_data!AD:AD,ham_data!$J:$J,'DETAY-yaslandırma'!$B114,ham_data!$E:$E,'DETAY-yaslandırma'!$A114)</f>
        <v>0</v>
      </c>
      <c r="G114" s="5">
        <f>SUMIFS(ham_data!AE:AE,ham_data!$J:$J,'DETAY-yaslandırma'!$B114,ham_data!$E:$E,'DETAY-yaslandırma'!$A114)</f>
        <v>0</v>
      </c>
      <c r="H114" s="5">
        <f>SUMIFS(ham_data!AF:AF,ham_data!$J:$J,'DETAY-yaslandırma'!$B114,ham_data!$E:$E,'DETAY-yaslandırma'!$A114)</f>
        <v>0</v>
      </c>
      <c r="I114" s="5">
        <f>SUMIFS(ham_data!AG:AG,ham_data!$J:$J,'DETAY-yaslandırma'!$B114,ham_data!$E:$E,'DETAY-yaslandırma'!$A114)</f>
        <v>0</v>
      </c>
      <c r="J114" s="5">
        <f>SUMIFS(ham_data!AH:AH,ham_data!$J:$J,'DETAY-yaslandırma'!$B114,ham_data!$E:$E,'DETAY-yaslandırma'!$A114)</f>
        <v>0</v>
      </c>
      <c r="K114" s="7">
        <f>SUMIFS(DETAY!D:D,DETAY!A:A,'DETAY-yaslandırma'!A114,DETAY!B:B,'DETAY-yaslandırma'!B114)</f>
        <v>0</v>
      </c>
      <c r="L114" s="7">
        <f>SUMIFS(ham_data!U:U,ham_data!$J:$J,'DETAY-yaslandırma'!$B114,ham_data!$E:$E,'DETAY-yaslandırma'!$A114)</f>
        <v>0</v>
      </c>
      <c r="M114" s="7">
        <f>SUMIFS(ham_data!V:V,ham_data!$J:$J,'DETAY-yaslandırma'!$B114,ham_data!$E:$E,'DETAY-yaslandırma'!$A114)</f>
        <v>0</v>
      </c>
      <c r="N114" s="7">
        <f>SUMIFS(ham_data!W:W,ham_data!$J:$J,'DETAY-yaslandırma'!$B114,ham_data!$E:$E,'DETAY-yaslandırma'!$A114)</f>
        <v>0</v>
      </c>
      <c r="O114" s="7">
        <f>SUMIFS(ham_data!X:X,ham_data!$J:$J,'DETAY-yaslandırma'!$B114,ham_data!$E:$E,'DETAY-yaslandırma'!$A114)</f>
        <v>0</v>
      </c>
      <c r="P114" s="7">
        <f>SUMIFS(ham_data!Y:Y,ham_data!$J:$J,'DETAY-yaslandırma'!$B114,ham_data!$E:$E,'DETAY-yaslandırma'!$A114)</f>
        <v>0</v>
      </c>
      <c r="Q114" s="7">
        <f>SUMIFS(ham_data!Z:Z,ham_data!$J:$J,'DETAY-yaslandırma'!$B114,ham_data!$E:$E,'DETAY-yaslandırma'!$A114)</f>
        <v>0</v>
      </c>
      <c r="R114" s="7">
        <f>SUMIFS(ham_data!AA:AA,ham_data!$J:$J,'DETAY-yaslandırma'!$B114,ham_data!$E:$E,'DETAY-yaslandırma'!$A114)</f>
        <v>0</v>
      </c>
      <c r="S114" s="3">
        <f>SUMIFS(DETAY!E:E,DETAY!A:A,'DETAY-yaslandırma'!A114,DETAY!B:B,'DETAY-yaslandırma'!B114)</f>
        <v>0</v>
      </c>
      <c r="T114" s="3">
        <f t="shared" si="6"/>
        <v>0</v>
      </c>
      <c r="U114" s="11">
        <f t="shared" si="7"/>
        <v>0</v>
      </c>
    </row>
    <row r="115" spans="1:21" x14ac:dyDescent="0.35">
      <c r="A115" s="10" t="s">
        <v>252</v>
      </c>
      <c r="B115" s="2" t="s">
        <v>11</v>
      </c>
      <c r="C115" s="5">
        <f>SUMIFS(DETAY!C:C,DETAY!A:A,'DETAY-yaslandırma'!A115,DETAY!B:B,'DETAY-yaslandırma'!B115)</f>
        <v>272481.71000000002</v>
      </c>
      <c r="D115" s="5">
        <f>SUMIFS(ham_data!AB:AB,ham_data!$J:$J,'DETAY-yaslandırma'!$B115,ham_data!$E:$E,'DETAY-yaslandırma'!$A115)</f>
        <v>272481.71000000002</v>
      </c>
      <c r="E115" s="5">
        <f>SUMIFS(ham_data!AC:AC,ham_data!$J:$J,'DETAY-yaslandırma'!$B115,ham_data!$E:$E,'DETAY-yaslandırma'!$A115)</f>
        <v>0</v>
      </c>
      <c r="F115" s="5">
        <f>SUMIFS(ham_data!AD:AD,ham_data!$J:$J,'DETAY-yaslandırma'!$B115,ham_data!$E:$E,'DETAY-yaslandırma'!$A115)</f>
        <v>0</v>
      </c>
      <c r="G115" s="5">
        <f>SUMIFS(ham_data!AE:AE,ham_data!$J:$J,'DETAY-yaslandırma'!$B115,ham_data!$E:$E,'DETAY-yaslandırma'!$A115)</f>
        <v>0</v>
      </c>
      <c r="H115" s="5">
        <f>SUMIFS(ham_data!AF:AF,ham_data!$J:$J,'DETAY-yaslandırma'!$B115,ham_data!$E:$E,'DETAY-yaslandırma'!$A115)</f>
        <v>0</v>
      </c>
      <c r="I115" s="5">
        <f>SUMIFS(ham_data!AG:AG,ham_data!$J:$J,'DETAY-yaslandırma'!$B115,ham_data!$E:$E,'DETAY-yaslandırma'!$A115)</f>
        <v>0</v>
      </c>
      <c r="J115" s="5">
        <f>SUMIFS(ham_data!AH:AH,ham_data!$J:$J,'DETAY-yaslandırma'!$B115,ham_data!$E:$E,'DETAY-yaslandırma'!$A115)</f>
        <v>0</v>
      </c>
      <c r="K115" s="7">
        <f>SUMIFS(DETAY!D:D,DETAY!A:A,'DETAY-yaslandırma'!A115,DETAY!B:B,'DETAY-yaslandırma'!B115)</f>
        <v>0</v>
      </c>
      <c r="L115" s="7">
        <f>SUMIFS(ham_data!U:U,ham_data!$J:$J,'DETAY-yaslandırma'!$B115,ham_data!$E:$E,'DETAY-yaslandırma'!$A115)</f>
        <v>0</v>
      </c>
      <c r="M115" s="7">
        <f>SUMIFS(ham_data!V:V,ham_data!$J:$J,'DETAY-yaslandırma'!$B115,ham_data!$E:$E,'DETAY-yaslandırma'!$A115)</f>
        <v>0</v>
      </c>
      <c r="N115" s="7">
        <f>SUMIFS(ham_data!W:W,ham_data!$J:$J,'DETAY-yaslandırma'!$B115,ham_data!$E:$E,'DETAY-yaslandırma'!$A115)</f>
        <v>0</v>
      </c>
      <c r="O115" s="7">
        <f>SUMIFS(ham_data!X:X,ham_data!$J:$J,'DETAY-yaslandırma'!$B115,ham_data!$E:$E,'DETAY-yaslandırma'!$A115)</f>
        <v>0</v>
      </c>
      <c r="P115" s="7">
        <f>SUMIFS(ham_data!Y:Y,ham_data!$J:$J,'DETAY-yaslandırma'!$B115,ham_data!$E:$E,'DETAY-yaslandırma'!$A115)</f>
        <v>0</v>
      </c>
      <c r="Q115" s="7">
        <f>SUMIFS(ham_data!Z:Z,ham_data!$J:$J,'DETAY-yaslandırma'!$B115,ham_data!$E:$E,'DETAY-yaslandırma'!$A115)</f>
        <v>0</v>
      </c>
      <c r="R115" s="7">
        <f>SUMIFS(ham_data!AA:AA,ham_data!$J:$J,'DETAY-yaslandırma'!$B115,ham_data!$E:$E,'DETAY-yaslandırma'!$A115)</f>
        <v>0</v>
      </c>
      <c r="S115" s="3">
        <f>SUMIFS(DETAY!E:E,DETAY!A:A,'DETAY-yaslandırma'!A115,DETAY!B:B,'DETAY-yaslandırma'!B115)</f>
        <v>272481.71000000002</v>
      </c>
      <c r="T115" s="3">
        <f t="shared" si="6"/>
        <v>0</v>
      </c>
      <c r="U115" s="11">
        <f t="shared" si="7"/>
        <v>0</v>
      </c>
    </row>
    <row r="116" spans="1:21" x14ac:dyDescent="0.35">
      <c r="A116" s="10" t="s">
        <v>255</v>
      </c>
      <c r="B116" s="2" t="s">
        <v>11</v>
      </c>
      <c r="C116" s="5">
        <f>SUMIFS(DETAY!C:C,DETAY!A:A,'DETAY-yaslandırma'!A116,DETAY!B:B,'DETAY-yaslandırma'!B116)</f>
        <v>0</v>
      </c>
      <c r="D116" s="5">
        <f>SUMIFS(ham_data!AB:AB,ham_data!$J:$J,'DETAY-yaslandırma'!$B116,ham_data!$E:$E,'DETAY-yaslandırma'!$A116)</f>
        <v>0</v>
      </c>
      <c r="E116" s="5">
        <f>SUMIFS(ham_data!AC:AC,ham_data!$J:$J,'DETAY-yaslandırma'!$B116,ham_data!$E:$E,'DETAY-yaslandırma'!$A116)</f>
        <v>0</v>
      </c>
      <c r="F116" s="5">
        <f>SUMIFS(ham_data!AD:AD,ham_data!$J:$J,'DETAY-yaslandırma'!$B116,ham_data!$E:$E,'DETAY-yaslandırma'!$A116)</f>
        <v>0</v>
      </c>
      <c r="G116" s="5">
        <f>SUMIFS(ham_data!AE:AE,ham_data!$J:$J,'DETAY-yaslandırma'!$B116,ham_data!$E:$E,'DETAY-yaslandırma'!$A116)</f>
        <v>0</v>
      </c>
      <c r="H116" s="5">
        <f>SUMIFS(ham_data!AF:AF,ham_data!$J:$J,'DETAY-yaslandırma'!$B116,ham_data!$E:$E,'DETAY-yaslandırma'!$A116)</f>
        <v>0</v>
      </c>
      <c r="I116" s="5">
        <f>SUMIFS(ham_data!AG:AG,ham_data!$J:$J,'DETAY-yaslandırma'!$B116,ham_data!$E:$E,'DETAY-yaslandırma'!$A116)</f>
        <v>0</v>
      </c>
      <c r="J116" s="5">
        <f>SUMIFS(ham_data!AH:AH,ham_data!$J:$J,'DETAY-yaslandırma'!$B116,ham_data!$E:$E,'DETAY-yaslandırma'!$A116)</f>
        <v>0</v>
      </c>
      <c r="K116" s="7">
        <f>SUMIFS(DETAY!D:D,DETAY!A:A,'DETAY-yaslandırma'!A116,DETAY!B:B,'DETAY-yaslandırma'!B116)</f>
        <v>0</v>
      </c>
      <c r="L116" s="7">
        <f>SUMIFS(ham_data!U:U,ham_data!$J:$J,'DETAY-yaslandırma'!$B116,ham_data!$E:$E,'DETAY-yaslandırma'!$A116)</f>
        <v>0</v>
      </c>
      <c r="M116" s="7">
        <f>SUMIFS(ham_data!V:V,ham_data!$J:$J,'DETAY-yaslandırma'!$B116,ham_data!$E:$E,'DETAY-yaslandırma'!$A116)</f>
        <v>0</v>
      </c>
      <c r="N116" s="7">
        <f>SUMIFS(ham_data!W:W,ham_data!$J:$J,'DETAY-yaslandırma'!$B116,ham_data!$E:$E,'DETAY-yaslandırma'!$A116)</f>
        <v>0</v>
      </c>
      <c r="O116" s="7">
        <f>SUMIFS(ham_data!X:X,ham_data!$J:$J,'DETAY-yaslandırma'!$B116,ham_data!$E:$E,'DETAY-yaslandırma'!$A116)</f>
        <v>0</v>
      </c>
      <c r="P116" s="7">
        <f>SUMIFS(ham_data!Y:Y,ham_data!$J:$J,'DETAY-yaslandırma'!$B116,ham_data!$E:$E,'DETAY-yaslandırma'!$A116)</f>
        <v>0</v>
      </c>
      <c r="Q116" s="7">
        <f>SUMIFS(ham_data!Z:Z,ham_data!$J:$J,'DETAY-yaslandırma'!$B116,ham_data!$E:$E,'DETAY-yaslandırma'!$A116)</f>
        <v>0</v>
      </c>
      <c r="R116" s="7">
        <f>SUMIFS(ham_data!AA:AA,ham_data!$J:$J,'DETAY-yaslandırma'!$B116,ham_data!$E:$E,'DETAY-yaslandırma'!$A116)</f>
        <v>0</v>
      </c>
      <c r="S116" s="3">
        <f>SUMIFS(DETAY!E:E,DETAY!A:A,'DETAY-yaslandırma'!A116,DETAY!B:B,'DETAY-yaslandırma'!B116)</f>
        <v>0</v>
      </c>
      <c r="T116" s="3">
        <f t="shared" si="6"/>
        <v>0</v>
      </c>
      <c r="U116" s="11">
        <f t="shared" si="7"/>
        <v>0</v>
      </c>
    </row>
    <row r="117" spans="1:21" x14ac:dyDescent="0.35">
      <c r="A117" s="10" t="s">
        <v>62</v>
      </c>
      <c r="B117" s="2" t="s">
        <v>37</v>
      </c>
      <c r="C117" s="5">
        <f>SUMIFS(DETAY!C:C,DETAY!A:A,'DETAY-yaslandırma'!A117,DETAY!B:B,'DETAY-yaslandırma'!B117)</f>
        <v>0</v>
      </c>
      <c r="D117" s="5">
        <f>SUMIFS(ham_data!AB:AB,ham_data!$J:$J,'DETAY-yaslandırma'!$B117,ham_data!$E:$E,'DETAY-yaslandırma'!$A117)</f>
        <v>0</v>
      </c>
      <c r="E117" s="5">
        <f>SUMIFS(ham_data!AC:AC,ham_data!$J:$J,'DETAY-yaslandırma'!$B117,ham_data!$E:$E,'DETAY-yaslandırma'!$A117)</f>
        <v>0</v>
      </c>
      <c r="F117" s="5">
        <f>SUMIFS(ham_data!AD:AD,ham_data!$J:$J,'DETAY-yaslandırma'!$B117,ham_data!$E:$E,'DETAY-yaslandırma'!$A117)</f>
        <v>0</v>
      </c>
      <c r="G117" s="5">
        <f>SUMIFS(ham_data!AE:AE,ham_data!$J:$J,'DETAY-yaslandırma'!$B117,ham_data!$E:$E,'DETAY-yaslandırma'!$A117)</f>
        <v>0</v>
      </c>
      <c r="H117" s="5">
        <f>SUMIFS(ham_data!AF:AF,ham_data!$J:$J,'DETAY-yaslandırma'!$B117,ham_data!$E:$E,'DETAY-yaslandırma'!$A117)</f>
        <v>0</v>
      </c>
      <c r="I117" s="5">
        <f>SUMIFS(ham_data!AG:AG,ham_data!$J:$J,'DETAY-yaslandırma'!$B117,ham_data!$E:$E,'DETAY-yaslandırma'!$A117)</f>
        <v>0</v>
      </c>
      <c r="J117" s="5">
        <f>SUMIFS(ham_data!AH:AH,ham_data!$J:$J,'DETAY-yaslandırma'!$B117,ham_data!$E:$E,'DETAY-yaslandırma'!$A117)</f>
        <v>0</v>
      </c>
      <c r="K117" s="7">
        <f>SUMIFS(DETAY!D:D,DETAY!A:A,'DETAY-yaslandırma'!A117,DETAY!B:B,'DETAY-yaslandırma'!B117)</f>
        <v>10199</v>
      </c>
      <c r="L117" s="7">
        <f>SUMIFS(ham_data!U:U,ham_data!$J:$J,'DETAY-yaslandırma'!$B117,ham_data!$E:$E,'DETAY-yaslandırma'!$A117)</f>
        <v>0</v>
      </c>
      <c r="M117" s="7">
        <f>SUMIFS(ham_data!V:V,ham_data!$J:$J,'DETAY-yaslandırma'!$B117,ham_data!$E:$E,'DETAY-yaslandırma'!$A117)</f>
        <v>10199</v>
      </c>
      <c r="N117" s="7">
        <f>SUMIFS(ham_data!W:W,ham_data!$J:$J,'DETAY-yaslandırma'!$B117,ham_data!$E:$E,'DETAY-yaslandırma'!$A117)</f>
        <v>0</v>
      </c>
      <c r="O117" s="7">
        <f>SUMIFS(ham_data!X:X,ham_data!$J:$J,'DETAY-yaslandırma'!$B117,ham_data!$E:$E,'DETAY-yaslandırma'!$A117)</f>
        <v>0</v>
      </c>
      <c r="P117" s="7">
        <f>SUMIFS(ham_data!Y:Y,ham_data!$J:$J,'DETAY-yaslandırma'!$B117,ham_data!$E:$E,'DETAY-yaslandırma'!$A117)</f>
        <v>0</v>
      </c>
      <c r="Q117" s="7">
        <f>SUMIFS(ham_data!Z:Z,ham_data!$J:$J,'DETAY-yaslandırma'!$B117,ham_data!$E:$E,'DETAY-yaslandırma'!$A117)</f>
        <v>0</v>
      </c>
      <c r="R117" s="7">
        <f>SUMIFS(ham_data!AA:AA,ham_data!$J:$J,'DETAY-yaslandırma'!$B117,ham_data!$E:$E,'DETAY-yaslandırma'!$A117)</f>
        <v>0</v>
      </c>
      <c r="S117" s="3">
        <f>SUMIFS(DETAY!E:E,DETAY!A:A,'DETAY-yaslandırma'!A117,DETAY!B:B,'DETAY-yaslandırma'!B117)</f>
        <v>10199</v>
      </c>
      <c r="T117" s="3">
        <f t="shared" si="6"/>
        <v>0</v>
      </c>
      <c r="U117" s="11">
        <f t="shared" si="7"/>
        <v>0</v>
      </c>
    </row>
    <row r="118" spans="1:21" x14ac:dyDescent="0.35">
      <c r="A118" s="10" t="s">
        <v>263</v>
      </c>
      <c r="B118" s="2" t="s">
        <v>11</v>
      </c>
      <c r="C118" s="5">
        <f>SUMIFS(DETAY!C:C,DETAY!A:A,'DETAY-yaslandırma'!A118,DETAY!B:B,'DETAY-yaslandırma'!B118)</f>
        <v>2821517.16</v>
      </c>
      <c r="D118" s="5">
        <f>SUMIFS(ham_data!AB:AB,ham_data!$J:$J,'DETAY-yaslandırma'!$B118,ham_data!$E:$E,'DETAY-yaslandırma'!$A118)</f>
        <v>2821517.16</v>
      </c>
      <c r="E118" s="5">
        <f>SUMIFS(ham_data!AC:AC,ham_data!$J:$J,'DETAY-yaslandırma'!$B118,ham_data!$E:$E,'DETAY-yaslandırma'!$A118)</f>
        <v>0</v>
      </c>
      <c r="F118" s="5">
        <f>SUMIFS(ham_data!AD:AD,ham_data!$J:$J,'DETAY-yaslandırma'!$B118,ham_data!$E:$E,'DETAY-yaslandırma'!$A118)</f>
        <v>0</v>
      </c>
      <c r="G118" s="5">
        <f>SUMIFS(ham_data!AE:AE,ham_data!$J:$J,'DETAY-yaslandırma'!$B118,ham_data!$E:$E,'DETAY-yaslandırma'!$A118)</f>
        <v>0</v>
      </c>
      <c r="H118" s="5">
        <f>SUMIFS(ham_data!AF:AF,ham_data!$J:$J,'DETAY-yaslandırma'!$B118,ham_data!$E:$E,'DETAY-yaslandırma'!$A118)</f>
        <v>0</v>
      </c>
      <c r="I118" s="5">
        <f>SUMIFS(ham_data!AG:AG,ham_data!$J:$J,'DETAY-yaslandırma'!$B118,ham_data!$E:$E,'DETAY-yaslandırma'!$A118)</f>
        <v>0</v>
      </c>
      <c r="J118" s="5">
        <f>SUMIFS(ham_data!AH:AH,ham_data!$J:$J,'DETAY-yaslandırma'!$B118,ham_data!$E:$E,'DETAY-yaslandırma'!$A118)</f>
        <v>0</v>
      </c>
      <c r="K118" s="7">
        <f>SUMIFS(DETAY!D:D,DETAY!A:A,'DETAY-yaslandırma'!A118,DETAY!B:B,'DETAY-yaslandırma'!B118)</f>
        <v>0</v>
      </c>
      <c r="L118" s="7">
        <f>SUMIFS(ham_data!U:U,ham_data!$J:$J,'DETAY-yaslandırma'!$B118,ham_data!$E:$E,'DETAY-yaslandırma'!$A118)</f>
        <v>0</v>
      </c>
      <c r="M118" s="7">
        <f>SUMIFS(ham_data!V:V,ham_data!$J:$J,'DETAY-yaslandırma'!$B118,ham_data!$E:$E,'DETAY-yaslandırma'!$A118)</f>
        <v>0</v>
      </c>
      <c r="N118" s="7">
        <f>SUMIFS(ham_data!W:W,ham_data!$J:$J,'DETAY-yaslandırma'!$B118,ham_data!$E:$E,'DETAY-yaslandırma'!$A118)</f>
        <v>0</v>
      </c>
      <c r="O118" s="7">
        <f>SUMIFS(ham_data!X:X,ham_data!$J:$J,'DETAY-yaslandırma'!$B118,ham_data!$E:$E,'DETAY-yaslandırma'!$A118)</f>
        <v>0</v>
      </c>
      <c r="P118" s="7">
        <f>SUMIFS(ham_data!Y:Y,ham_data!$J:$J,'DETAY-yaslandırma'!$B118,ham_data!$E:$E,'DETAY-yaslandırma'!$A118)</f>
        <v>0</v>
      </c>
      <c r="Q118" s="7">
        <f>SUMIFS(ham_data!Z:Z,ham_data!$J:$J,'DETAY-yaslandırma'!$B118,ham_data!$E:$E,'DETAY-yaslandırma'!$A118)</f>
        <v>0</v>
      </c>
      <c r="R118" s="7">
        <f>SUMIFS(ham_data!AA:AA,ham_data!$J:$J,'DETAY-yaslandırma'!$B118,ham_data!$E:$E,'DETAY-yaslandırma'!$A118)</f>
        <v>0</v>
      </c>
      <c r="S118" s="3">
        <f>SUMIFS(DETAY!E:E,DETAY!A:A,'DETAY-yaslandırma'!A118,DETAY!B:B,'DETAY-yaslandırma'!B118)</f>
        <v>2821517.16</v>
      </c>
      <c r="T118" s="3">
        <f t="shared" si="6"/>
        <v>0</v>
      </c>
      <c r="U118" s="11">
        <f t="shared" si="7"/>
        <v>0</v>
      </c>
    </row>
    <row r="119" spans="1:21" x14ac:dyDescent="0.35">
      <c r="A119" s="10" t="s">
        <v>264</v>
      </c>
      <c r="B119" s="2" t="s">
        <v>11</v>
      </c>
      <c r="C119" s="5">
        <f>SUMIFS(DETAY!C:C,DETAY!A:A,'DETAY-yaslandırma'!A119,DETAY!B:B,'DETAY-yaslandırma'!B119)</f>
        <v>0</v>
      </c>
      <c r="D119" s="5">
        <f>SUMIFS(ham_data!AB:AB,ham_data!$J:$J,'DETAY-yaslandırma'!$B119,ham_data!$E:$E,'DETAY-yaslandırma'!$A119)</f>
        <v>0</v>
      </c>
      <c r="E119" s="5">
        <f>SUMIFS(ham_data!AC:AC,ham_data!$J:$J,'DETAY-yaslandırma'!$B119,ham_data!$E:$E,'DETAY-yaslandırma'!$A119)</f>
        <v>0</v>
      </c>
      <c r="F119" s="5">
        <f>SUMIFS(ham_data!AD:AD,ham_data!$J:$J,'DETAY-yaslandırma'!$B119,ham_data!$E:$E,'DETAY-yaslandırma'!$A119)</f>
        <v>0</v>
      </c>
      <c r="G119" s="5">
        <f>SUMIFS(ham_data!AE:AE,ham_data!$J:$J,'DETAY-yaslandırma'!$B119,ham_data!$E:$E,'DETAY-yaslandırma'!$A119)</f>
        <v>0</v>
      </c>
      <c r="H119" s="5">
        <f>SUMIFS(ham_data!AF:AF,ham_data!$J:$J,'DETAY-yaslandırma'!$B119,ham_data!$E:$E,'DETAY-yaslandırma'!$A119)</f>
        <v>0</v>
      </c>
      <c r="I119" s="5">
        <f>SUMIFS(ham_data!AG:AG,ham_data!$J:$J,'DETAY-yaslandırma'!$B119,ham_data!$E:$E,'DETAY-yaslandırma'!$A119)</f>
        <v>0</v>
      </c>
      <c r="J119" s="5">
        <f>SUMIFS(ham_data!AH:AH,ham_data!$J:$J,'DETAY-yaslandırma'!$B119,ham_data!$E:$E,'DETAY-yaslandırma'!$A119)</f>
        <v>0</v>
      </c>
      <c r="K119" s="7">
        <f>SUMIFS(DETAY!D:D,DETAY!A:A,'DETAY-yaslandırma'!A119,DETAY!B:B,'DETAY-yaslandırma'!B119)</f>
        <v>0</v>
      </c>
      <c r="L119" s="7">
        <f>SUMIFS(ham_data!U:U,ham_data!$J:$J,'DETAY-yaslandırma'!$B119,ham_data!$E:$E,'DETAY-yaslandırma'!$A119)</f>
        <v>0</v>
      </c>
      <c r="M119" s="7">
        <f>SUMIFS(ham_data!V:V,ham_data!$J:$J,'DETAY-yaslandırma'!$B119,ham_data!$E:$E,'DETAY-yaslandırma'!$A119)</f>
        <v>0</v>
      </c>
      <c r="N119" s="7">
        <f>SUMIFS(ham_data!W:W,ham_data!$J:$J,'DETAY-yaslandırma'!$B119,ham_data!$E:$E,'DETAY-yaslandırma'!$A119)</f>
        <v>0</v>
      </c>
      <c r="O119" s="7">
        <f>SUMIFS(ham_data!X:X,ham_data!$J:$J,'DETAY-yaslandırma'!$B119,ham_data!$E:$E,'DETAY-yaslandırma'!$A119)</f>
        <v>0</v>
      </c>
      <c r="P119" s="7">
        <f>SUMIFS(ham_data!Y:Y,ham_data!$J:$J,'DETAY-yaslandırma'!$B119,ham_data!$E:$E,'DETAY-yaslandırma'!$A119)</f>
        <v>0</v>
      </c>
      <c r="Q119" s="7">
        <f>SUMIFS(ham_data!Z:Z,ham_data!$J:$J,'DETAY-yaslandırma'!$B119,ham_data!$E:$E,'DETAY-yaslandırma'!$A119)</f>
        <v>0</v>
      </c>
      <c r="R119" s="7">
        <f>SUMIFS(ham_data!AA:AA,ham_data!$J:$J,'DETAY-yaslandırma'!$B119,ham_data!$E:$E,'DETAY-yaslandırma'!$A119)</f>
        <v>0</v>
      </c>
      <c r="S119" s="3">
        <f>SUMIFS(DETAY!E:E,DETAY!A:A,'DETAY-yaslandırma'!A119,DETAY!B:B,'DETAY-yaslandırma'!B119)</f>
        <v>0</v>
      </c>
      <c r="T119" s="3">
        <f t="shared" si="6"/>
        <v>0</v>
      </c>
      <c r="U119" s="11">
        <f t="shared" si="7"/>
        <v>0</v>
      </c>
    </row>
    <row r="120" spans="1:21" x14ac:dyDescent="0.35">
      <c r="A120" s="10" t="s">
        <v>280</v>
      </c>
      <c r="B120" s="2" t="s">
        <v>11</v>
      </c>
      <c r="C120" s="5">
        <f>SUMIFS(DETAY!C:C,DETAY!A:A,'DETAY-yaslandırma'!A120,DETAY!B:B,'DETAY-yaslandırma'!B120)</f>
        <v>0</v>
      </c>
      <c r="D120" s="5">
        <f>SUMIFS(ham_data!AB:AB,ham_data!$J:$J,'DETAY-yaslandırma'!$B120,ham_data!$E:$E,'DETAY-yaslandırma'!$A120)</f>
        <v>0</v>
      </c>
      <c r="E120" s="5">
        <f>SUMIFS(ham_data!AC:AC,ham_data!$J:$J,'DETAY-yaslandırma'!$B120,ham_data!$E:$E,'DETAY-yaslandırma'!$A120)</f>
        <v>0</v>
      </c>
      <c r="F120" s="5">
        <f>SUMIFS(ham_data!AD:AD,ham_data!$J:$J,'DETAY-yaslandırma'!$B120,ham_data!$E:$E,'DETAY-yaslandırma'!$A120)</f>
        <v>0</v>
      </c>
      <c r="G120" s="5">
        <f>SUMIFS(ham_data!AE:AE,ham_data!$J:$J,'DETAY-yaslandırma'!$B120,ham_data!$E:$E,'DETAY-yaslandırma'!$A120)</f>
        <v>0</v>
      </c>
      <c r="H120" s="5">
        <f>SUMIFS(ham_data!AF:AF,ham_data!$J:$J,'DETAY-yaslandırma'!$B120,ham_data!$E:$E,'DETAY-yaslandırma'!$A120)</f>
        <v>0</v>
      </c>
      <c r="I120" s="5">
        <f>SUMIFS(ham_data!AG:AG,ham_data!$J:$J,'DETAY-yaslandırma'!$B120,ham_data!$E:$E,'DETAY-yaslandırma'!$A120)</f>
        <v>0</v>
      </c>
      <c r="J120" s="5">
        <f>SUMIFS(ham_data!AH:AH,ham_data!$J:$J,'DETAY-yaslandırma'!$B120,ham_data!$E:$E,'DETAY-yaslandırma'!$A120)</f>
        <v>0</v>
      </c>
      <c r="K120" s="7">
        <f>SUMIFS(DETAY!D:D,DETAY!A:A,'DETAY-yaslandırma'!A120,DETAY!B:B,'DETAY-yaslandırma'!B120)</f>
        <v>0</v>
      </c>
      <c r="L120" s="7">
        <f>SUMIFS(ham_data!U:U,ham_data!$J:$J,'DETAY-yaslandırma'!$B120,ham_data!$E:$E,'DETAY-yaslandırma'!$A120)</f>
        <v>0</v>
      </c>
      <c r="M120" s="7">
        <f>SUMIFS(ham_data!V:V,ham_data!$J:$J,'DETAY-yaslandırma'!$B120,ham_data!$E:$E,'DETAY-yaslandırma'!$A120)</f>
        <v>0</v>
      </c>
      <c r="N120" s="7">
        <f>SUMIFS(ham_data!W:W,ham_data!$J:$J,'DETAY-yaslandırma'!$B120,ham_data!$E:$E,'DETAY-yaslandırma'!$A120)</f>
        <v>0</v>
      </c>
      <c r="O120" s="7">
        <f>SUMIFS(ham_data!X:X,ham_data!$J:$J,'DETAY-yaslandırma'!$B120,ham_data!$E:$E,'DETAY-yaslandırma'!$A120)</f>
        <v>0</v>
      </c>
      <c r="P120" s="7">
        <f>SUMIFS(ham_data!Y:Y,ham_data!$J:$J,'DETAY-yaslandırma'!$B120,ham_data!$E:$E,'DETAY-yaslandırma'!$A120)</f>
        <v>0</v>
      </c>
      <c r="Q120" s="7">
        <f>SUMIFS(ham_data!Z:Z,ham_data!$J:$J,'DETAY-yaslandırma'!$B120,ham_data!$E:$E,'DETAY-yaslandırma'!$A120)</f>
        <v>0</v>
      </c>
      <c r="R120" s="7">
        <f>SUMIFS(ham_data!AA:AA,ham_data!$J:$J,'DETAY-yaslandırma'!$B120,ham_data!$E:$E,'DETAY-yaslandırma'!$A120)</f>
        <v>0</v>
      </c>
      <c r="S120" s="3">
        <f>SUMIFS(DETAY!E:E,DETAY!A:A,'DETAY-yaslandırma'!A120,DETAY!B:B,'DETAY-yaslandırma'!B120)</f>
        <v>0</v>
      </c>
      <c r="T120" s="3">
        <f t="shared" si="6"/>
        <v>0</v>
      </c>
      <c r="U120" s="11">
        <f t="shared" si="7"/>
        <v>0</v>
      </c>
    </row>
    <row r="121" spans="1:21" x14ac:dyDescent="0.35">
      <c r="A121" s="10" t="s">
        <v>273</v>
      </c>
      <c r="B121" s="2" t="s">
        <v>11</v>
      </c>
      <c r="C121" s="5">
        <f>SUMIFS(DETAY!C:C,DETAY!A:A,'DETAY-yaslandırma'!A121,DETAY!B:B,'DETAY-yaslandırma'!B121)</f>
        <v>0</v>
      </c>
      <c r="D121" s="5">
        <f>SUMIFS(ham_data!AB:AB,ham_data!$J:$J,'DETAY-yaslandırma'!$B121,ham_data!$E:$E,'DETAY-yaslandırma'!$A121)</f>
        <v>0</v>
      </c>
      <c r="E121" s="5">
        <f>SUMIFS(ham_data!AC:AC,ham_data!$J:$J,'DETAY-yaslandırma'!$B121,ham_data!$E:$E,'DETAY-yaslandırma'!$A121)</f>
        <v>0</v>
      </c>
      <c r="F121" s="5">
        <f>SUMIFS(ham_data!AD:AD,ham_data!$J:$J,'DETAY-yaslandırma'!$B121,ham_data!$E:$E,'DETAY-yaslandırma'!$A121)</f>
        <v>0</v>
      </c>
      <c r="G121" s="5">
        <f>SUMIFS(ham_data!AE:AE,ham_data!$J:$J,'DETAY-yaslandırma'!$B121,ham_data!$E:$E,'DETAY-yaslandırma'!$A121)</f>
        <v>0</v>
      </c>
      <c r="H121" s="5">
        <f>SUMIFS(ham_data!AF:AF,ham_data!$J:$J,'DETAY-yaslandırma'!$B121,ham_data!$E:$E,'DETAY-yaslandırma'!$A121)</f>
        <v>0</v>
      </c>
      <c r="I121" s="5">
        <f>SUMIFS(ham_data!AG:AG,ham_data!$J:$J,'DETAY-yaslandırma'!$B121,ham_data!$E:$E,'DETAY-yaslandırma'!$A121)</f>
        <v>0</v>
      </c>
      <c r="J121" s="5">
        <f>SUMIFS(ham_data!AH:AH,ham_data!$J:$J,'DETAY-yaslandırma'!$B121,ham_data!$E:$E,'DETAY-yaslandırma'!$A121)</f>
        <v>0</v>
      </c>
      <c r="K121" s="7">
        <f>SUMIFS(DETAY!D:D,DETAY!A:A,'DETAY-yaslandırma'!A121,DETAY!B:B,'DETAY-yaslandırma'!B121)</f>
        <v>0</v>
      </c>
      <c r="L121" s="7">
        <f>SUMIFS(ham_data!U:U,ham_data!$J:$J,'DETAY-yaslandırma'!$B121,ham_data!$E:$E,'DETAY-yaslandırma'!$A121)</f>
        <v>0</v>
      </c>
      <c r="M121" s="7">
        <f>SUMIFS(ham_data!V:V,ham_data!$J:$J,'DETAY-yaslandırma'!$B121,ham_data!$E:$E,'DETAY-yaslandırma'!$A121)</f>
        <v>0</v>
      </c>
      <c r="N121" s="7">
        <f>SUMIFS(ham_data!W:W,ham_data!$J:$J,'DETAY-yaslandırma'!$B121,ham_data!$E:$E,'DETAY-yaslandırma'!$A121)</f>
        <v>0</v>
      </c>
      <c r="O121" s="7">
        <f>SUMIFS(ham_data!X:X,ham_data!$J:$J,'DETAY-yaslandırma'!$B121,ham_data!$E:$E,'DETAY-yaslandırma'!$A121)</f>
        <v>0</v>
      </c>
      <c r="P121" s="7">
        <f>SUMIFS(ham_data!Y:Y,ham_data!$J:$J,'DETAY-yaslandırma'!$B121,ham_data!$E:$E,'DETAY-yaslandırma'!$A121)</f>
        <v>0</v>
      </c>
      <c r="Q121" s="7">
        <f>SUMIFS(ham_data!Z:Z,ham_data!$J:$J,'DETAY-yaslandırma'!$B121,ham_data!$E:$E,'DETAY-yaslandırma'!$A121)</f>
        <v>0</v>
      </c>
      <c r="R121" s="7">
        <f>SUMIFS(ham_data!AA:AA,ham_data!$J:$J,'DETAY-yaslandırma'!$B121,ham_data!$E:$E,'DETAY-yaslandırma'!$A121)</f>
        <v>0</v>
      </c>
      <c r="S121" s="3">
        <f>SUMIFS(DETAY!E:E,DETAY!A:A,'DETAY-yaslandırma'!A121,DETAY!B:B,'DETAY-yaslandırma'!B121)</f>
        <v>0</v>
      </c>
      <c r="T121" s="3">
        <f t="shared" si="6"/>
        <v>0</v>
      </c>
      <c r="U121" s="11">
        <f t="shared" si="7"/>
        <v>0</v>
      </c>
    </row>
    <row r="122" spans="1:21" x14ac:dyDescent="0.35">
      <c r="A122" s="10" t="s">
        <v>265</v>
      </c>
      <c r="B122" s="2" t="s">
        <v>11</v>
      </c>
      <c r="C122" s="5">
        <f>SUMIFS(DETAY!C:C,DETAY!A:A,'DETAY-yaslandırma'!A122,DETAY!B:B,'DETAY-yaslandırma'!B122)</f>
        <v>0</v>
      </c>
      <c r="D122" s="5">
        <f>SUMIFS(ham_data!AB:AB,ham_data!$J:$J,'DETAY-yaslandırma'!$B122,ham_data!$E:$E,'DETAY-yaslandırma'!$A122)</f>
        <v>0</v>
      </c>
      <c r="E122" s="5">
        <f>SUMIFS(ham_data!AC:AC,ham_data!$J:$J,'DETAY-yaslandırma'!$B122,ham_data!$E:$E,'DETAY-yaslandırma'!$A122)</f>
        <v>0</v>
      </c>
      <c r="F122" s="5">
        <f>SUMIFS(ham_data!AD:AD,ham_data!$J:$J,'DETAY-yaslandırma'!$B122,ham_data!$E:$E,'DETAY-yaslandırma'!$A122)</f>
        <v>0</v>
      </c>
      <c r="G122" s="5">
        <f>SUMIFS(ham_data!AE:AE,ham_data!$J:$J,'DETAY-yaslandırma'!$B122,ham_data!$E:$E,'DETAY-yaslandırma'!$A122)</f>
        <v>0</v>
      </c>
      <c r="H122" s="5">
        <f>SUMIFS(ham_data!AF:AF,ham_data!$J:$J,'DETAY-yaslandırma'!$B122,ham_data!$E:$E,'DETAY-yaslandırma'!$A122)</f>
        <v>0</v>
      </c>
      <c r="I122" s="5">
        <f>SUMIFS(ham_data!AG:AG,ham_data!$J:$J,'DETAY-yaslandırma'!$B122,ham_data!$E:$E,'DETAY-yaslandırma'!$A122)</f>
        <v>0</v>
      </c>
      <c r="J122" s="5">
        <f>SUMIFS(ham_data!AH:AH,ham_data!$J:$J,'DETAY-yaslandırma'!$B122,ham_data!$E:$E,'DETAY-yaslandırma'!$A122)</f>
        <v>0</v>
      </c>
      <c r="K122" s="7">
        <f>SUMIFS(DETAY!D:D,DETAY!A:A,'DETAY-yaslandırma'!A122,DETAY!B:B,'DETAY-yaslandırma'!B122)</f>
        <v>0</v>
      </c>
      <c r="L122" s="7">
        <f>SUMIFS(ham_data!U:U,ham_data!$J:$J,'DETAY-yaslandırma'!$B122,ham_data!$E:$E,'DETAY-yaslandırma'!$A122)</f>
        <v>0</v>
      </c>
      <c r="M122" s="7">
        <f>SUMIFS(ham_data!V:V,ham_data!$J:$J,'DETAY-yaslandırma'!$B122,ham_data!$E:$E,'DETAY-yaslandırma'!$A122)</f>
        <v>0</v>
      </c>
      <c r="N122" s="7">
        <f>SUMIFS(ham_data!W:W,ham_data!$J:$J,'DETAY-yaslandırma'!$B122,ham_data!$E:$E,'DETAY-yaslandırma'!$A122)</f>
        <v>0</v>
      </c>
      <c r="O122" s="7">
        <f>SUMIFS(ham_data!X:X,ham_data!$J:$J,'DETAY-yaslandırma'!$B122,ham_data!$E:$E,'DETAY-yaslandırma'!$A122)</f>
        <v>0</v>
      </c>
      <c r="P122" s="7">
        <f>SUMIFS(ham_data!Y:Y,ham_data!$J:$J,'DETAY-yaslandırma'!$B122,ham_data!$E:$E,'DETAY-yaslandırma'!$A122)</f>
        <v>0</v>
      </c>
      <c r="Q122" s="7">
        <f>SUMIFS(ham_data!Z:Z,ham_data!$J:$J,'DETAY-yaslandırma'!$B122,ham_data!$E:$E,'DETAY-yaslandırma'!$A122)</f>
        <v>0</v>
      </c>
      <c r="R122" s="7">
        <f>SUMIFS(ham_data!AA:AA,ham_data!$J:$J,'DETAY-yaslandırma'!$B122,ham_data!$E:$E,'DETAY-yaslandırma'!$A122)</f>
        <v>0</v>
      </c>
      <c r="S122" s="3">
        <f>SUMIFS(DETAY!E:E,DETAY!A:A,'DETAY-yaslandırma'!A122,DETAY!B:B,'DETAY-yaslandırma'!B122)</f>
        <v>0</v>
      </c>
      <c r="T122" s="3">
        <f t="shared" si="6"/>
        <v>0</v>
      </c>
      <c r="U122" s="11">
        <f t="shared" si="7"/>
        <v>0</v>
      </c>
    </row>
    <row r="123" spans="1:21" x14ac:dyDescent="0.35">
      <c r="A123" s="10" t="s">
        <v>267</v>
      </c>
      <c r="B123" s="2" t="s">
        <v>11</v>
      </c>
      <c r="C123" s="5">
        <f>SUMIFS(DETAY!C:C,DETAY!A:A,'DETAY-yaslandırma'!A123,DETAY!B:B,'DETAY-yaslandırma'!B123)</f>
        <v>0</v>
      </c>
      <c r="D123" s="5">
        <f>SUMIFS(ham_data!AB:AB,ham_data!$J:$J,'DETAY-yaslandırma'!$B123,ham_data!$E:$E,'DETAY-yaslandırma'!$A123)</f>
        <v>0</v>
      </c>
      <c r="E123" s="5">
        <f>SUMIFS(ham_data!AC:AC,ham_data!$J:$J,'DETAY-yaslandırma'!$B123,ham_data!$E:$E,'DETAY-yaslandırma'!$A123)</f>
        <v>0</v>
      </c>
      <c r="F123" s="5">
        <f>SUMIFS(ham_data!AD:AD,ham_data!$J:$J,'DETAY-yaslandırma'!$B123,ham_data!$E:$E,'DETAY-yaslandırma'!$A123)</f>
        <v>0</v>
      </c>
      <c r="G123" s="5">
        <f>SUMIFS(ham_data!AE:AE,ham_data!$J:$J,'DETAY-yaslandırma'!$B123,ham_data!$E:$E,'DETAY-yaslandırma'!$A123)</f>
        <v>0</v>
      </c>
      <c r="H123" s="5">
        <f>SUMIFS(ham_data!AF:AF,ham_data!$J:$J,'DETAY-yaslandırma'!$B123,ham_data!$E:$E,'DETAY-yaslandırma'!$A123)</f>
        <v>0</v>
      </c>
      <c r="I123" s="5">
        <f>SUMIFS(ham_data!AG:AG,ham_data!$J:$J,'DETAY-yaslandırma'!$B123,ham_data!$E:$E,'DETAY-yaslandırma'!$A123)</f>
        <v>0</v>
      </c>
      <c r="J123" s="5">
        <f>SUMIFS(ham_data!AH:AH,ham_data!$J:$J,'DETAY-yaslandırma'!$B123,ham_data!$E:$E,'DETAY-yaslandırma'!$A123)</f>
        <v>0</v>
      </c>
      <c r="K123" s="7">
        <f>SUMIFS(DETAY!D:D,DETAY!A:A,'DETAY-yaslandırma'!A123,DETAY!B:B,'DETAY-yaslandırma'!B123)</f>
        <v>0</v>
      </c>
      <c r="L123" s="7">
        <f>SUMIFS(ham_data!U:U,ham_data!$J:$J,'DETAY-yaslandırma'!$B123,ham_data!$E:$E,'DETAY-yaslandırma'!$A123)</f>
        <v>0</v>
      </c>
      <c r="M123" s="7">
        <f>SUMIFS(ham_data!V:V,ham_data!$J:$J,'DETAY-yaslandırma'!$B123,ham_data!$E:$E,'DETAY-yaslandırma'!$A123)</f>
        <v>0</v>
      </c>
      <c r="N123" s="7">
        <f>SUMIFS(ham_data!W:W,ham_data!$J:$J,'DETAY-yaslandırma'!$B123,ham_data!$E:$E,'DETAY-yaslandırma'!$A123)</f>
        <v>0</v>
      </c>
      <c r="O123" s="7">
        <f>SUMIFS(ham_data!X:X,ham_data!$J:$J,'DETAY-yaslandırma'!$B123,ham_data!$E:$E,'DETAY-yaslandırma'!$A123)</f>
        <v>0</v>
      </c>
      <c r="P123" s="7">
        <f>SUMIFS(ham_data!Y:Y,ham_data!$J:$J,'DETAY-yaslandırma'!$B123,ham_data!$E:$E,'DETAY-yaslandırma'!$A123)</f>
        <v>0</v>
      </c>
      <c r="Q123" s="7">
        <f>SUMIFS(ham_data!Z:Z,ham_data!$J:$J,'DETAY-yaslandırma'!$B123,ham_data!$E:$E,'DETAY-yaslandırma'!$A123)</f>
        <v>0</v>
      </c>
      <c r="R123" s="7">
        <f>SUMIFS(ham_data!AA:AA,ham_data!$J:$J,'DETAY-yaslandırma'!$B123,ham_data!$E:$E,'DETAY-yaslandırma'!$A123)</f>
        <v>0</v>
      </c>
      <c r="S123" s="3">
        <f>SUMIFS(DETAY!E:E,DETAY!A:A,'DETAY-yaslandırma'!A123,DETAY!B:B,'DETAY-yaslandırma'!B123)</f>
        <v>0</v>
      </c>
      <c r="T123" s="3">
        <f t="shared" si="6"/>
        <v>0</v>
      </c>
      <c r="U123" s="11">
        <f t="shared" si="7"/>
        <v>0</v>
      </c>
    </row>
    <row r="124" spans="1:21" x14ac:dyDescent="0.35">
      <c r="A124" s="10" t="s">
        <v>281</v>
      </c>
      <c r="B124" s="2" t="s">
        <v>37</v>
      </c>
      <c r="C124" s="5">
        <f>SUMIFS(DETAY!C:C,DETAY!A:A,'DETAY-yaslandırma'!A124,DETAY!B:B,'DETAY-yaslandırma'!B124)</f>
        <v>0</v>
      </c>
      <c r="D124" s="5">
        <f>SUMIFS(ham_data!AB:AB,ham_data!$J:$J,'DETAY-yaslandırma'!$B124,ham_data!$E:$E,'DETAY-yaslandırma'!$A124)</f>
        <v>0</v>
      </c>
      <c r="E124" s="5">
        <f>SUMIFS(ham_data!AC:AC,ham_data!$J:$J,'DETAY-yaslandırma'!$B124,ham_data!$E:$E,'DETAY-yaslandırma'!$A124)</f>
        <v>0</v>
      </c>
      <c r="F124" s="5">
        <f>SUMIFS(ham_data!AD:AD,ham_data!$J:$J,'DETAY-yaslandırma'!$B124,ham_data!$E:$E,'DETAY-yaslandırma'!$A124)</f>
        <v>0</v>
      </c>
      <c r="G124" s="5">
        <f>SUMIFS(ham_data!AE:AE,ham_data!$J:$J,'DETAY-yaslandırma'!$B124,ham_data!$E:$E,'DETAY-yaslandırma'!$A124)</f>
        <v>0</v>
      </c>
      <c r="H124" s="5">
        <f>SUMIFS(ham_data!AF:AF,ham_data!$J:$J,'DETAY-yaslandırma'!$B124,ham_data!$E:$E,'DETAY-yaslandırma'!$A124)</f>
        <v>0</v>
      </c>
      <c r="I124" s="5">
        <f>SUMIFS(ham_data!AG:AG,ham_data!$J:$J,'DETAY-yaslandırma'!$B124,ham_data!$E:$E,'DETAY-yaslandırma'!$A124)</f>
        <v>0</v>
      </c>
      <c r="J124" s="5">
        <f>SUMIFS(ham_data!AH:AH,ham_data!$J:$J,'DETAY-yaslandırma'!$B124,ham_data!$E:$E,'DETAY-yaslandırma'!$A124)</f>
        <v>0</v>
      </c>
      <c r="K124" s="7">
        <f>SUMIFS(DETAY!D:D,DETAY!A:A,'DETAY-yaslandırma'!A124,DETAY!B:B,'DETAY-yaslandırma'!B124)</f>
        <v>0</v>
      </c>
      <c r="L124" s="7">
        <f>SUMIFS(ham_data!U:U,ham_data!$J:$J,'DETAY-yaslandırma'!$B124,ham_data!$E:$E,'DETAY-yaslandırma'!$A124)</f>
        <v>0</v>
      </c>
      <c r="M124" s="7">
        <f>SUMIFS(ham_data!V:V,ham_data!$J:$J,'DETAY-yaslandırma'!$B124,ham_data!$E:$E,'DETAY-yaslandırma'!$A124)</f>
        <v>0</v>
      </c>
      <c r="N124" s="7">
        <f>SUMIFS(ham_data!W:W,ham_data!$J:$J,'DETAY-yaslandırma'!$B124,ham_data!$E:$E,'DETAY-yaslandırma'!$A124)</f>
        <v>0</v>
      </c>
      <c r="O124" s="7">
        <f>SUMIFS(ham_data!X:X,ham_data!$J:$J,'DETAY-yaslandırma'!$B124,ham_data!$E:$E,'DETAY-yaslandırma'!$A124)</f>
        <v>0</v>
      </c>
      <c r="P124" s="7">
        <f>SUMIFS(ham_data!Y:Y,ham_data!$J:$J,'DETAY-yaslandırma'!$B124,ham_data!$E:$E,'DETAY-yaslandırma'!$A124)</f>
        <v>0</v>
      </c>
      <c r="Q124" s="7">
        <f>SUMIFS(ham_data!Z:Z,ham_data!$J:$J,'DETAY-yaslandırma'!$B124,ham_data!$E:$E,'DETAY-yaslandırma'!$A124)</f>
        <v>0</v>
      </c>
      <c r="R124" s="7">
        <f>SUMIFS(ham_data!AA:AA,ham_data!$J:$J,'DETAY-yaslandırma'!$B124,ham_data!$E:$E,'DETAY-yaslandırma'!$A124)</f>
        <v>0</v>
      </c>
      <c r="S124" s="3">
        <f>SUMIFS(DETAY!E:E,DETAY!A:A,'DETAY-yaslandırma'!A124,DETAY!B:B,'DETAY-yaslandırma'!B124)</f>
        <v>0</v>
      </c>
      <c r="T124" s="3">
        <f t="shared" si="6"/>
        <v>0</v>
      </c>
      <c r="U124" s="11">
        <f t="shared" si="7"/>
        <v>0</v>
      </c>
    </row>
    <row r="125" spans="1:21" x14ac:dyDescent="0.35">
      <c r="A125" s="10" t="s">
        <v>274</v>
      </c>
      <c r="B125" s="2" t="s">
        <v>11</v>
      </c>
      <c r="C125" s="5">
        <f>SUMIFS(DETAY!C:C,DETAY!A:A,'DETAY-yaslandırma'!A125,DETAY!B:B,'DETAY-yaslandırma'!B125)</f>
        <v>0</v>
      </c>
      <c r="D125" s="5">
        <f>SUMIFS(ham_data!AB:AB,ham_data!$J:$J,'DETAY-yaslandırma'!$B125,ham_data!$E:$E,'DETAY-yaslandırma'!$A125)</f>
        <v>0</v>
      </c>
      <c r="E125" s="5">
        <f>SUMIFS(ham_data!AC:AC,ham_data!$J:$J,'DETAY-yaslandırma'!$B125,ham_data!$E:$E,'DETAY-yaslandırma'!$A125)</f>
        <v>0</v>
      </c>
      <c r="F125" s="5">
        <f>SUMIFS(ham_data!AD:AD,ham_data!$J:$J,'DETAY-yaslandırma'!$B125,ham_data!$E:$E,'DETAY-yaslandırma'!$A125)</f>
        <v>0</v>
      </c>
      <c r="G125" s="5">
        <f>SUMIFS(ham_data!AE:AE,ham_data!$J:$J,'DETAY-yaslandırma'!$B125,ham_data!$E:$E,'DETAY-yaslandırma'!$A125)</f>
        <v>0</v>
      </c>
      <c r="H125" s="5">
        <f>SUMIFS(ham_data!AF:AF,ham_data!$J:$J,'DETAY-yaslandırma'!$B125,ham_data!$E:$E,'DETAY-yaslandırma'!$A125)</f>
        <v>0</v>
      </c>
      <c r="I125" s="5">
        <f>SUMIFS(ham_data!AG:AG,ham_data!$J:$J,'DETAY-yaslandırma'!$B125,ham_data!$E:$E,'DETAY-yaslandırma'!$A125)</f>
        <v>0</v>
      </c>
      <c r="J125" s="5">
        <f>SUMIFS(ham_data!AH:AH,ham_data!$J:$J,'DETAY-yaslandırma'!$B125,ham_data!$E:$E,'DETAY-yaslandırma'!$A125)</f>
        <v>0</v>
      </c>
      <c r="K125" s="7">
        <f>SUMIFS(DETAY!D:D,DETAY!A:A,'DETAY-yaslandırma'!A125,DETAY!B:B,'DETAY-yaslandırma'!B125)</f>
        <v>0</v>
      </c>
      <c r="L125" s="7">
        <f>SUMIFS(ham_data!U:U,ham_data!$J:$J,'DETAY-yaslandırma'!$B125,ham_data!$E:$E,'DETAY-yaslandırma'!$A125)</f>
        <v>0</v>
      </c>
      <c r="M125" s="7">
        <f>SUMIFS(ham_data!V:V,ham_data!$J:$J,'DETAY-yaslandırma'!$B125,ham_data!$E:$E,'DETAY-yaslandırma'!$A125)</f>
        <v>0</v>
      </c>
      <c r="N125" s="7">
        <f>SUMIFS(ham_data!W:W,ham_data!$J:$J,'DETAY-yaslandırma'!$B125,ham_data!$E:$E,'DETAY-yaslandırma'!$A125)</f>
        <v>0</v>
      </c>
      <c r="O125" s="7">
        <f>SUMIFS(ham_data!X:X,ham_data!$J:$J,'DETAY-yaslandırma'!$B125,ham_data!$E:$E,'DETAY-yaslandırma'!$A125)</f>
        <v>0</v>
      </c>
      <c r="P125" s="7">
        <f>SUMIFS(ham_data!Y:Y,ham_data!$J:$J,'DETAY-yaslandırma'!$B125,ham_data!$E:$E,'DETAY-yaslandırma'!$A125)</f>
        <v>0</v>
      </c>
      <c r="Q125" s="7">
        <f>SUMIFS(ham_data!Z:Z,ham_data!$J:$J,'DETAY-yaslandırma'!$B125,ham_data!$E:$E,'DETAY-yaslandırma'!$A125)</f>
        <v>0</v>
      </c>
      <c r="R125" s="7">
        <f>SUMIFS(ham_data!AA:AA,ham_data!$J:$J,'DETAY-yaslandırma'!$B125,ham_data!$E:$E,'DETAY-yaslandırma'!$A125)</f>
        <v>0</v>
      </c>
      <c r="S125" s="3">
        <f>SUMIFS(DETAY!E:E,DETAY!A:A,'DETAY-yaslandırma'!A125,DETAY!B:B,'DETAY-yaslandırma'!B125)</f>
        <v>0</v>
      </c>
      <c r="T125" s="3">
        <f t="shared" si="6"/>
        <v>0</v>
      </c>
      <c r="U125" s="11">
        <f t="shared" si="7"/>
        <v>0</v>
      </c>
    </row>
    <row r="126" spans="1:21" x14ac:dyDescent="0.35">
      <c r="A126" s="10" t="s">
        <v>274</v>
      </c>
      <c r="B126" s="2" t="s">
        <v>19</v>
      </c>
      <c r="C126" s="5">
        <f>SUMIFS(DETAY!C:C,DETAY!A:A,'DETAY-yaslandırma'!A126,DETAY!B:B,'DETAY-yaslandırma'!B126)</f>
        <v>0</v>
      </c>
      <c r="D126" s="5">
        <f>SUMIFS(ham_data!AB:AB,ham_data!$J:$J,'DETAY-yaslandırma'!$B126,ham_data!$E:$E,'DETAY-yaslandırma'!$A126)</f>
        <v>0</v>
      </c>
      <c r="E126" s="5">
        <f>SUMIFS(ham_data!AC:AC,ham_data!$J:$J,'DETAY-yaslandırma'!$B126,ham_data!$E:$E,'DETAY-yaslandırma'!$A126)</f>
        <v>0</v>
      </c>
      <c r="F126" s="5">
        <f>SUMIFS(ham_data!AD:AD,ham_data!$J:$J,'DETAY-yaslandırma'!$B126,ham_data!$E:$E,'DETAY-yaslandırma'!$A126)</f>
        <v>0</v>
      </c>
      <c r="G126" s="5">
        <f>SUMIFS(ham_data!AE:AE,ham_data!$J:$J,'DETAY-yaslandırma'!$B126,ham_data!$E:$E,'DETAY-yaslandırma'!$A126)</f>
        <v>0</v>
      </c>
      <c r="H126" s="5">
        <f>SUMIFS(ham_data!AF:AF,ham_data!$J:$J,'DETAY-yaslandırma'!$B126,ham_data!$E:$E,'DETAY-yaslandırma'!$A126)</f>
        <v>0</v>
      </c>
      <c r="I126" s="5">
        <f>SUMIFS(ham_data!AG:AG,ham_data!$J:$J,'DETAY-yaslandırma'!$B126,ham_data!$E:$E,'DETAY-yaslandırma'!$A126)</f>
        <v>0</v>
      </c>
      <c r="J126" s="5">
        <f>SUMIFS(ham_data!AH:AH,ham_data!$J:$J,'DETAY-yaslandırma'!$B126,ham_data!$E:$E,'DETAY-yaslandırma'!$A126)</f>
        <v>0</v>
      </c>
      <c r="K126" s="7">
        <f>SUMIFS(DETAY!D:D,DETAY!A:A,'DETAY-yaslandırma'!A126,DETAY!B:B,'DETAY-yaslandırma'!B126)</f>
        <v>19355</v>
      </c>
      <c r="L126" s="7">
        <f>SUMIFS(ham_data!U:U,ham_data!$J:$J,'DETAY-yaslandırma'!$B126,ham_data!$E:$E,'DETAY-yaslandırma'!$A126)</f>
        <v>19355</v>
      </c>
      <c r="M126" s="7">
        <f>SUMIFS(ham_data!V:V,ham_data!$J:$J,'DETAY-yaslandırma'!$B126,ham_data!$E:$E,'DETAY-yaslandırma'!$A126)</f>
        <v>0</v>
      </c>
      <c r="N126" s="7">
        <f>SUMIFS(ham_data!W:W,ham_data!$J:$J,'DETAY-yaslandırma'!$B126,ham_data!$E:$E,'DETAY-yaslandırma'!$A126)</f>
        <v>0</v>
      </c>
      <c r="O126" s="7">
        <f>SUMIFS(ham_data!X:X,ham_data!$J:$J,'DETAY-yaslandırma'!$B126,ham_data!$E:$E,'DETAY-yaslandırma'!$A126)</f>
        <v>0</v>
      </c>
      <c r="P126" s="7">
        <f>SUMIFS(ham_data!Y:Y,ham_data!$J:$J,'DETAY-yaslandırma'!$B126,ham_data!$E:$E,'DETAY-yaslandırma'!$A126)</f>
        <v>0</v>
      </c>
      <c r="Q126" s="7">
        <f>SUMIFS(ham_data!Z:Z,ham_data!$J:$J,'DETAY-yaslandırma'!$B126,ham_data!$E:$E,'DETAY-yaslandırma'!$A126)</f>
        <v>0</v>
      </c>
      <c r="R126" s="7">
        <f>SUMIFS(ham_data!AA:AA,ham_data!$J:$J,'DETAY-yaslandırma'!$B126,ham_data!$E:$E,'DETAY-yaslandırma'!$A126)</f>
        <v>0</v>
      </c>
      <c r="S126" s="3">
        <f>SUMIFS(DETAY!E:E,DETAY!A:A,'DETAY-yaslandırma'!A126,DETAY!B:B,'DETAY-yaslandırma'!B126)</f>
        <v>19355</v>
      </c>
      <c r="T126" s="3">
        <f t="shared" si="6"/>
        <v>0</v>
      </c>
      <c r="U126" s="11">
        <f t="shared" si="7"/>
        <v>0</v>
      </c>
    </row>
    <row r="127" spans="1:21" x14ac:dyDescent="0.35">
      <c r="A127" s="10" t="s">
        <v>279</v>
      </c>
      <c r="B127" s="2" t="s">
        <v>11</v>
      </c>
      <c r="C127" s="5">
        <f>SUMIFS(DETAY!C:C,DETAY!A:A,'DETAY-yaslandırma'!A127,DETAY!B:B,'DETAY-yaslandırma'!B127)</f>
        <v>0</v>
      </c>
      <c r="D127" s="5">
        <f>SUMIFS(ham_data!AB:AB,ham_data!$J:$J,'DETAY-yaslandırma'!$B127,ham_data!$E:$E,'DETAY-yaslandırma'!$A127)</f>
        <v>0</v>
      </c>
      <c r="E127" s="5">
        <f>SUMIFS(ham_data!AC:AC,ham_data!$J:$J,'DETAY-yaslandırma'!$B127,ham_data!$E:$E,'DETAY-yaslandırma'!$A127)</f>
        <v>0</v>
      </c>
      <c r="F127" s="5">
        <f>SUMIFS(ham_data!AD:AD,ham_data!$J:$J,'DETAY-yaslandırma'!$B127,ham_data!$E:$E,'DETAY-yaslandırma'!$A127)</f>
        <v>0</v>
      </c>
      <c r="G127" s="5">
        <f>SUMIFS(ham_data!AE:AE,ham_data!$J:$J,'DETAY-yaslandırma'!$B127,ham_data!$E:$E,'DETAY-yaslandırma'!$A127)</f>
        <v>0</v>
      </c>
      <c r="H127" s="5">
        <f>SUMIFS(ham_data!AF:AF,ham_data!$J:$J,'DETAY-yaslandırma'!$B127,ham_data!$E:$E,'DETAY-yaslandırma'!$A127)</f>
        <v>0</v>
      </c>
      <c r="I127" s="5">
        <f>SUMIFS(ham_data!AG:AG,ham_data!$J:$J,'DETAY-yaslandırma'!$B127,ham_data!$E:$E,'DETAY-yaslandırma'!$A127)</f>
        <v>0</v>
      </c>
      <c r="J127" s="5">
        <f>SUMIFS(ham_data!AH:AH,ham_data!$J:$J,'DETAY-yaslandırma'!$B127,ham_data!$E:$E,'DETAY-yaslandırma'!$A127)</f>
        <v>0</v>
      </c>
      <c r="K127" s="7">
        <f>SUMIFS(DETAY!D:D,DETAY!A:A,'DETAY-yaslandırma'!A127,DETAY!B:B,'DETAY-yaslandırma'!B127)</f>
        <v>248690.32</v>
      </c>
      <c r="L127" s="7">
        <f>SUMIFS(ham_data!U:U,ham_data!$J:$J,'DETAY-yaslandırma'!$B127,ham_data!$E:$E,'DETAY-yaslandırma'!$A127)</f>
        <v>0</v>
      </c>
      <c r="M127" s="7">
        <f>SUMIFS(ham_data!V:V,ham_data!$J:$J,'DETAY-yaslandırma'!$B127,ham_data!$E:$E,'DETAY-yaslandırma'!$A127)</f>
        <v>248690.32</v>
      </c>
      <c r="N127" s="7">
        <f>SUMIFS(ham_data!W:W,ham_data!$J:$J,'DETAY-yaslandırma'!$B127,ham_data!$E:$E,'DETAY-yaslandırma'!$A127)</f>
        <v>0</v>
      </c>
      <c r="O127" s="7">
        <f>SUMIFS(ham_data!X:X,ham_data!$J:$J,'DETAY-yaslandırma'!$B127,ham_data!$E:$E,'DETAY-yaslandırma'!$A127)</f>
        <v>0</v>
      </c>
      <c r="P127" s="7">
        <f>SUMIFS(ham_data!Y:Y,ham_data!$J:$J,'DETAY-yaslandırma'!$B127,ham_data!$E:$E,'DETAY-yaslandırma'!$A127)</f>
        <v>0</v>
      </c>
      <c r="Q127" s="7">
        <f>SUMIFS(ham_data!Z:Z,ham_data!$J:$J,'DETAY-yaslandırma'!$B127,ham_data!$E:$E,'DETAY-yaslandırma'!$A127)</f>
        <v>0</v>
      </c>
      <c r="R127" s="7">
        <f>SUMIFS(ham_data!AA:AA,ham_data!$J:$J,'DETAY-yaslandırma'!$B127,ham_data!$E:$E,'DETAY-yaslandırma'!$A127)</f>
        <v>0</v>
      </c>
      <c r="S127" s="3">
        <f>SUMIFS(DETAY!E:E,DETAY!A:A,'DETAY-yaslandırma'!A127,DETAY!B:B,'DETAY-yaslandırma'!B127)</f>
        <v>248690.32</v>
      </c>
      <c r="T127" s="3">
        <f t="shared" si="6"/>
        <v>0</v>
      </c>
      <c r="U127" s="11">
        <f t="shared" si="7"/>
        <v>0</v>
      </c>
    </row>
    <row r="128" spans="1:21" x14ac:dyDescent="0.35">
      <c r="A128" s="10" t="s">
        <v>276</v>
      </c>
      <c r="B128" s="2" t="s">
        <v>11</v>
      </c>
      <c r="C128" s="5">
        <f>SUMIFS(DETAY!C:C,DETAY!A:A,'DETAY-yaslandırma'!A128,DETAY!B:B,'DETAY-yaslandırma'!B128)</f>
        <v>0</v>
      </c>
      <c r="D128" s="5">
        <f>SUMIFS(ham_data!AB:AB,ham_data!$J:$J,'DETAY-yaslandırma'!$B128,ham_data!$E:$E,'DETAY-yaslandırma'!$A128)</f>
        <v>0</v>
      </c>
      <c r="E128" s="5">
        <f>SUMIFS(ham_data!AC:AC,ham_data!$J:$J,'DETAY-yaslandırma'!$B128,ham_data!$E:$E,'DETAY-yaslandırma'!$A128)</f>
        <v>0</v>
      </c>
      <c r="F128" s="5">
        <f>SUMIFS(ham_data!AD:AD,ham_data!$J:$J,'DETAY-yaslandırma'!$B128,ham_data!$E:$E,'DETAY-yaslandırma'!$A128)</f>
        <v>0</v>
      </c>
      <c r="G128" s="5">
        <f>SUMIFS(ham_data!AE:AE,ham_data!$J:$J,'DETAY-yaslandırma'!$B128,ham_data!$E:$E,'DETAY-yaslandırma'!$A128)</f>
        <v>0</v>
      </c>
      <c r="H128" s="5">
        <f>SUMIFS(ham_data!AF:AF,ham_data!$J:$J,'DETAY-yaslandırma'!$B128,ham_data!$E:$E,'DETAY-yaslandırma'!$A128)</f>
        <v>0</v>
      </c>
      <c r="I128" s="5">
        <f>SUMIFS(ham_data!AG:AG,ham_data!$J:$J,'DETAY-yaslandırma'!$B128,ham_data!$E:$E,'DETAY-yaslandırma'!$A128)</f>
        <v>0</v>
      </c>
      <c r="J128" s="5">
        <f>SUMIFS(ham_data!AH:AH,ham_data!$J:$J,'DETAY-yaslandırma'!$B128,ham_data!$E:$E,'DETAY-yaslandırma'!$A128)</f>
        <v>0</v>
      </c>
      <c r="K128" s="7">
        <f>SUMIFS(DETAY!D:D,DETAY!A:A,'DETAY-yaslandırma'!A128,DETAY!B:B,'DETAY-yaslandırma'!B128)</f>
        <v>0</v>
      </c>
      <c r="L128" s="7">
        <f>SUMIFS(ham_data!U:U,ham_data!$J:$J,'DETAY-yaslandırma'!$B128,ham_data!$E:$E,'DETAY-yaslandırma'!$A128)</f>
        <v>0</v>
      </c>
      <c r="M128" s="7">
        <f>SUMIFS(ham_data!V:V,ham_data!$J:$J,'DETAY-yaslandırma'!$B128,ham_data!$E:$E,'DETAY-yaslandırma'!$A128)</f>
        <v>0</v>
      </c>
      <c r="N128" s="7">
        <f>SUMIFS(ham_data!W:W,ham_data!$J:$J,'DETAY-yaslandırma'!$B128,ham_data!$E:$E,'DETAY-yaslandırma'!$A128)</f>
        <v>0</v>
      </c>
      <c r="O128" s="7">
        <f>SUMIFS(ham_data!X:X,ham_data!$J:$J,'DETAY-yaslandırma'!$B128,ham_data!$E:$E,'DETAY-yaslandırma'!$A128)</f>
        <v>0</v>
      </c>
      <c r="P128" s="7">
        <f>SUMIFS(ham_data!Y:Y,ham_data!$J:$J,'DETAY-yaslandırma'!$B128,ham_data!$E:$E,'DETAY-yaslandırma'!$A128)</f>
        <v>0</v>
      </c>
      <c r="Q128" s="7">
        <f>SUMIFS(ham_data!Z:Z,ham_data!$J:$J,'DETAY-yaslandırma'!$B128,ham_data!$E:$E,'DETAY-yaslandırma'!$A128)</f>
        <v>0</v>
      </c>
      <c r="R128" s="7">
        <f>SUMIFS(ham_data!AA:AA,ham_data!$J:$J,'DETAY-yaslandırma'!$B128,ham_data!$E:$E,'DETAY-yaslandırma'!$A128)</f>
        <v>0</v>
      </c>
      <c r="S128" s="3">
        <f>SUMIFS(DETAY!E:E,DETAY!A:A,'DETAY-yaslandırma'!A128,DETAY!B:B,'DETAY-yaslandırma'!B128)</f>
        <v>0</v>
      </c>
      <c r="T128" s="3">
        <f t="shared" si="6"/>
        <v>0</v>
      </c>
      <c r="U128" s="11">
        <f t="shared" si="7"/>
        <v>0</v>
      </c>
    </row>
    <row r="129" spans="1:21" x14ac:dyDescent="0.35">
      <c r="A129" s="10" t="s">
        <v>268</v>
      </c>
      <c r="B129" s="2" t="s">
        <v>11</v>
      </c>
      <c r="C129" s="5">
        <f>SUMIFS(DETAY!C:C,DETAY!A:A,'DETAY-yaslandırma'!A129,DETAY!B:B,'DETAY-yaslandırma'!B129)</f>
        <v>1988077.92</v>
      </c>
      <c r="D129" s="5">
        <f>SUMIFS(ham_data!AB:AB,ham_data!$J:$J,'DETAY-yaslandırma'!$B129,ham_data!$E:$E,'DETAY-yaslandırma'!$A129)</f>
        <v>1988077.92</v>
      </c>
      <c r="E129" s="5">
        <f>SUMIFS(ham_data!AC:AC,ham_data!$J:$J,'DETAY-yaslandırma'!$B129,ham_data!$E:$E,'DETAY-yaslandırma'!$A129)</f>
        <v>0</v>
      </c>
      <c r="F129" s="5">
        <f>SUMIFS(ham_data!AD:AD,ham_data!$J:$J,'DETAY-yaslandırma'!$B129,ham_data!$E:$E,'DETAY-yaslandırma'!$A129)</f>
        <v>0</v>
      </c>
      <c r="G129" s="5">
        <f>SUMIFS(ham_data!AE:AE,ham_data!$J:$J,'DETAY-yaslandırma'!$B129,ham_data!$E:$E,'DETAY-yaslandırma'!$A129)</f>
        <v>0</v>
      </c>
      <c r="H129" s="5">
        <f>SUMIFS(ham_data!AF:AF,ham_data!$J:$J,'DETAY-yaslandırma'!$B129,ham_data!$E:$E,'DETAY-yaslandırma'!$A129)</f>
        <v>0</v>
      </c>
      <c r="I129" s="5">
        <f>SUMIFS(ham_data!AG:AG,ham_data!$J:$J,'DETAY-yaslandırma'!$B129,ham_data!$E:$E,'DETAY-yaslandırma'!$A129)</f>
        <v>0</v>
      </c>
      <c r="J129" s="5">
        <f>SUMIFS(ham_data!AH:AH,ham_data!$J:$J,'DETAY-yaslandırma'!$B129,ham_data!$E:$E,'DETAY-yaslandırma'!$A129)</f>
        <v>0</v>
      </c>
      <c r="K129" s="7">
        <f>SUMIFS(DETAY!D:D,DETAY!A:A,'DETAY-yaslandırma'!A129,DETAY!B:B,'DETAY-yaslandırma'!B129)</f>
        <v>0</v>
      </c>
      <c r="L129" s="7">
        <f>SUMIFS(ham_data!U:U,ham_data!$J:$J,'DETAY-yaslandırma'!$B129,ham_data!$E:$E,'DETAY-yaslandırma'!$A129)</f>
        <v>0</v>
      </c>
      <c r="M129" s="7">
        <f>SUMIFS(ham_data!V:V,ham_data!$J:$J,'DETAY-yaslandırma'!$B129,ham_data!$E:$E,'DETAY-yaslandırma'!$A129)</f>
        <v>0</v>
      </c>
      <c r="N129" s="7">
        <f>SUMIFS(ham_data!W:W,ham_data!$J:$J,'DETAY-yaslandırma'!$B129,ham_data!$E:$E,'DETAY-yaslandırma'!$A129)</f>
        <v>0</v>
      </c>
      <c r="O129" s="7">
        <f>SUMIFS(ham_data!X:X,ham_data!$J:$J,'DETAY-yaslandırma'!$B129,ham_data!$E:$E,'DETAY-yaslandırma'!$A129)</f>
        <v>0</v>
      </c>
      <c r="P129" s="7">
        <f>SUMIFS(ham_data!Y:Y,ham_data!$J:$J,'DETAY-yaslandırma'!$B129,ham_data!$E:$E,'DETAY-yaslandırma'!$A129)</f>
        <v>0</v>
      </c>
      <c r="Q129" s="7">
        <f>SUMIFS(ham_data!Z:Z,ham_data!$J:$J,'DETAY-yaslandırma'!$B129,ham_data!$E:$E,'DETAY-yaslandırma'!$A129)</f>
        <v>0</v>
      </c>
      <c r="R129" s="7">
        <f>SUMIFS(ham_data!AA:AA,ham_data!$J:$J,'DETAY-yaslandırma'!$B129,ham_data!$E:$E,'DETAY-yaslandırma'!$A129)</f>
        <v>0</v>
      </c>
      <c r="S129" s="3">
        <f>SUMIFS(DETAY!E:E,DETAY!A:A,'DETAY-yaslandırma'!A129,DETAY!B:B,'DETAY-yaslandırma'!B129)</f>
        <v>1988077.92</v>
      </c>
      <c r="T129" s="3">
        <f t="shared" si="6"/>
        <v>0</v>
      </c>
      <c r="U129" s="11">
        <f t="shared" si="7"/>
        <v>0</v>
      </c>
    </row>
    <row r="130" spans="1:21" x14ac:dyDescent="0.35">
      <c r="A130" s="10" t="s">
        <v>270</v>
      </c>
      <c r="B130" s="2" t="s">
        <v>37</v>
      </c>
      <c r="C130" s="5">
        <f>SUMIFS(DETAY!C:C,DETAY!A:A,'DETAY-yaslandırma'!A130,DETAY!B:B,'DETAY-yaslandırma'!B130)</f>
        <v>0</v>
      </c>
      <c r="D130" s="5">
        <f>SUMIFS(ham_data!AB:AB,ham_data!$J:$J,'DETAY-yaslandırma'!$B130,ham_data!$E:$E,'DETAY-yaslandırma'!$A130)</f>
        <v>0</v>
      </c>
      <c r="E130" s="5">
        <f>SUMIFS(ham_data!AC:AC,ham_data!$J:$J,'DETAY-yaslandırma'!$B130,ham_data!$E:$E,'DETAY-yaslandırma'!$A130)</f>
        <v>0</v>
      </c>
      <c r="F130" s="5">
        <f>SUMIFS(ham_data!AD:AD,ham_data!$J:$J,'DETAY-yaslandırma'!$B130,ham_data!$E:$E,'DETAY-yaslandırma'!$A130)</f>
        <v>0</v>
      </c>
      <c r="G130" s="5">
        <f>SUMIFS(ham_data!AE:AE,ham_data!$J:$J,'DETAY-yaslandırma'!$B130,ham_data!$E:$E,'DETAY-yaslandırma'!$A130)</f>
        <v>0</v>
      </c>
      <c r="H130" s="5">
        <f>SUMIFS(ham_data!AF:AF,ham_data!$J:$J,'DETAY-yaslandırma'!$B130,ham_data!$E:$E,'DETAY-yaslandırma'!$A130)</f>
        <v>0</v>
      </c>
      <c r="I130" s="5">
        <f>SUMIFS(ham_data!AG:AG,ham_data!$J:$J,'DETAY-yaslandırma'!$B130,ham_data!$E:$E,'DETAY-yaslandırma'!$A130)</f>
        <v>0</v>
      </c>
      <c r="J130" s="5">
        <f>SUMIFS(ham_data!AH:AH,ham_data!$J:$J,'DETAY-yaslandırma'!$B130,ham_data!$E:$E,'DETAY-yaslandırma'!$A130)</f>
        <v>0</v>
      </c>
      <c r="K130" s="7">
        <f>SUMIFS(DETAY!D:D,DETAY!A:A,'DETAY-yaslandırma'!A130,DETAY!B:B,'DETAY-yaslandırma'!B130)</f>
        <v>0</v>
      </c>
      <c r="L130" s="7">
        <f>SUMIFS(ham_data!U:U,ham_data!$J:$J,'DETAY-yaslandırma'!$B130,ham_data!$E:$E,'DETAY-yaslandırma'!$A130)</f>
        <v>0</v>
      </c>
      <c r="M130" s="7">
        <f>SUMIFS(ham_data!V:V,ham_data!$J:$J,'DETAY-yaslandırma'!$B130,ham_data!$E:$E,'DETAY-yaslandırma'!$A130)</f>
        <v>0</v>
      </c>
      <c r="N130" s="7">
        <f>SUMIFS(ham_data!W:W,ham_data!$J:$J,'DETAY-yaslandırma'!$B130,ham_data!$E:$E,'DETAY-yaslandırma'!$A130)</f>
        <v>0</v>
      </c>
      <c r="O130" s="7">
        <f>SUMIFS(ham_data!X:X,ham_data!$J:$J,'DETAY-yaslandırma'!$B130,ham_data!$E:$E,'DETAY-yaslandırma'!$A130)</f>
        <v>0</v>
      </c>
      <c r="P130" s="7">
        <f>SUMIFS(ham_data!Y:Y,ham_data!$J:$J,'DETAY-yaslandırma'!$B130,ham_data!$E:$E,'DETAY-yaslandırma'!$A130)</f>
        <v>0</v>
      </c>
      <c r="Q130" s="7">
        <f>SUMIFS(ham_data!Z:Z,ham_data!$J:$J,'DETAY-yaslandırma'!$B130,ham_data!$E:$E,'DETAY-yaslandırma'!$A130)</f>
        <v>0</v>
      </c>
      <c r="R130" s="7">
        <f>SUMIFS(ham_data!AA:AA,ham_data!$J:$J,'DETAY-yaslandırma'!$B130,ham_data!$E:$E,'DETAY-yaslandırma'!$A130)</f>
        <v>0</v>
      </c>
      <c r="S130" s="3">
        <f>SUMIFS(DETAY!E:E,DETAY!A:A,'DETAY-yaslandırma'!A130,DETAY!B:B,'DETAY-yaslandırma'!B130)</f>
        <v>0</v>
      </c>
      <c r="T130" s="3">
        <f t="shared" si="6"/>
        <v>0</v>
      </c>
      <c r="U130" s="11">
        <f t="shared" si="7"/>
        <v>0</v>
      </c>
    </row>
    <row r="131" spans="1:21" x14ac:dyDescent="0.35">
      <c r="A131" s="10" t="s">
        <v>270</v>
      </c>
      <c r="B131" s="2" t="s">
        <v>11</v>
      </c>
      <c r="C131" s="5">
        <f>SUMIFS(DETAY!C:C,DETAY!A:A,'DETAY-yaslandırma'!A131,DETAY!B:B,'DETAY-yaslandırma'!B131)</f>
        <v>0</v>
      </c>
      <c r="D131" s="5">
        <f>SUMIFS(ham_data!AB:AB,ham_data!$J:$J,'DETAY-yaslandırma'!$B131,ham_data!$E:$E,'DETAY-yaslandırma'!$A131)</f>
        <v>0</v>
      </c>
      <c r="E131" s="5">
        <f>SUMIFS(ham_data!AC:AC,ham_data!$J:$J,'DETAY-yaslandırma'!$B131,ham_data!$E:$E,'DETAY-yaslandırma'!$A131)</f>
        <v>0</v>
      </c>
      <c r="F131" s="5">
        <f>SUMIFS(ham_data!AD:AD,ham_data!$J:$J,'DETAY-yaslandırma'!$B131,ham_data!$E:$E,'DETAY-yaslandırma'!$A131)</f>
        <v>0</v>
      </c>
      <c r="G131" s="5">
        <f>SUMIFS(ham_data!AE:AE,ham_data!$J:$J,'DETAY-yaslandırma'!$B131,ham_data!$E:$E,'DETAY-yaslandırma'!$A131)</f>
        <v>0</v>
      </c>
      <c r="H131" s="5">
        <f>SUMIFS(ham_data!AF:AF,ham_data!$J:$J,'DETAY-yaslandırma'!$B131,ham_data!$E:$E,'DETAY-yaslandırma'!$A131)</f>
        <v>0</v>
      </c>
      <c r="I131" s="5">
        <f>SUMIFS(ham_data!AG:AG,ham_data!$J:$J,'DETAY-yaslandırma'!$B131,ham_data!$E:$E,'DETAY-yaslandırma'!$A131)</f>
        <v>0</v>
      </c>
      <c r="J131" s="5">
        <f>SUMIFS(ham_data!AH:AH,ham_data!$J:$J,'DETAY-yaslandırma'!$B131,ham_data!$E:$E,'DETAY-yaslandırma'!$A131)</f>
        <v>0</v>
      </c>
      <c r="K131" s="7">
        <f>SUMIFS(DETAY!D:D,DETAY!A:A,'DETAY-yaslandırma'!A131,DETAY!B:B,'DETAY-yaslandırma'!B131)</f>
        <v>0</v>
      </c>
      <c r="L131" s="7">
        <f>SUMIFS(ham_data!U:U,ham_data!$J:$J,'DETAY-yaslandırma'!$B131,ham_data!$E:$E,'DETAY-yaslandırma'!$A131)</f>
        <v>0</v>
      </c>
      <c r="M131" s="7">
        <f>SUMIFS(ham_data!V:V,ham_data!$J:$J,'DETAY-yaslandırma'!$B131,ham_data!$E:$E,'DETAY-yaslandırma'!$A131)</f>
        <v>0</v>
      </c>
      <c r="N131" s="7">
        <f>SUMIFS(ham_data!W:W,ham_data!$J:$J,'DETAY-yaslandırma'!$B131,ham_data!$E:$E,'DETAY-yaslandırma'!$A131)</f>
        <v>0</v>
      </c>
      <c r="O131" s="7">
        <f>SUMIFS(ham_data!X:X,ham_data!$J:$J,'DETAY-yaslandırma'!$B131,ham_data!$E:$E,'DETAY-yaslandırma'!$A131)</f>
        <v>0</v>
      </c>
      <c r="P131" s="7">
        <f>SUMIFS(ham_data!Y:Y,ham_data!$J:$J,'DETAY-yaslandırma'!$B131,ham_data!$E:$E,'DETAY-yaslandırma'!$A131)</f>
        <v>0</v>
      </c>
      <c r="Q131" s="7">
        <f>SUMIFS(ham_data!Z:Z,ham_data!$J:$J,'DETAY-yaslandırma'!$B131,ham_data!$E:$E,'DETAY-yaslandırma'!$A131)</f>
        <v>0</v>
      </c>
      <c r="R131" s="7">
        <f>SUMIFS(ham_data!AA:AA,ham_data!$J:$J,'DETAY-yaslandırma'!$B131,ham_data!$E:$E,'DETAY-yaslandırma'!$A131)</f>
        <v>0</v>
      </c>
      <c r="S131" s="3">
        <f>SUMIFS(DETAY!E:E,DETAY!A:A,'DETAY-yaslandırma'!A131,DETAY!B:B,'DETAY-yaslandırma'!B131)</f>
        <v>0</v>
      </c>
      <c r="T131" s="3">
        <f t="shared" si="6"/>
        <v>0</v>
      </c>
      <c r="U131" s="11">
        <f t="shared" si="7"/>
        <v>0</v>
      </c>
    </row>
    <row r="132" spans="1:21" x14ac:dyDescent="0.35">
      <c r="A132" s="10" t="s">
        <v>278</v>
      </c>
      <c r="B132" s="2" t="s">
        <v>37</v>
      </c>
      <c r="C132" s="5">
        <f>SUMIFS(DETAY!C:C,DETAY!A:A,'DETAY-yaslandırma'!A132,DETAY!B:B,'DETAY-yaslandırma'!B132)</f>
        <v>0</v>
      </c>
      <c r="D132" s="5">
        <f>SUMIFS(ham_data!AB:AB,ham_data!$J:$J,'DETAY-yaslandırma'!$B132,ham_data!$E:$E,'DETAY-yaslandırma'!$A132)</f>
        <v>0</v>
      </c>
      <c r="E132" s="5">
        <f>SUMIFS(ham_data!AC:AC,ham_data!$J:$J,'DETAY-yaslandırma'!$B132,ham_data!$E:$E,'DETAY-yaslandırma'!$A132)</f>
        <v>0</v>
      </c>
      <c r="F132" s="5">
        <f>SUMIFS(ham_data!AD:AD,ham_data!$J:$J,'DETAY-yaslandırma'!$B132,ham_data!$E:$E,'DETAY-yaslandırma'!$A132)</f>
        <v>0</v>
      </c>
      <c r="G132" s="5">
        <f>SUMIFS(ham_data!AE:AE,ham_data!$J:$J,'DETAY-yaslandırma'!$B132,ham_data!$E:$E,'DETAY-yaslandırma'!$A132)</f>
        <v>0</v>
      </c>
      <c r="H132" s="5">
        <f>SUMIFS(ham_data!AF:AF,ham_data!$J:$J,'DETAY-yaslandırma'!$B132,ham_data!$E:$E,'DETAY-yaslandırma'!$A132)</f>
        <v>0</v>
      </c>
      <c r="I132" s="5">
        <f>SUMIFS(ham_data!AG:AG,ham_data!$J:$J,'DETAY-yaslandırma'!$B132,ham_data!$E:$E,'DETAY-yaslandırma'!$A132)</f>
        <v>0</v>
      </c>
      <c r="J132" s="5">
        <f>SUMIFS(ham_data!AH:AH,ham_data!$J:$J,'DETAY-yaslandırma'!$B132,ham_data!$E:$E,'DETAY-yaslandırma'!$A132)</f>
        <v>0</v>
      </c>
      <c r="K132" s="7">
        <f>SUMIFS(DETAY!D:D,DETAY!A:A,'DETAY-yaslandırma'!A132,DETAY!B:B,'DETAY-yaslandırma'!B132)</f>
        <v>0</v>
      </c>
      <c r="L132" s="7">
        <f>SUMIFS(ham_data!U:U,ham_data!$J:$J,'DETAY-yaslandırma'!$B132,ham_data!$E:$E,'DETAY-yaslandırma'!$A132)</f>
        <v>0</v>
      </c>
      <c r="M132" s="7">
        <f>SUMIFS(ham_data!V:V,ham_data!$J:$J,'DETAY-yaslandırma'!$B132,ham_data!$E:$E,'DETAY-yaslandırma'!$A132)</f>
        <v>0</v>
      </c>
      <c r="N132" s="7">
        <f>SUMIFS(ham_data!W:W,ham_data!$J:$J,'DETAY-yaslandırma'!$B132,ham_data!$E:$E,'DETAY-yaslandırma'!$A132)</f>
        <v>0</v>
      </c>
      <c r="O132" s="7">
        <f>SUMIFS(ham_data!X:X,ham_data!$J:$J,'DETAY-yaslandırma'!$B132,ham_data!$E:$E,'DETAY-yaslandırma'!$A132)</f>
        <v>0</v>
      </c>
      <c r="P132" s="7">
        <f>SUMIFS(ham_data!Y:Y,ham_data!$J:$J,'DETAY-yaslandırma'!$B132,ham_data!$E:$E,'DETAY-yaslandırma'!$A132)</f>
        <v>0</v>
      </c>
      <c r="Q132" s="7">
        <f>SUMIFS(ham_data!Z:Z,ham_data!$J:$J,'DETAY-yaslandırma'!$B132,ham_data!$E:$E,'DETAY-yaslandırma'!$A132)</f>
        <v>0</v>
      </c>
      <c r="R132" s="7">
        <f>SUMIFS(ham_data!AA:AA,ham_data!$J:$J,'DETAY-yaslandırma'!$B132,ham_data!$E:$E,'DETAY-yaslandırma'!$A132)</f>
        <v>0</v>
      </c>
      <c r="S132" s="3">
        <f>SUMIFS(DETAY!E:E,DETAY!A:A,'DETAY-yaslandırma'!A132,DETAY!B:B,'DETAY-yaslandırma'!B132)</f>
        <v>0</v>
      </c>
      <c r="T132" s="3">
        <f t="shared" si="6"/>
        <v>0</v>
      </c>
      <c r="U132" s="11">
        <f t="shared" si="7"/>
        <v>0</v>
      </c>
    </row>
    <row r="133" spans="1:21" x14ac:dyDescent="0.35">
      <c r="A133" s="10" t="s">
        <v>277</v>
      </c>
      <c r="B133" s="2" t="s">
        <v>19</v>
      </c>
      <c r="C133" s="5">
        <f>SUMIFS(DETAY!C:C,DETAY!A:A,'DETAY-yaslandırma'!A133,DETAY!B:B,'DETAY-yaslandırma'!B133)</f>
        <v>0</v>
      </c>
      <c r="D133" s="5">
        <f>SUMIFS(ham_data!AB:AB,ham_data!$J:$J,'DETAY-yaslandırma'!$B133,ham_data!$E:$E,'DETAY-yaslandırma'!$A133)</f>
        <v>0</v>
      </c>
      <c r="E133" s="5">
        <f>SUMIFS(ham_data!AC:AC,ham_data!$J:$J,'DETAY-yaslandırma'!$B133,ham_data!$E:$E,'DETAY-yaslandırma'!$A133)</f>
        <v>0</v>
      </c>
      <c r="F133" s="5">
        <f>SUMIFS(ham_data!AD:AD,ham_data!$J:$J,'DETAY-yaslandırma'!$B133,ham_data!$E:$E,'DETAY-yaslandırma'!$A133)</f>
        <v>0</v>
      </c>
      <c r="G133" s="5">
        <f>SUMIFS(ham_data!AE:AE,ham_data!$J:$J,'DETAY-yaslandırma'!$B133,ham_data!$E:$E,'DETAY-yaslandırma'!$A133)</f>
        <v>0</v>
      </c>
      <c r="H133" s="5">
        <f>SUMIFS(ham_data!AF:AF,ham_data!$J:$J,'DETAY-yaslandırma'!$B133,ham_data!$E:$E,'DETAY-yaslandırma'!$A133)</f>
        <v>0</v>
      </c>
      <c r="I133" s="5">
        <f>SUMIFS(ham_data!AG:AG,ham_data!$J:$J,'DETAY-yaslandırma'!$B133,ham_data!$E:$E,'DETAY-yaslandırma'!$A133)</f>
        <v>0</v>
      </c>
      <c r="J133" s="5">
        <f>SUMIFS(ham_data!AH:AH,ham_data!$J:$J,'DETAY-yaslandırma'!$B133,ham_data!$E:$E,'DETAY-yaslandırma'!$A133)</f>
        <v>0</v>
      </c>
      <c r="K133" s="7">
        <f>SUMIFS(DETAY!D:D,DETAY!A:A,'DETAY-yaslandırma'!A133,DETAY!B:B,'DETAY-yaslandırma'!B133)</f>
        <v>0</v>
      </c>
      <c r="L133" s="7">
        <f>SUMIFS(ham_data!U:U,ham_data!$J:$J,'DETAY-yaslandırma'!$B133,ham_data!$E:$E,'DETAY-yaslandırma'!$A133)</f>
        <v>0</v>
      </c>
      <c r="M133" s="7">
        <f>SUMIFS(ham_data!V:V,ham_data!$J:$J,'DETAY-yaslandırma'!$B133,ham_data!$E:$E,'DETAY-yaslandırma'!$A133)</f>
        <v>0</v>
      </c>
      <c r="N133" s="7">
        <f>SUMIFS(ham_data!W:W,ham_data!$J:$J,'DETAY-yaslandırma'!$B133,ham_data!$E:$E,'DETAY-yaslandırma'!$A133)</f>
        <v>0</v>
      </c>
      <c r="O133" s="7">
        <f>SUMIFS(ham_data!X:X,ham_data!$J:$J,'DETAY-yaslandırma'!$B133,ham_data!$E:$E,'DETAY-yaslandırma'!$A133)</f>
        <v>0</v>
      </c>
      <c r="P133" s="7">
        <f>SUMIFS(ham_data!Y:Y,ham_data!$J:$J,'DETAY-yaslandırma'!$B133,ham_data!$E:$E,'DETAY-yaslandırma'!$A133)</f>
        <v>0</v>
      </c>
      <c r="Q133" s="7">
        <f>SUMIFS(ham_data!Z:Z,ham_data!$J:$J,'DETAY-yaslandırma'!$B133,ham_data!$E:$E,'DETAY-yaslandırma'!$A133)</f>
        <v>0</v>
      </c>
      <c r="R133" s="7">
        <f>SUMIFS(ham_data!AA:AA,ham_data!$J:$J,'DETAY-yaslandırma'!$B133,ham_data!$E:$E,'DETAY-yaslandırma'!$A133)</f>
        <v>0</v>
      </c>
      <c r="S133" s="3">
        <f>SUMIFS(DETAY!E:E,DETAY!A:A,'DETAY-yaslandırma'!A133,DETAY!B:B,'DETAY-yaslandırma'!B133)</f>
        <v>0</v>
      </c>
      <c r="T133" s="3">
        <f t="shared" si="6"/>
        <v>0</v>
      </c>
      <c r="U133" s="11">
        <f t="shared" si="7"/>
        <v>0</v>
      </c>
    </row>
    <row r="134" spans="1:21" x14ac:dyDescent="0.35">
      <c r="A134" s="10" t="s">
        <v>275</v>
      </c>
      <c r="B134" s="2" t="s">
        <v>37</v>
      </c>
      <c r="C134" s="5">
        <f>SUMIFS(DETAY!C:C,DETAY!A:A,'DETAY-yaslandırma'!A134,DETAY!B:B,'DETAY-yaslandırma'!B134)</f>
        <v>0</v>
      </c>
      <c r="D134" s="5">
        <f>SUMIFS(ham_data!AB:AB,ham_data!$J:$J,'DETAY-yaslandırma'!$B134,ham_data!$E:$E,'DETAY-yaslandırma'!$A134)</f>
        <v>0</v>
      </c>
      <c r="E134" s="5">
        <f>SUMIFS(ham_data!AC:AC,ham_data!$J:$J,'DETAY-yaslandırma'!$B134,ham_data!$E:$E,'DETAY-yaslandırma'!$A134)</f>
        <v>0</v>
      </c>
      <c r="F134" s="5">
        <f>SUMIFS(ham_data!AD:AD,ham_data!$J:$J,'DETAY-yaslandırma'!$B134,ham_data!$E:$E,'DETAY-yaslandırma'!$A134)</f>
        <v>0</v>
      </c>
      <c r="G134" s="5">
        <f>SUMIFS(ham_data!AE:AE,ham_data!$J:$J,'DETAY-yaslandırma'!$B134,ham_data!$E:$E,'DETAY-yaslandırma'!$A134)</f>
        <v>0</v>
      </c>
      <c r="H134" s="5">
        <f>SUMIFS(ham_data!AF:AF,ham_data!$J:$J,'DETAY-yaslandırma'!$B134,ham_data!$E:$E,'DETAY-yaslandırma'!$A134)</f>
        <v>0</v>
      </c>
      <c r="I134" s="5">
        <f>SUMIFS(ham_data!AG:AG,ham_data!$J:$J,'DETAY-yaslandırma'!$B134,ham_data!$E:$E,'DETAY-yaslandırma'!$A134)</f>
        <v>0</v>
      </c>
      <c r="J134" s="5">
        <f>SUMIFS(ham_data!AH:AH,ham_data!$J:$J,'DETAY-yaslandırma'!$B134,ham_data!$E:$E,'DETAY-yaslandırma'!$A134)</f>
        <v>0</v>
      </c>
      <c r="K134" s="7">
        <f>SUMIFS(DETAY!D:D,DETAY!A:A,'DETAY-yaslandırma'!A134,DETAY!B:B,'DETAY-yaslandırma'!B134)</f>
        <v>0</v>
      </c>
      <c r="L134" s="7">
        <f>SUMIFS(ham_data!U:U,ham_data!$J:$J,'DETAY-yaslandırma'!$B134,ham_data!$E:$E,'DETAY-yaslandırma'!$A134)</f>
        <v>0</v>
      </c>
      <c r="M134" s="7">
        <f>SUMIFS(ham_data!V:V,ham_data!$J:$J,'DETAY-yaslandırma'!$B134,ham_data!$E:$E,'DETAY-yaslandırma'!$A134)</f>
        <v>0</v>
      </c>
      <c r="N134" s="7">
        <f>SUMIFS(ham_data!W:W,ham_data!$J:$J,'DETAY-yaslandırma'!$B134,ham_data!$E:$E,'DETAY-yaslandırma'!$A134)</f>
        <v>0</v>
      </c>
      <c r="O134" s="7">
        <f>SUMIFS(ham_data!X:X,ham_data!$J:$J,'DETAY-yaslandırma'!$B134,ham_data!$E:$E,'DETAY-yaslandırma'!$A134)</f>
        <v>0</v>
      </c>
      <c r="P134" s="7">
        <f>SUMIFS(ham_data!Y:Y,ham_data!$J:$J,'DETAY-yaslandırma'!$B134,ham_data!$E:$E,'DETAY-yaslandırma'!$A134)</f>
        <v>0</v>
      </c>
      <c r="Q134" s="7">
        <f>SUMIFS(ham_data!Z:Z,ham_data!$J:$J,'DETAY-yaslandırma'!$B134,ham_data!$E:$E,'DETAY-yaslandırma'!$A134)</f>
        <v>0</v>
      </c>
      <c r="R134" s="7">
        <f>SUMIFS(ham_data!AA:AA,ham_data!$J:$J,'DETAY-yaslandırma'!$B134,ham_data!$E:$E,'DETAY-yaslandırma'!$A134)</f>
        <v>0</v>
      </c>
      <c r="S134" s="3">
        <f>SUMIFS(DETAY!E:E,DETAY!A:A,'DETAY-yaslandırma'!A134,DETAY!B:B,'DETAY-yaslandırma'!B134)</f>
        <v>0</v>
      </c>
      <c r="T134" s="3">
        <f t="shared" ref="T134:T182" si="8">C134-SUM(D134:J134)</f>
        <v>0</v>
      </c>
      <c r="U134" s="11">
        <f t="shared" ref="U134:U182" si="9">K134-SUM(L134:R134)</f>
        <v>0</v>
      </c>
    </row>
    <row r="135" spans="1:21" x14ac:dyDescent="0.35">
      <c r="A135" s="10" t="s">
        <v>275</v>
      </c>
      <c r="B135" s="2" t="s">
        <v>11</v>
      </c>
      <c r="C135" s="5">
        <f>SUMIFS(DETAY!C:C,DETAY!A:A,'DETAY-yaslandırma'!A135,DETAY!B:B,'DETAY-yaslandırma'!B135)</f>
        <v>0</v>
      </c>
      <c r="D135" s="5">
        <f>SUMIFS(ham_data!AB:AB,ham_data!$J:$J,'DETAY-yaslandırma'!$B135,ham_data!$E:$E,'DETAY-yaslandırma'!$A135)</f>
        <v>0</v>
      </c>
      <c r="E135" s="5">
        <f>SUMIFS(ham_data!AC:AC,ham_data!$J:$J,'DETAY-yaslandırma'!$B135,ham_data!$E:$E,'DETAY-yaslandırma'!$A135)</f>
        <v>0</v>
      </c>
      <c r="F135" s="5">
        <f>SUMIFS(ham_data!AD:AD,ham_data!$J:$J,'DETAY-yaslandırma'!$B135,ham_data!$E:$E,'DETAY-yaslandırma'!$A135)</f>
        <v>0</v>
      </c>
      <c r="G135" s="5">
        <f>SUMIFS(ham_data!AE:AE,ham_data!$J:$J,'DETAY-yaslandırma'!$B135,ham_data!$E:$E,'DETAY-yaslandırma'!$A135)</f>
        <v>0</v>
      </c>
      <c r="H135" s="5">
        <f>SUMIFS(ham_data!AF:AF,ham_data!$J:$J,'DETAY-yaslandırma'!$B135,ham_data!$E:$E,'DETAY-yaslandırma'!$A135)</f>
        <v>0</v>
      </c>
      <c r="I135" s="5">
        <f>SUMIFS(ham_data!AG:AG,ham_data!$J:$J,'DETAY-yaslandırma'!$B135,ham_data!$E:$E,'DETAY-yaslandırma'!$A135)</f>
        <v>0</v>
      </c>
      <c r="J135" s="5">
        <f>SUMIFS(ham_data!AH:AH,ham_data!$J:$J,'DETAY-yaslandırma'!$B135,ham_data!$E:$E,'DETAY-yaslandırma'!$A135)</f>
        <v>0</v>
      </c>
      <c r="K135" s="7">
        <f>SUMIFS(DETAY!D:D,DETAY!A:A,'DETAY-yaslandırma'!A135,DETAY!B:B,'DETAY-yaslandırma'!B135)</f>
        <v>0</v>
      </c>
      <c r="L135" s="7">
        <f>SUMIFS(ham_data!U:U,ham_data!$J:$J,'DETAY-yaslandırma'!$B135,ham_data!$E:$E,'DETAY-yaslandırma'!$A135)</f>
        <v>0</v>
      </c>
      <c r="M135" s="7">
        <f>SUMIFS(ham_data!V:V,ham_data!$J:$J,'DETAY-yaslandırma'!$B135,ham_data!$E:$E,'DETAY-yaslandırma'!$A135)</f>
        <v>0</v>
      </c>
      <c r="N135" s="7">
        <f>SUMIFS(ham_data!W:W,ham_data!$J:$J,'DETAY-yaslandırma'!$B135,ham_data!$E:$E,'DETAY-yaslandırma'!$A135)</f>
        <v>0</v>
      </c>
      <c r="O135" s="7">
        <f>SUMIFS(ham_data!X:X,ham_data!$J:$J,'DETAY-yaslandırma'!$B135,ham_data!$E:$E,'DETAY-yaslandırma'!$A135)</f>
        <v>0</v>
      </c>
      <c r="P135" s="7">
        <f>SUMIFS(ham_data!Y:Y,ham_data!$J:$J,'DETAY-yaslandırma'!$B135,ham_data!$E:$E,'DETAY-yaslandırma'!$A135)</f>
        <v>0</v>
      </c>
      <c r="Q135" s="7">
        <f>SUMIFS(ham_data!Z:Z,ham_data!$J:$J,'DETAY-yaslandırma'!$B135,ham_data!$E:$E,'DETAY-yaslandırma'!$A135)</f>
        <v>0</v>
      </c>
      <c r="R135" s="7">
        <f>SUMIFS(ham_data!AA:AA,ham_data!$J:$J,'DETAY-yaslandırma'!$B135,ham_data!$E:$E,'DETAY-yaslandırma'!$A135)</f>
        <v>0</v>
      </c>
      <c r="S135" s="3">
        <f>SUMIFS(DETAY!E:E,DETAY!A:A,'DETAY-yaslandırma'!A135,DETAY!B:B,'DETAY-yaslandırma'!B135)</f>
        <v>0</v>
      </c>
      <c r="T135" s="3">
        <f t="shared" si="8"/>
        <v>0</v>
      </c>
      <c r="U135" s="11">
        <f t="shared" si="9"/>
        <v>0</v>
      </c>
    </row>
    <row r="136" spans="1:21" x14ac:dyDescent="0.35">
      <c r="A136" s="10" t="s">
        <v>269</v>
      </c>
      <c r="B136" s="2" t="s">
        <v>11</v>
      </c>
      <c r="C136" s="5">
        <f>SUMIFS(DETAY!C:C,DETAY!A:A,'DETAY-yaslandırma'!A136,DETAY!B:B,'DETAY-yaslandırma'!B136)</f>
        <v>274708.62</v>
      </c>
      <c r="D136" s="5">
        <f>SUMIFS(ham_data!AB:AB,ham_data!$J:$J,'DETAY-yaslandırma'!$B136,ham_data!$E:$E,'DETAY-yaslandırma'!$A136)</f>
        <v>274708.61</v>
      </c>
      <c r="E136" s="5">
        <f>SUMIFS(ham_data!AC:AC,ham_data!$J:$J,'DETAY-yaslandırma'!$B136,ham_data!$E:$E,'DETAY-yaslandırma'!$A136)</f>
        <v>0</v>
      </c>
      <c r="F136" s="5">
        <f>SUMIFS(ham_data!AD:AD,ham_data!$J:$J,'DETAY-yaslandırma'!$B136,ham_data!$E:$E,'DETAY-yaslandırma'!$A136)</f>
        <v>0.01</v>
      </c>
      <c r="G136" s="5">
        <f>SUMIFS(ham_data!AE:AE,ham_data!$J:$J,'DETAY-yaslandırma'!$B136,ham_data!$E:$E,'DETAY-yaslandırma'!$A136)</f>
        <v>0</v>
      </c>
      <c r="H136" s="5">
        <f>SUMIFS(ham_data!AF:AF,ham_data!$J:$J,'DETAY-yaslandırma'!$B136,ham_data!$E:$E,'DETAY-yaslandırma'!$A136)</f>
        <v>0</v>
      </c>
      <c r="I136" s="5">
        <f>SUMIFS(ham_data!AG:AG,ham_data!$J:$J,'DETAY-yaslandırma'!$B136,ham_data!$E:$E,'DETAY-yaslandırma'!$A136)</f>
        <v>0</v>
      </c>
      <c r="J136" s="5">
        <f>SUMIFS(ham_data!AH:AH,ham_data!$J:$J,'DETAY-yaslandırma'!$B136,ham_data!$E:$E,'DETAY-yaslandırma'!$A136)</f>
        <v>0</v>
      </c>
      <c r="K136" s="7">
        <f>SUMIFS(DETAY!D:D,DETAY!A:A,'DETAY-yaslandırma'!A136,DETAY!B:B,'DETAY-yaslandırma'!B136)</f>
        <v>0</v>
      </c>
      <c r="L136" s="7">
        <f>SUMIFS(ham_data!U:U,ham_data!$J:$J,'DETAY-yaslandırma'!$B136,ham_data!$E:$E,'DETAY-yaslandırma'!$A136)</f>
        <v>0</v>
      </c>
      <c r="M136" s="7">
        <f>SUMIFS(ham_data!V:V,ham_data!$J:$J,'DETAY-yaslandırma'!$B136,ham_data!$E:$E,'DETAY-yaslandırma'!$A136)</f>
        <v>0</v>
      </c>
      <c r="N136" s="7">
        <f>SUMIFS(ham_data!W:W,ham_data!$J:$J,'DETAY-yaslandırma'!$B136,ham_data!$E:$E,'DETAY-yaslandırma'!$A136)</f>
        <v>0</v>
      </c>
      <c r="O136" s="7">
        <f>SUMIFS(ham_data!X:X,ham_data!$J:$J,'DETAY-yaslandırma'!$B136,ham_data!$E:$E,'DETAY-yaslandırma'!$A136)</f>
        <v>0</v>
      </c>
      <c r="P136" s="7">
        <f>SUMIFS(ham_data!Y:Y,ham_data!$J:$J,'DETAY-yaslandırma'!$B136,ham_data!$E:$E,'DETAY-yaslandırma'!$A136)</f>
        <v>0</v>
      </c>
      <c r="Q136" s="7">
        <f>SUMIFS(ham_data!Z:Z,ham_data!$J:$J,'DETAY-yaslandırma'!$B136,ham_data!$E:$E,'DETAY-yaslandırma'!$A136)</f>
        <v>0</v>
      </c>
      <c r="R136" s="7">
        <f>SUMIFS(ham_data!AA:AA,ham_data!$J:$J,'DETAY-yaslandırma'!$B136,ham_data!$E:$E,'DETAY-yaslandırma'!$A136)</f>
        <v>0</v>
      </c>
      <c r="S136" s="3">
        <f>SUMIFS(DETAY!E:E,DETAY!A:A,'DETAY-yaslandırma'!A136,DETAY!B:B,'DETAY-yaslandırma'!B136)</f>
        <v>274708.62</v>
      </c>
      <c r="T136" s="3">
        <f t="shared" si="8"/>
        <v>0</v>
      </c>
      <c r="U136" s="11">
        <f t="shared" si="9"/>
        <v>0</v>
      </c>
    </row>
    <row r="137" spans="1:21" x14ac:dyDescent="0.35">
      <c r="A137" s="10" t="s">
        <v>266</v>
      </c>
      <c r="B137" s="2" t="s">
        <v>11</v>
      </c>
      <c r="C137" s="5">
        <f>SUMIFS(DETAY!C:C,DETAY!A:A,'DETAY-yaslandırma'!A137,DETAY!B:B,'DETAY-yaslandırma'!B137)</f>
        <v>0</v>
      </c>
      <c r="D137" s="5">
        <f>SUMIFS(ham_data!AB:AB,ham_data!$J:$J,'DETAY-yaslandırma'!$B137,ham_data!$E:$E,'DETAY-yaslandırma'!$A137)</f>
        <v>0</v>
      </c>
      <c r="E137" s="5">
        <f>SUMIFS(ham_data!AC:AC,ham_data!$J:$J,'DETAY-yaslandırma'!$B137,ham_data!$E:$E,'DETAY-yaslandırma'!$A137)</f>
        <v>0</v>
      </c>
      <c r="F137" s="5">
        <f>SUMIFS(ham_data!AD:AD,ham_data!$J:$J,'DETAY-yaslandırma'!$B137,ham_data!$E:$E,'DETAY-yaslandırma'!$A137)</f>
        <v>0</v>
      </c>
      <c r="G137" s="5">
        <f>SUMIFS(ham_data!AE:AE,ham_data!$J:$J,'DETAY-yaslandırma'!$B137,ham_data!$E:$E,'DETAY-yaslandırma'!$A137)</f>
        <v>0</v>
      </c>
      <c r="H137" s="5">
        <f>SUMIFS(ham_data!AF:AF,ham_data!$J:$J,'DETAY-yaslandırma'!$B137,ham_data!$E:$E,'DETAY-yaslandırma'!$A137)</f>
        <v>0</v>
      </c>
      <c r="I137" s="5">
        <f>SUMIFS(ham_data!AG:AG,ham_data!$J:$J,'DETAY-yaslandırma'!$B137,ham_data!$E:$E,'DETAY-yaslandırma'!$A137)</f>
        <v>0</v>
      </c>
      <c r="J137" s="5">
        <f>SUMIFS(ham_data!AH:AH,ham_data!$J:$J,'DETAY-yaslandırma'!$B137,ham_data!$E:$E,'DETAY-yaslandırma'!$A137)</f>
        <v>0</v>
      </c>
      <c r="K137" s="7">
        <f>SUMIFS(DETAY!D:D,DETAY!A:A,'DETAY-yaslandırma'!A137,DETAY!B:B,'DETAY-yaslandırma'!B137)</f>
        <v>0</v>
      </c>
      <c r="L137" s="7">
        <f>SUMIFS(ham_data!U:U,ham_data!$J:$J,'DETAY-yaslandırma'!$B137,ham_data!$E:$E,'DETAY-yaslandırma'!$A137)</f>
        <v>0</v>
      </c>
      <c r="M137" s="7">
        <f>SUMIFS(ham_data!V:V,ham_data!$J:$J,'DETAY-yaslandırma'!$B137,ham_data!$E:$E,'DETAY-yaslandırma'!$A137)</f>
        <v>0</v>
      </c>
      <c r="N137" s="7">
        <f>SUMIFS(ham_data!W:W,ham_data!$J:$J,'DETAY-yaslandırma'!$B137,ham_data!$E:$E,'DETAY-yaslandırma'!$A137)</f>
        <v>0</v>
      </c>
      <c r="O137" s="7">
        <f>SUMIFS(ham_data!X:X,ham_data!$J:$J,'DETAY-yaslandırma'!$B137,ham_data!$E:$E,'DETAY-yaslandırma'!$A137)</f>
        <v>0</v>
      </c>
      <c r="P137" s="7">
        <f>SUMIFS(ham_data!Y:Y,ham_data!$J:$J,'DETAY-yaslandırma'!$B137,ham_data!$E:$E,'DETAY-yaslandırma'!$A137)</f>
        <v>0</v>
      </c>
      <c r="Q137" s="7">
        <f>SUMIFS(ham_data!Z:Z,ham_data!$J:$J,'DETAY-yaslandırma'!$B137,ham_data!$E:$E,'DETAY-yaslandırma'!$A137)</f>
        <v>0</v>
      </c>
      <c r="R137" s="7">
        <f>SUMIFS(ham_data!AA:AA,ham_data!$J:$J,'DETAY-yaslandırma'!$B137,ham_data!$E:$E,'DETAY-yaslandırma'!$A137)</f>
        <v>0</v>
      </c>
      <c r="S137" s="3">
        <f>SUMIFS(DETAY!E:E,DETAY!A:A,'DETAY-yaslandırma'!A137,DETAY!B:B,'DETAY-yaslandırma'!B137)</f>
        <v>0</v>
      </c>
      <c r="T137" s="3">
        <f t="shared" si="8"/>
        <v>0</v>
      </c>
      <c r="U137" s="11">
        <f t="shared" si="9"/>
        <v>0</v>
      </c>
    </row>
    <row r="138" spans="1:21" x14ac:dyDescent="0.35">
      <c r="A138" s="10" t="s">
        <v>272</v>
      </c>
      <c r="B138" s="2" t="s">
        <v>11</v>
      </c>
      <c r="C138" s="5">
        <f>SUMIFS(DETAY!C:C,DETAY!A:A,'DETAY-yaslandırma'!A138,DETAY!B:B,'DETAY-yaslandırma'!B138)</f>
        <v>0</v>
      </c>
      <c r="D138" s="5">
        <f>SUMIFS(ham_data!AB:AB,ham_data!$J:$J,'DETAY-yaslandırma'!$B138,ham_data!$E:$E,'DETAY-yaslandırma'!$A138)</f>
        <v>0</v>
      </c>
      <c r="E138" s="5">
        <f>SUMIFS(ham_data!AC:AC,ham_data!$J:$J,'DETAY-yaslandırma'!$B138,ham_data!$E:$E,'DETAY-yaslandırma'!$A138)</f>
        <v>0</v>
      </c>
      <c r="F138" s="5">
        <f>SUMIFS(ham_data!AD:AD,ham_data!$J:$J,'DETAY-yaslandırma'!$B138,ham_data!$E:$E,'DETAY-yaslandırma'!$A138)</f>
        <v>0</v>
      </c>
      <c r="G138" s="5">
        <f>SUMIFS(ham_data!AE:AE,ham_data!$J:$J,'DETAY-yaslandırma'!$B138,ham_data!$E:$E,'DETAY-yaslandırma'!$A138)</f>
        <v>0</v>
      </c>
      <c r="H138" s="5">
        <f>SUMIFS(ham_data!AF:AF,ham_data!$J:$J,'DETAY-yaslandırma'!$B138,ham_data!$E:$E,'DETAY-yaslandırma'!$A138)</f>
        <v>0</v>
      </c>
      <c r="I138" s="5">
        <f>SUMIFS(ham_data!AG:AG,ham_data!$J:$J,'DETAY-yaslandırma'!$B138,ham_data!$E:$E,'DETAY-yaslandırma'!$A138)</f>
        <v>0</v>
      </c>
      <c r="J138" s="5">
        <f>SUMIFS(ham_data!AH:AH,ham_data!$J:$J,'DETAY-yaslandırma'!$B138,ham_data!$E:$E,'DETAY-yaslandırma'!$A138)</f>
        <v>0</v>
      </c>
      <c r="K138" s="7">
        <f>SUMIFS(DETAY!D:D,DETAY!A:A,'DETAY-yaslandırma'!A138,DETAY!B:B,'DETAY-yaslandırma'!B138)</f>
        <v>232475.56</v>
      </c>
      <c r="L138" s="7">
        <f>SUMIFS(ham_data!U:U,ham_data!$J:$J,'DETAY-yaslandırma'!$B138,ham_data!$E:$E,'DETAY-yaslandırma'!$A138)</f>
        <v>0</v>
      </c>
      <c r="M138" s="7">
        <f>SUMIFS(ham_data!V:V,ham_data!$J:$J,'DETAY-yaslandırma'!$B138,ham_data!$E:$E,'DETAY-yaslandırma'!$A138)</f>
        <v>232475.56</v>
      </c>
      <c r="N138" s="7">
        <f>SUMIFS(ham_data!W:W,ham_data!$J:$J,'DETAY-yaslandırma'!$B138,ham_data!$E:$E,'DETAY-yaslandırma'!$A138)</f>
        <v>0</v>
      </c>
      <c r="O138" s="7">
        <f>SUMIFS(ham_data!X:X,ham_data!$J:$J,'DETAY-yaslandırma'!$B138,ham_data!$E:$E,'DETAY-yaslandırma'!$A138)</f>
        <v>0</v>
      </c>
      <c r="P138" s="7">
        <f>SUMIFS(ham_data!Y:Y,ham_data!$J:$J,'DETAY-yaslandırma'!$B138,ham_data!$E:$E,'DETAY-yaslandırma'!$A138)</f>
        <v>0</v>
      </c>
      <c r="Q138" s="7">
        <f>SUMIFS(ham_data!Z:Z,ham_data!$J:$J,'DETAY-yaslandırma'!$B138,ham_data!$E:$E,'DETAY-yaslandırma'!$A138)</f>
        <v>0</v>
      </c>
      <c r="R138" s="7">
        <f>SUMIFS(ham_data!AA:AA,ham_data!$J:$J,'DETAY-yaslandırma'!$B138,ham_data!$E:$E,'DETAY-yaslandırma'!$A138)</f>
        <v>0</v>
      </c>
      <c r="S138" s="3">
        <f>SUMIFS(DETAY!E:E,DETAY!A:A,'DETAY-yaslandırma'!A138,DETAY!B:B,'DETAY-yaslandırma'!B138)</f>
        <v>232475.56</v>
      </c>
      <c r="T138" s="3">
        <f t="shared" si="8"/>
        <v>0</v>
      </c>
      <c r="U138" s="11">
        <f t="shared" si="9"/>
        <v>0</v>
      </c>
    </row>
    <row r="139" spans="1:21" x14ac:dyDescent="0.35">
      <c r="A139" s="10" t="s">
        <v>271</v>
      </c>
      <c r="B139" s="2" t="s">
        <v>11</v>
      </c>
      <c r="C139" s="5">
        <f>SUMIFS(DETAY!C:C,DETAY!A:A,'DETAY-yaslandırma'!A139,DETAY!B:B,'DETAY-yaslandırma'!B139)</f>
        <v>0</v>
      </c>
      <c r="D139" s="5">
        <f>SUMIFS(ham_data!AB:AB,ham_data!$J:$J,'DETAY-yaslandırma'!$B139,ham_data!$E:$E,'DETAY-yaslandırma'!$A139)</f>
        <v>0</v>
      </c>
      <c r="E139" s="5">
        <f>SUMIFS(ham_data!AC:AC,ham_data!$J:$J,'DETAY-yaslandırma'!$B139,ham_data!$E:$E,'DETAY-yaslandırma'!$A139)</f>
        <v>0</v>
      </c>
      <c r="F139" s="5">
        <f>SUMIFS(ham_data!AD:AD,ham_data!$J:$J,'DETAY-yaslandırma'!$B139,ham_data!$E:$E,'DETAY-yaslandırma'!$A139)</f>
        <v>0</v>
      </c>
      <c r="G139" s="5">
        <f>SUMIFS(ham_data!AE:AE,ham_data!$J:$J,'DETAY-yaslandırma'!$B139,ham_data!$E:$E,'DETAY-yaslandırma'!$A139)</f>
        <v>0</v>
      </c>
      <c r="H139" s="5">
        <f>SUMIFS(ham_data!AF:AF,ham_data!$J:$J,'DETAY-yaslandırma'!$B139,ham_data!$E:$E,'DETAY-yaslandırma'!$A139)</f>
        <v>0</v>
      </c>
      <c r="I139" s="5">
        <f>SUMIFS(ham_data!AG:AG,ham_data!$J:$J,'DETAY-yaslandırma'!$B139,ham_data!$E:$E,'DETAY-yaslandırma'!$A139)</f>
        <v>0</v>
      </c>
      <c r="J139" s="5">
        <f>SUMIFS(ham_data!AH:AH,ham_data!$J:$J,'DETAY-yaslandırma'!$B139,ham_data!$E:$E,'DETAY-yaslandırma'!$A139)</f>
        <v>0</v>
      </c>
      <c r="K139" s="7">
        <f>SUMIFS(DETAY!D:D,DETAY!A:A,'DETAY-yaslandırma'!A139,DETAY!B:B,'DETAY-yaslandırma'!B139)</f>
        <v>2884101.12</v>
      </c>
      <c r="L139" s="7">
        <f>SUMIFS(ham_data!U:U,ham_data!$J:$J,'DETAY-yaslandırma'!$B139,ham_data!$E:$E,'DETAY-yaslandırma'!$A139)</f>
        <v>2884101.12</v>
      </c>
      <c r="M139" s="7">
        <f>SUMIFS(ham_data!V:V,ham_data!$J:$J,'DETAY-yaslandırma'!$B139,ham_data!$E:$E,'DETAY-yaslandırma'!$A139)</f>
        <v>0</v>
      </c>
      <c r="N139" s="7">
        <f>SUMIFS(ham_data!W:W,ham_data!$J:$J,'DETAY-yaslandırma'!$B139,ham_data!$E:$E,'DETAY-yaslandırma'!$A139)</f>
        <v>0</v>
      </c>
      <c r="O139" s="7">
        <f>SUMIFS(ham_data!X:X,ham_data!$J:$J,'DETAY-yaslandırma'!$B139,ham_data!$E:$E,'DETAY-yaslandırma'!$A139)</f>
        <v>0</v>
      </c>
      <c r="P139" s="7">
        <f>SUMIFS(ham_data!Y:Y,ham_data!$J:$J,'DETAY-yaslandırma'!$B139,ham_data!$E:$E,'DETAY-yaslandırma'!$A139)</f>
        <v>0</v>
      </c>
      <c r="Q139" s="7">
        <f>SUMIFS(ham_data!Z:Z,ham_data!$J:$J,'DETAY-yaslandırma'!$B139,ham_data!$E:$E,'DETAY-yaslandırma'!$A139)</f>
        <v>0</v>
      </c>
      <c r="R139" s="7">
        <f>SUMIFS(ham_data!AA:AA,ham_data!$J:$J,'DETAY-yaslandırma'!$B139,ham_data!$E:$E,'DETAY-yaslandırma'!$A139)</f>
        <v>0</v>
      </c>
      <c r="S139" s="3">
        <f>SUMIFS(DETAY!E:E,DETAY!A:A,'DETAY-yaslandırma'!A139,DETAY!B:B,'DETAY-yaslandırma'!B139)</f>
        <v>2884101.12</v>
      </c>
      <c r="T139" s="3">
        <f t="shared" si="8"/>
        <v>0</v>
      </c>
      <c r="U139" s="11">
        <f t="shared" si="9"/>
        <v>0</v>
      </c>
    </row>
    <row r="140" spans="1:21" x14ac:dyDescent="0.35">
      <c r="A140" s="10" t="s">
        <v>124</v>
      </c>
      <c r="B140" s="2" t="s">
        <v>37</v>
      </c>
      <c r="C140" s="5">
        <f>SUMIFS(DETAY!C:C,DETAY!A:A,'DETAY-yaslandırma'!A140,DETAY!B:B,'DETAY-yaslandırma'!B140)</f>
        <v>0</v>
      </c>
      <c r="D140" s="5">
        <f>SUMIFS(ham_data!AB:AB,ham_data!$J:$J,'DETAY-yaslandırma'!$B140,ham_data!$E:$E,'DETAY-yaslandırma'!$A140)</f>
        <v>0</v>
      </c>
      <c r="E140" s="5">
        <f>SUMIFS(ham_data!AC:AC,ham_data!$J:$J,'DETAY-yaslandırma'!$B140,ham_data!$E:$E,'DETAY-yaslandırma'!$A140)</f>
        <v>0</v>
      </c>
      <c r="F140" s="5">
        <f>SUMIFS(ham_data!AD:AD,ham_data!$J:$J,'DETAY-yaslandırma'!$B140,ham_data!$E:$E,'DETAY-yaslandırma'!$A140)</f>
        <v>0</v>
      </c>
      <c r="G140" s="5">
        <f>SUMIFS(ham_data!AE:AE,ham_data!$J:$J,'DETAY-yaslandırma'!$B140,ham_data!$E:$E,'DETAY-yaslandırma'!$A140)</f>
        <v>0</v>
      </c>
      <c r="H140" s="5">
        <f>SUMIFS(ham_data!AF:AF,ham_data!$J:$J,'DETAY-yaslandırma'!$B140,ham_data!$E:$E,'DETAY-yaslandırma'!$A140)</f>
        <v>0</v>
      </c>
      <c r="I140" s="5">
        <f>SUMIFS(ham_data!AG:AG,ham_data!$J:$J,'DETAY-yaslandırma'!$B140,ham_data!$E:$E,'DETAY-yaslandırma'!$A140)</f>
        <v>0</v>
      </c>
      <c r="J140" s="5">
        <f>SUMIFS(ham_data!AH:AH,ham_data!$J:$J,'DETAY-yaslandırma'!$B140,ham_data!$E:$E,'DETAY-yaslandırma'!$A140)</f>
        <v>0</v>
      </c>
      <c r="K140" s="7">
        <f>SUMIFS(DETAY!D:D,DETAY!A:A,'DETAY-yaslandırma'!A140,DETAY!B:B,'DETAY-yaslandırma'!B140)</f>
        <v>26745.5</v>
      </c>
      <c r="L140" s="7">
        <f>SUMIFS(ham_data!U:U,ham_data!$J:$J,'DETAY-yaslandırma'!$B140,ham_data!$E:$E,'DETAY-yaslandırma'!$A140)</f>
        <v>26745.5</v>
      </c>
      <c r="M140" s="7">
        <f>SUMIFS(ham_data!V:V,ham_data!$J:$J,'DETAY-yaslandırma'!$B140,ham_data!$E:$E,'DETAY-yaslandırma'!$A140)</f>
        <v>0</v>
      </c>
      <c r="N140" s="7">
        <f>SUMIFS(ham_data!W:W,ham_data!$J:$J,'DETAY-yaslandırma'!$B140,ham_data!$E:$E,'DETAY-yaslandırma'!$A140)</f>
        <v>0</v>
      </c>
      <c r="O140" s="7">
        <f>SUMIFS(ham_data!X:X,ham_data!$J:$J,'DETAY-yaslandırma'!$B140,ham_data!$E:$E,'DETAY-yaslandırma'!$A140)</f>
        <v>0</v>
      </c>
      <c r="P140" s="7">
        <f>SUMIFS(ham_data!Y:Y,ham_data!$J:$J,'DETAY-yaslandırma'!$B140,ham_data!$E:$E,'DETAY-yaslandırma'!$A140)</f>
        <v>0</v>
      </c>
      <c r="Q140" s="7">
        <f>SUMIFS(ham_data!Z:Z,ham_data!$J:$J,'DETAY-yaslandırma'!$B140,ham_data!$E:$E,'DETAY-yaslandırma'!$A140)</f>
        <v>0</v>
      </c>
      <c r="R140" s="7">
        <f>SUMIFS(ham_data!AA:AA,ham_data!$J:$J,'DETAY-yaslandırma'!$B140,ham_data!$E:$E,'DETAY-yaslandırma'!$A140)</f>
        <v>0</v>
      </c>
      <c r="S140" s="3">
        <f>SUMIFS(DETAY!E:E,DETAY!A:A,'DETAY-yaslandırma'!A140,DETAY!B:B,'DETAY-yaslandırma'!B140)</f>
        <v>26745.5</v>
      </c>
      <c r="T140" s="3">
        <f t="shared" si="8"/>
        <v>0</v>
      </c>
      <c r="U140" s="11">
        <f t="shared" si="9"/>
        <v>0</v>
      </c>
    </row>
    <row r="141" spans="1:21" x14ac:dyDescent="0.35">
      <c r="A141" s="10" t="s">
        <v>57</v>
      </c>
      <c r="B141" s="2" t="s">
        <v>11</v>
      </c>
      <c r="C141" s="5">
        <f>SUMIFS(DETAY!C:C,DETAY!A:A,'DETAY-yaslandırma'!A141,DETAY!B:B,'DETAY-yaslandırma'!B141)</f>
        <v>0</v>
      </c>
      <c r="D141" s="5">
        <f>SUMIFS(ham_data!AB:AB,ham_data!$J:$J,'DETAY-yaslandırma'!$B141,ham_data!$E:$E,'DETAY-yaslandırma'!$A141)</f>
        <v>0</v>
      </c>
      <c r="E141" s="5">
        <f>SUMIFS(ham_data!AC:AC,ham_data!$J:$J,'DETAY-yaslandırma'!$B141,ham_data!$E:$E,'DETAY-yaslandırma'!$A141)</f>
        <v>0</v>
      </c>
      <c r="F141" s="5">
        <f>SUMIFS(ham_data!AD:AD,ham_data!$J:$J,'DETAY-yaslandırma'!$B141,ham_data!$E:$E,'DETAY-yaslandırma'!$A141)</f>
        <v>0</v>
      </c>
      <c r="G141" s="5">
        <f>SUMIFS(ham_data!AE:AE,ham_data!$J:$J,'DETAY-yaslandırma'!$B141,ham_data!$E:$E,'DETAY-yaslandırma'!$A141)</f>
        <v>0</v>
      </c>
      <c r="H141" s="5">
        <f>SUMIFS(ham_data!AF:AF,ham_data!$J:$J,'DETAY-yaslandırma'!$B141,ham_data!$E:$E,'DETAY-yaslandırma'!$A141)</f>
        <v>0</v>
      </c>
      <c r="I141" s="5">
        <f>SUMIFS(ham_data!AG:AG,ham_data!$J:$J,'DETAY-yaslandırma'!$B141,ham_data!$E:$E,'DETAY-yaslandırma'!$A141)</f>
        <v>0</v>
      </c>
      <c r="J141" s="5">
        <f>SUMIFS(ham_data!AH:AH,ham_data!$J:$J,'DETAY-yaslandırma'!$B141,ham_data!$E:$E,'DETAY-yaslandırma'!$A141)</f>
        <v>0</v>
      </c>
      <c r="K141" s="7">
        <f>SUMIFS(DETAY!D:D,DETAY!A:A,'DETAY-yaslandırma'!A141,DETAY!B:B,'DETAY-yaslandırma'!B141)</f>
        <v>0</v>
      </c>
      <c r="L141" s="7">
        <f>SUMIFS(ham_data!U:U,ham_data!$J:$J,'DETAY-yaslandırma'!$B141,ham_data!$E:$E,'DETAY-yaslandırma'!$A141)</f>
        <v>0</v>
      </c>
      <c r="M141" s="7">
        <f>SUMIFS(ham_data!V:V,ham_data!$J:$J,'DETAY-yaslandırma'!$B141,ham_data!$E:$E,'DETAY-yaslandırma'!$A141)</f>
        <v>0</v>
      </c>
      <c r="N141" s="7">
        <f>SUMIFS(ham_data!W:W,ham_data!$J:$J,'DETAY-yaslandırma'!$B141,ham_data!$E:$E,'DETAY-yaslandırma'!$A141)</f>
        <v>0</v>
      </c>
      <c r="O141" s="7">
        <f>SUMIFS(ham_data!X:X,ham_data!$J:$J,'DETAY-yaslandırma'!$B141,ham_data!$E:$E,'DETAY-yaslandırma'!$A141)</f>
        <v>0</v>
      </c>
      <c r="P141" s="7">
        <f>SUMIFS(ham_data!Y:Y,ham_data!$J:$J,'DETAY-yaslandırma'!$B141,ham_data!$E:$E,'DETAY-yaslandırma'!$A141)</f>
        <v>0</v>
      </c>
      <c r="Q141" s="7">
        <f>SUMIFS(ham_data!Z:Z,ham_data!$J:$J,'DETAY-yaslandırma'!$B141,ham_data!$E:$E,'DETAY-yaslandırma'!$A141)</f>
        <v>0</v>
      </c>
      <c r="R141" s="7">
        <f>SUMIFS(ham_data!AA:AA,ham_data!$J:$J,'DETAY-yaslandırma'!$B141,ham_data!$E:$E,'DETAY-yaslandırma'!$A141)</f>
        <v>0</v>
      </c>
      <c r="S141" s="3">
        <f>SUMIFS(DETAY!E:E,DETAY!A:A,'DETAY-yaslandırma'!A141,DETAY!B:B,'DETAY-yaslandırma'!B141)</f>
        <v>0</v>
      </c>
      <c r="T141" s="3">
        <f t="shared" si="8"/>
        <v>0</v>
      </c>
      <c r="U141" s="11">
        <f t="shared" si="9"/>
        <v>0</v>
      </c>
    </row>
    <row r="142" spans="1:21" x14ac:dyDescent="0.35">
      <c r="A142" s="10" t="s">
        <v>282</v>
      </c>
      <c r="B142" s="2" t="s">
        <v>11</v>
      </c>
      <c r="C142" s="5">
        <f>SUMIFS(DETAY!C:C,DETAY!A:A,'DETAY-yaslandırma'!A142,DETAY!B:B,'DETAY-yaslandırma'!B142)</f>
        <v>0</v>
      </c>
      <c r="D142" s="5">
        <f>SUMIFS(ham_data!AB:AB,ham_data!$J:$J,'DETAY-yaslandırma'!$B142,ham_data!$E:$E,'DETAY-yaslandırma'!$A142)</f>
        <v>0</v>
      </c>
      <c r="E142" s="5">
        <f>SUMIFS(ham_data!AC:AC,ham_data!$J:$J,'DETAY-yaslandırma'!$B142,ham_data!$E:$E,'DETAY-yaslandırma'!$A142)</f>
        <v>0</v>
      </c>
      <c r="F142" s="5">
        <f>SUMIFS(ham_data!AD:AD,ham_data!$J:$J,'DETAY-yaslandırma'!$B142,ham_data!$E:$E,'DETAY-yaslandırma'!$A142)</f>
        <v>0</v>
      </c>
      <c r="G142" s="5">
        <f>SUMIFS(ham_data!AE:AE,ham_data!$J:$J,'DETAY-yaslandırma'!$B142,ham_data!$E:$E,'DETAY-yaslandırma'!$A142)</f>
        <v>0</v>
      </c>
      <c r="H142" s="5">
        <f>SUMIFS(ham_data!AF:AF,ham_data!$J:$J,'DETAY-yaslandırma'!$B142,ham_data!$E:$E,'DETAY-yaslandırma'!$A142)</f>
        <v>0</v>
      </c>
      <c r="I142" s="5">
        <f>SUMIFS(ham_data!AG:AG,ham_data!$J:$J,'DETAY-yaslandırma'!$B142,ham_data!$E:$E,'DETAY-yaslandırma'!$A142)</f>
        <v>0</v>
      </c>
      <c r="J142" s="5">
        <f>SUMIFS(ham_data!AH:AH,ham_data!$J:$J,'DETAY-yaslandırma'!$B142,ham_data!$E:$E,'DETAY-yaslandırma'!$A142)</f>
        <v>0</v>
      </c>
      <c r="K142" s="7">
        <f>SUMIFS(DETAY!D:D,DETAY!A:A,'DETAY-yaslandırma'!A142,DETAY!B:B,'DETAY-yaslandırma'!B142)</f>
        <v>0</v>
      </c>
      <c r="L142" s="7">
        <f>SUMIFS(ham_data!U:U,ham_data!$J:$J,'DETAY-yaslandırma'!$B142,ham_data!$E:$E,'DETAY-yaslandırma'!$A142)</f>
        <v>0</v>
      </c>
      <c r="M142" s="7">
        <f>SUMIFS(ham_data!V:V,ham_data!$J:$J,'DETAY-yaslandırma'!$B142,ham_data!$E:$E,'DETAY-yaslandırma'!$A142)</f>
        <v>0</v>
      </c>
      <c r="N142" s="7">
        <f>SUMIFS(ham_data!W:W,ham_data!$J:$J,'DETAY-yaslandırma'!$B142,ham_data!$E:$E,'DETAY-yaslandırma'!$A142)</f>
        <v>0</v>
      </c>
      <c r="O142" s="7">
        <f>SUMIFS(ham_data!X:X,ham_data!$J:$J,'DETAY-yaslandırma'!$B142,ham_data!$E:$E,'DETAY-yaslandırma'!$A142)</f>
        <v>0</v>
      </c>
      <c r="P142" s="7">
        <f>SUMIFS(ham_data!Y:Y,ham_data!$J:$J,'DETAY-yaslandırma'!$B142,ham_data!$E:$E,'DETAY-yaslandırma'!$A142)</f>
        <v>0</v>
      </c>
      <c r="Q142" s="7">
        <f>SUMIFS(ham_data!Z:Z,ham_data!$J:$J,'DETAY-yaslandırma'!$B142,ham_data!$E:$E,'DETAY-yaslandırma'!$A142)</f>
        <v>0</v>
      </c>
      <c r="R142" s="7">
        <f>SUMIFS(ham_data!AA:AA,ham_data!$J:$J,'DETAY-yaslandırma'!$B142,ham_data!$E:$E,'DETAY-yaslandırma'!$A142)</f>
        <v>0</v>
      </c>
      <c r="S142" s="3">
        <f>SUMIFS(DETAY!E:E,DETAY!A:A,'DETAY-yaslandırma'!A142,DETAY!B:B,'DETAY-yaslandırma'!B142)</f>
        <v>0</v>
      </c>
      <c r="T142" s="3">
        <f t="shared" si="8"/>
        <v>0</v>
      </c>
      <c r="U142" s="11">
        <f t="shared" si="9"/>
        <v>0</v>
      </c>
    </row>
    <row r="143" spans="1:21" x14ac:dyDescent="0.35">
      <c r="A143" s="10" t="s">
        <v>283</v>
      </c>
      <c r="B143" s="2" t="s">
        <v>37</v>
      </c>
      <c r="C143" s="5">
        <f>SUMIFS(DETAY!C:C,DETAY!A:A,'DETAY-yaslandırma'!A143,DETAY!B:B,'DETAY-yaslandırma'!B143)</f>
        <v>0</v>
      </c>
      <c r="D143" s="5">
        <f>SUMIFS(ham_data!AB:AB,ham_data!$J:$J,'DETAY-yaslandırma'!$B143,ham_data!$E:$E,'DETAY-yaslandırma'!$A143)</f>
        <v>0</v>
      </c>
      <c r="E143" s="5">
        <f>SUMIFS(ham_data!AC:AC,ham_data!$J:$J,'DETAY-yaslandırma'!$B143,ham_data!$E:$E,'DETAY-yaslandırma'!$A143)</f>
        <v>0</v>
      </c>
      <c r="F143" s="5">
        <f>SUMIFS(ham_data!AD:AD,ham_data!$J:$J,'DETAY-yaslandırma'!$B143,ham_data!$E:$E,'DETAY-yaslandırma'!$A143)</f>
        <v>0</v>
      </c>
      <c r="G143" s="5">
        <f>SUMIFS(ham_data!AE:AE,ham_data!$J:$J,'DETAY-yaslandırma'!$B143,ham_data!$E:$E,'DETAY-yaslandırma'!$A143)</f>
        <v>0</v>
      </c>
      <c r="H143" s="5">
        <f>SUMIFS(ham_data!AF:AF,ham_data!$J:$J,'DETAY-yaslandırma'!$B143,ham_data!$E:$E,'DETAY-yaslandırma'!$A143)</f>
        <v>0</v>
      </c>
      <c r="I143" s="5">
        <f>SUMIFS(ham_data!AG:AG,ham_data!$J:$J,'DETAY-yaslandırma'!$B143,ham_data!$E:$E,'DETAY-yaslandırma'!$A143)</f>
        <v>0</v>
      </c>
      <c r="J143" s="5">
        <f>SUMIFS(ham_data!AH:AH,ham_data!$J:$J,'DETAY-yaslandırma'!$B143,ham_data!$E:$E,'DETAY-yaslandırma'!$A143)</f>
        <v>0</v>
      </c>
      <c r="K143" s="7">
        <f>SUMIFS(DETAY!D:D,DETAY!A:A,'DETAY-yaslandırma'!A143,DETAY!B:B,'DETAY-yaslandırma'!B143)</f>
        <v>0</v>
      </c>
      <c r="L143" s="7">
        <f>SUMIFS(ham_data!U:U,ham_data!$J:$J,'DETAY-yaslandırma'!$B143,ham_data!$E:$E,'DETAY-yaslandırma'!$A143)</f>
        <v>0</v>
      </c>
      <c r="M143" s="7">
        <f>SUMIFS(ham_data!V:V,ham_data!$J:$J,'DETAY-yaslandırma'!$B143,ham_data!$E:$E,'DETAY-yaslandırma'!$A143)</f>
        <v>0</v>
      </c>
      <c r="N143" s="7">
        <f>SUMIFS(ham_data!W:W,ham_data!$J:$J,'DETAY-yaslandırma'!$B143,ham_data!$E:$E,'DETAY-yaslandırma'!$A143)</f>
        <v>0</v>
      </c>
      <c r="O143" s="7">
        <f>SUMIFS(ham_data!X:X,ham_data!$J:$J,'DETAY-yaslandırma'!$B143,ham_data!$E:$E,'DETAY-yaslandırma'!$A143)</f>
        <v>0</v>
      </c>
      <c r="P143" s="7">
        <f>SUMIFS(ham_data!Y:Y,ham_data!$J:$J,'DETAY-yaslandırma'!$B143,ham_data!$E:$E,'DETAY-yaslandırma'!$A143)</f>
        <v>0</v>
      </c>
      <c r="Q143" s="7">
        <f>SUMIFS(ham_data!Z:Z,ham_data!$J:$J,'DETAY-yaslandırma'!$B143,ham_data!$E:$E,'DETAY-yaslandırma'!$A143)</f>
        <v>0</v>
      </c>
      <c r="R143" s="7">
        <f>SUMIFS(ham_data!AA:AA,ham_data!$J:$J,'DETAY-yaslandırma'!$B143,ham_data!$E:$E,'DETAY-yaslandırma'!$A143)</f>
        <v>0</v>
      </c>
      <c r="S143" s="3">
        <f>SUMIFS(DETAY!E:E,DETAY!A:A,'DETAY-yaslandırma'!A143,DETAY!B:B,'DETAY-yaslandırma'!B143)</f>
        <v>0</v>
      </c>
      <c r="T143" s="3">
        <f t="shared" si="8"/>
        <v>0</v>
      </c>
      <c r="U143" s="11">
        <f t="shared" si="9"/>
        <v>0</v>
      </c>
    </row>
    <row r="144" spans="1:21" x14ac:dyDescent="0.35">
      <c r="A144" s="10" t="s">
        <v>284</v>
      </c>
      <c r="B144" s="2" t="s">
        <v>11</v>
      </c>
      <c r="C144" s="5">
        <f>SUMIFS(DETAY!C:C,DETAY!A:A,'DETAY-yaslandırma'!A144,DETAY!B:B,'DETAY-yaslandırma'!B144)</f>
        <v>0</v>
      </c>
      <c r="D144" s="5">
        <f>SUMIFS(ham_data!AB:AB,ham_data!$J:$J,'DETAY-yaslandırma'!$B144,ham_data!$E:$E,'DETAY-yaslandırma'!$A144)</f>
        <v>0</v>
      </c>
      <c r="E144" s="5">
        <f>SUMIFS(ham_data!AC:AC,ham_data!$J:$J,'DETAY-yaslandırma'!$B144,ham_data!$E:$E,'DETAY-yaslandırma'!$A144)</f>
        <v>0</v>
      </c>
      <c r="F144" s="5">
        <f>SUMIFS(ham_data!AD:AD,ham_data!$J:$J,'DETAY-yaslandırma'!$B144,ham_data!$E:$E,'DETAY-yaslandırma'!$A144)</f>
        <v>0</v>
      </c>
      <c r="G144" s="5">
        <f>SUMIFS(ham_data!AE:AE,ham_data!$J:$J,'DETAY-yaslandırma'!$B144,ham_data!$E:$E,'DETAY-yaslandırma'!$A144)</f>
        <v>0</v>
      </c>
      <c r="H144" s="5">
        <f>SUMIFS(ham_data!AF:AF,ham_data!$J:$J,'DETAY-yaslandırma'!$B144,ham_data!$E:$E,'DETAY-yaslandırma'!$A144)</f>
        <v>0</v>
      </c>
      <c r="I144" s="5">
        <f>SUMIFS(ham_data!AG:AG,ham_data!$J:$J,'DETAY-yaslandırma'!$B144,ham_data!$E:$E,'DETAY-yaslandırma'!$A144)</f>
        <v>0</v>
      </c>
      <c r="J144" s="5">
        <f>SUMIFS(ham_data!AH:AH,ham_data!$J:$J,'DETAY-yaslandırma'!$B144,ham_data!$E:$E,'DETAY-yaslandırma'!$A144)</f>
        <v>0</v>
      </c>
      <c r="K144" s="7">
        <f>SUMIFS(DETAY!D:D,DETAY!A:A,'DETAY-yaslandırma'!A144,DETAY!B:B,'DETAY-yaslandırma'!B144)</f>
        <v>0</v>
      </c>
      <c r="L144" s="7">
        <f>SUMIFS(ham_data!U:U,ham_data!$J:$J,'DETAY-yaslandırma'!$B144,ham_data!$E:$E,'DETAY-yaslandırma'!$A144)</f>
        <v>0</v>
      </c>
      <c r="M144" s="7">
        <f>SUMIFS(ham_data!V:V,ham_data!$J:$J,'DETAY-yaslandırma'!$B144,ham_data!$E:$E,'DETAY-yaslandırma'!$A144)</f>
        <v>0</v>
      </c>
      <c r="N144" s="7">
        <f>SUMIFS(ham_data!W:W,ham_data!$J:$J,'DETAY-yaslandırma'!$B144,ham_data!$E:$E,'DETAY-yaslandırma'!$A144)</f>
        <v>0</v>
      </c>
      <c r="O144" s="7">
        <f>SUMIFS(ham_data!X:X,ham_data!$J:$J,'DETAY-yaslandırma'!$B144,ham_data!$E:$E,'DETAY-yaslandırma'!$A144)</f>
        <v>0</v>
      </c>
      <c r="P144" s="7">
        <f>SUMIFS(ham_data!Y:Y,ham_data!$J:$J,'DETAY-yaslandırma'!$B144,ham_data!$E:$E,'DETAY-yaslandırma'!$A144)</f>
        <v>0</v>
      </c>
      <c r="Q144" s="7">
        <f>SUMIFS(ham_data!Z:Z,ham_data!$J:$J,'DETAY-yaslandırma'!$B144,ham_data!$E:$E,'DETAY-yaslandırma'!$A144)</f>
        <v>0</v>
      </c>
      <c r="R144" s="7">
        <f>SUMIFS(ham_data!AA:AA,ham_data!$J:$J,'DETAY-yaslandırma'!$B144,ham_data!$E:$E,'DETAY-yaslandırma'!$A144)</f>
        <v>0</v>
      </c>
      <c r="S144" s="3">
        <f>SUMIFS(DETAY!E:E,DETAY!A:A,'DETAY-yaslandırma'!A144,DETAY!B:B,'DETAY-yaslandırma'!B144)</f>
        <v>0</v>
      </c>
      <c r="T144" s="3">
        <f t="shared" si="8"/>
        <v>0</v>
      </c>
      <c r="U144" s="11">
        <f t="shared" si="9"/>
        <v>0</v>
      </c>
    </row>
    <row r="145" spans="1:21" x14ac:dyDescent="0.35">
      <c r="A145" s="10" t="s">
        <v>143</v>
      </c>
      <c r="B145" s="2" t="s">
        <v>11</v>
      </c>
      <c r="C145" s="5">
        <f>SUMIFS(DETAY!C:C,DETAY!A:A,'DETAY-yaslandırma'!A145,DETAY!B:B,'DETAY-yaslandırma'!B145)</f>
        <v>0</v>
      </c>
      <c r="D145" s="5">
        <f>SUMIFS(ham_data!AB:AB,ham_data!$J:$J,'DETAY-yaslandırma'!$B145,ham_data!$E:$E,'DETAY-yaslandırma'!$A145)</f>
        <v>0</v>
      </c>
      <c r="E145" s="5">
        <f>SUMIFS(ham_data!AC:AC,ham_data!$J:$J,'DETAY-yaslandırma'!$B145,ham_data!$E:$E,'DETAY-yaslandırma'!$A145)</f>
        <v>0</v>
      </c>
      <c r="F145" s="5">
        <f>SUMIFS(ham_data!AD:AD,ham_data!$J:$J,'DETAY-yaslandırma'!$B145,ham_data!$E:$E,'DETAY-yaslandırma'!$A145)</f>
        <v>0</v>
      </c>
      <c r="G145" s="5">
        <f>SUMIFS(ham_data!AE:AE,ham_data!$J:$J,'DETAY-yaslandırma'!$B145,ham_data!$E:$E,'DETAY-yaslandırma'!$A145)</f>
        <v>0</v>
      </c>
      <c r="H145" s="5">
        <f>SUMIFS(ham_data!AF:AF,ham_data!$J:$J,'DETAY-yaslandırma'!$B145,ham_data!$E:$E,'DETAY-yaslandırma'!$A145)</f>
        <v>0</v>
      </c>
      <c r="I145" s="5">
        <f>SUMIFS(ham_data!AG:AG,ham_data!$J:$J,'DETAY-yaslandırma'!$B145,ham_data!$E:$E,'DETAY-yaslandırma'!$A145)</f>
        <v>0</v>
      </c>
      <c r="J145" s="5">
        <f>SUMIFS(ham_data!AH:AH,ham_data!$J:$J,'DETAY-yaslandırma'!$B145,ham_data!$E:$E,'DETAY-yaslandırma'!$A145)</f>
        <v>0</v>
      </c>
      <c r="K145" s="7">
        <f>SUMIFS(DETAY!D:D,DETAY!A:A,'DETAY-yaslandırma'!A145,DETAY!B:B,'DETAY-yaslandırma'!B145)</f>
        <v>0</v>
      </c>
      <c r="L145" s="7">
        <f>SUMIFS(ham_data!U:U,ham_data!$J:$J,'DETAY-yaslandırma'!$B145,ham_data!$E:$E,'DETAY-yaslandırma'!$A145)</f>
        <v>0</v>
      </c>
      <c r="M145" s="7">
        <f>SUMIFS(ham_data!V:V,ham_data!$J:$J,'DETAY-yaslandırma'!$B145,ham_data!$E:$E,'DETAY-yaslandırma'!$A145)</f>
        <v>0</v>
      </c>
      <c r="N145" s="7">
        <f>SUMIFS(ham_data!W:W,ham_data!$J:$J,'DETAY-yaslandırma'!$B145,ham_data!$E:$E,'DETAY-yaslandırma'!$A145)</f>
        <v>0</v>
      </c>
      <c r="O145" s="7">
        <f>SUMIFS(ham_data!X:X,ham_data!$J:$J,'DETAY-yaslandırma'!$B145,ham_data!$E:$E,'DETAY-yaslandırma'!$A145)</f>
        <v>0</v>
      </c>
      <c r="P145" s="7">
        <f>SUMIFS(ham_data!Y:Y,ham_data!$J:$J,'DETAY-yaslandırma'!$B145,ham_data!$E:$E,'DETAY-yaslandırma'!$A145)</f>
        <v>0</v>
      </c>
      <c r="Q145" s="7">
        <f>SUMIFS(ham_data!Z:Z,ham_data!$J:$J,'DETAY-yaslandırma'!$B145,ham_data!$E:$E,'DETAY-yaslandırma'!$A145)</f>
        <v>0</v>
      </c>
      <c r="R145" s="7">
        <f>SUMIFS(ham_data!AA:AA,ham_data!$J:$J,'DETAY-yaslandırma'!$B145,ham_data!$E:$E,'DETAY-yaslandırma'!$A145)</f>
        <v>0</v>
      </c>
      <c r="S145" s="3">
        <f>SUMIFS(DETAY!E:E,DETAY!A:A,'DETAY-yaslandırma'!A145,DETAY!B:B,'DETAY-yaslandırma'!B145)</f>
        <v>0</v>
      </c>
      <c r="T145" s="3">
        <f t="shared" si="8"/>
        <v>0</v>
      </c>
      <c r="U145" s="11">
        <f t="shared" si="9"/>
        <v>0</v>
      </c>
    </row>
    <row r="146" spans="1:21" x14ac:dyDescent="0.35">
      <c r="A146" s="10" t="s">
        <v>285</v>
      </c>
      <c r="B146" s="2" t="s">
        <v>11</v>
      </c>
      <c r="C146" s="5">
        <f>SUMIFS(DETAY!C:C,DETAY!A:A,'DETAY-yaslandırma'!A146,DETAY!B:B,'DETAY-yaslandırma'!B146)</f>
        <v>0</v>
      </c>
      <c r="D146" s="5">
        <f>SUMIFS(ham_data!AB:AB,ham_data!$J:$J,'DETAY-yaslandırma'!$B146,ham_data!$E:$E,'DETAY-yaslandırma'!$A146)</f>
        <v>0</v>
      </c>
      <c r="E146" s="5">
        <f>SUMIFS(ham_data!AC:AC,ham_data!$J:$J,'DETAY-yaslandırma'!$B146,ham_data!$E:$E,'DETAY-yaslandırma'!$A146)</f>
        <v>0</v>
      </c>
      <c r="F146" s="5">
        <f>SUMIFS(ham_data!AD:AD,ham_data!$J:$J,'DETAY-yaslandırma'!$B146,ham_data!$E:$E,'DETAY-yaslandırma'!$A146)</f>
        <v>0</v>
      </c>
      <c r="G146" s="5">
        <f>SUMIFS(ham_data!AE:AE,ham_data!$J:$J,'DETAY-yaslandırma'!$B146,ham_data!$E:$E,'DETAY-yaslandırma'!$A146)</f>
        <v>0</v>
      </c>
      <c r="H146" s="5">
        <f>SUMIFS(ham_data!AF:AF,ham_data!$J:$J,'DETAY-yaslandırma'!$B146,ham_data!$E:$E,'DETAY-yaslandırma'!$A146)</f>
        <v>0</v>
      </c>
      <c r="I146" s="5">
        <f>SUMIFS(ham_data!AG:AG,ham_data!$J:$J,'DETAY-yaslandırma'!$B146,ham_data!$E:$E,'DETAY-yaslandırma'!$A146)</f>
        <v>0</v>
      </c>
      <c r="J146" s="5">
        <f>SUMIFS(ham_data!AH:AH,ham_data!$J:$J,'DETAY-yaslandırma'!$B146,ham_data!$E:$E,'DETAY-yaslandırma'!$A146)</f>
        <v>0</v>
      </c>
      <c r="K146" s="7">
        <f>SUMIFS(DETAY!D:D,DETAY!A:A,'DETAY-yaslandırma'!A146,DETAY!B:B,'DETAY-yaslandırma'!B146)</f>
        <v>0</v>
      </c>
      <c r="L146" s="7">
        <f>SUMIFS(ham_data!U:U,ham_data!$J:$J,'DETAY-yaslandırma'!$B146,ham_data!$E:$E,'DETAY-yaslandırma'!$A146)</f>
        <v>0</v>
      </c>
      <c r="M146" s="7">
        <f>SUMIFS(ham_data!V:V,ham_data!$J:$J,'DETAY-yaslandırma'!$B146,ham_data!$E:$E,'DETAY-yaslandırma'!$A146)</f>
        <v>0</v>
      </c>
      <c r="N146" s="7">
        <f>SUMIFS(ham_data!W:W,ham_data!$J:$J,'DETAY-yaslandırma'!$B146,ham_data!$E:$E,'DETAY-yaslandırma'!$A146)</f>
        <v>0</v>
      </c>
      <c r="O146" s="7">
        <f>SUMIFS(ham_data!X:X,ham_data!$J:$J,'DETAY-yaslandırma'!$B146,ham_data!$E:$E,'DETAY-yaslandırma'!$A146)</f>
        <v>0</v>
      </c>
      <c r="P146" s="7">
        <f>SUMIFS(ham_data!Y:Y,ham_data!$J:$J,'DETAY-yaslandırma'!$B146,ham_data!$E:$E,'DETAY-yaslandırma'!$A146)</f>
        <v>0</v>
      </c>
      <c r="Q146" s="7">
        <f>SUMIFS(ham_data!Z:Z,ham_data!$J:$J,'DETAY-yaslandırma'!$B146,ham_data!$E:$E,'DETAY-yaslandırma'!$A146)</f>
        <v>0</v>
      </c>
      <c r="R146" s="7">
        <f>SUMIFS(ham_data!AA:AA,ham_data!$J:$J,'DETAY-yaslandırma'!$B146,ham_data!$E:$E,'DETAY-yaslandırma'!$A146)</f>
        <v>0</v>
      </c>
      <c r="S146" s="3">
        <f>SUMIFS(DETAY!E:E,DETAY!A:A,'DETAY-yaslandırma'!A146,DETAY!B:B,'DETAY-yaslandırma'!B146)</f>
        <v>0</v>
      </c>
      <c r="T146" s="3">
        <f t="shared" si="8"/>
        <v>0</v>
      </c>
      <c r="U146" s="11">
        <f t="shared" si="9"/>
        <v>0</v>
      </c>
    </row>
    <row r="147" spans="1:21" x14ac:dyDescent="0.35">
      <c r="A147" s="10" t="s">
        <v>286</v>
      </c>
      <c r="B147" s="2" t="s">
        <v>11</v>
      </c>
      <c r="C147" s="5">
        <f>SUMIFS(DETAY!C:C,DETAY!A:A,'DETAY-yaslandırma'!A147,DETAY!B:B,'DETAY-yaslandırma'!B147)</f>
        <v>0</v>
      </c>
      <c r="D147" s="5">
        <f>SUMIFS(ham_data!AB:AB,ham_data!$J:$J,'DETAY-yaslandırma'!$B147,ham_data!$E:$E,'DETAY-yaslandırma'!$A147)</f>
        <v>0</v>
      </c>
      <c r="E147" s="5">
        <f>SUMIFS(ham_data!AC:AC,ham_data!$J:$J,'DETAY-yaslandırma'!$B147,ham_data!$E:$E,'DETAY-yaslandırma'!$A147)</f>
        <v>0</v>
      </c>
      <c r="F147" s="5">
        <f>SUMIFS(ham_data!AD:AD,ham_data!$J:$J,'DETAY-yaslandırma'!$B147,ham_data!$E:$E,'DETAY-yaslandırma'!$A147)</f>
        <v>0</v>
      </c>
      <c r="G147" s="5">
        <f>SUMIFS(ham_data!AE:AE,ham_data!$J:$J,'DETAY-yaslandırma'!$B147,ham_data!$E:$E,'DETAY-yaslandırma'!$A147)</f>
        <v>0</v>
      </c>
      <c r="H147" s="5">
        <f>SUMIFS(ham_data!AF:AF,ham_data!$J:$J,'DETAY-yaslandırma'!$B147,ham_data!$E:$E,'DETAY-yaslandırma'!$A147)</f>
        <v>0</v>
      </c>
      <c r="I147" s="5">
        <f>SUMIFS(ham_data!AG:AG,ham_data!$J:$J,'DETAY-yaslandırma'!$B147,ham_data!$E:$E,'DETAY-yaslandırma'!$A147)</f>
        <v>0</v>
      </c>
      <c r="J147" s="5">
        <f>SUMIFS(ham_data!AH:AH,ham_data!$J:$J,'DETAY-yaslandırma'!$B147,ham_data!$E:$E,'DETAY-yaslandırma'!$A147)</f>
        <v>0</v>
      </c>
      <c r="K147" s="7">
        <f>SUMIFS(DETAY!D:D,DETAY!A:A,'DETAY-yaslandırma'!A147,DETAY!B:B,'DETAY-yaslandırma'!B147)</f>
        <v>0</v>
      </c>
      <c r="L147" s="7">
        <f>SUMIFS(ham_data!U:U,ham_data!$J:$J,'DETAY-yaslandırma'!$B147,ham_data!$E:$E,'DETAY-yaslandırma'!$A147)</f>
        <v>0</v>
      </c>
      <c r="M147" s="7">
        <f>SUMIFS(ham_data!V:V,ham_data!$J:$J,'DETAY-yaslandırma'!$B147,ham_data!$E:$E,'DETAY-yaslandırma'!$A147)</f>
        <v>0</v>
      </c>
      <c r="N147" s="7">
        <f>SUMIFS(ham_data!W:W,ham_data!$J:$J,'DETAY-yaslandırma'!$B147,ham_data!$E:$E,'DETAY-yaslandırma'!$A147)</f>
        <v>0</v>
      </c>
      <c r="O147" s="7">
        <f>SUMIFS(ham_data!X:X,ham_data!$J:$J,'DETAY-yaslandırma'!$B147,ham_data!$E:$E,'DETAY-yaslandırma'!$A147)</f>
        <v>0</v>
      </c>
      <c r="P147" s="7">
        <f>SUMIFS(ham_data!Y:Y,ham_data!$J:$J,'DETAY-yaslandırma'!$B147,ham_data!$E:$E,'DETAY-yaslandırma'!$A147)</f>
        <v>0</v>
      </c>
      <c r="Q147" s="7">
        <f>SUMIFS(ham_data!Z:Z,ham_data!$J:$J,'DETAY-yaslandırma'!$B147,ham_data!$E:$E,'DETAY-yaslandırma'!$A147)</f>
        <v>0</v>
      </c>
      <c r="R147" s="7">
        <f>SUMIFS(ham_data!AA:AA,ham_data!$J:$J,'DETAY-yaslandırma'!$B147,ham_data!$E:$E,'DETAY-yaslandırma'!$A147)</f>
        <v>0</v>
      </c>
      <c r="S147" s="3">
        <f>SUMIFS(DETAY!E:E,DETAY!A:A,'DETAY-yaslandırma'!A147,DETAY!B:B,'DETAY-yaslandırma'!B147)</f>
        <v>0</v>
      </c>
      <c r="T147" s="3">
        <f t="shared" si="8"/>
        <v>0</v>
      </c>
      <c r="U147" s="11">
        <f t="shared" si="9"/>
        <v>0</v>
      </c>
    </row>
    <row r="148" spans="1:21" x14ac:dyDescent="0.35">
      <c r="A148" s="10" t="s">
        <v>287</v>
      </c>
      <c r="B148" s="2" t="s">
        <v>37</v>
      </c>
      <c r="C148" s="5">
        <f>SUMIFS(DETAY!C:C,DETAY!A:A,'DETAY-yaslandırma'!A148,DETAY!B:B,'DETAY-yaslandırma'!B148)</f>
        <v>0</v>
      </c>
      <c r="D148" s="5">
        <f>SUMIFS(ham_data!AB:AB,ham_data!$J:$J,'DETAY-yaslandırma'!$B148,ham_data!$E:$E,'DETAY-yaslandırma'!$A148)</f>
        <v>0</v>
      </c>
      <c r="E148" s="5">
        <f>SUMIFS(ham_data!AC:AC,ham_data!$J:$J,'DETAY-yaslandırma'!$B148,ham_data!$E:$E,'DETAY-yaslandırma'!$A148)</f>
        <v>0</v>
      </c>
      <c r="F148" s="5">
        <f>SUMIFS(ham_data!AD:AD,ham_data!$J:$J,'DETAY-yaslandırma'!$B148,ham_data!$E:$E,'DETAY-yaslandırma'!$A148)</f>
        <v>0</v>
      </c>
      <c r="G148" s="5">
        <f>SUMIFS(ham_data!AE:AE,ham_data!$J:$J,'DETAY-yaslandırma'!$B148,ham_data!$E:$E,'DETAY-yaslandırma'!$A148)</f>
        <v>0</v>
      </c>
      <c r="H148" s="5">
        <f>SUMIFS(ham_data!AF:AF,ham_data!$J:$J,'DETAY-yaslandırma'!$B148,ham_data!$E:$E,'DETAY-yaslandırma'!$A148)</f>
        <v>0</v>
      </c>
      <c r="I148" s="5">
        <f>SUMIFS(ham_data!AG:AG,ham_data!$J:$J,'DETAY-yaslandırma'!$B148,ham_data!$E:$E,'DETAY-yaslandırma'!$A148)</f>
        <v>0</v>
      </c>
      <c r="J148" s="5">
        <f>SUMIFS(ham_data!AH:AH,ham_data!$J:$J,'DETAY-yaslandırma'!$B148,ham_data!$E:$E,'DETAY-yaslandırma'!$A148)</f>
        <v>0</v>
      </c>
      <c r="K148" s="7">
        <f>SUMIFS(DETAY!D:D,DETAY!A:A,'DETAY-yaslandırma'!A148,DETAY!B:B,'DETAY-yaslandırma'!B148)</f>
        <v>0</v>
      </c>
      <c r="L148" s="7">
        <f>SUMIFS(ham_data!U:U,ham_data!$J:$J,'DETAY-yaslandırma'!$B148,ham_data!$E:$E,'DETAY-yaslandırma'!$A148)</f>
        <v>0</v>
      </c>
      <c r="M148" s="7">
        <f>SUMIFS(ham_data!V:V,ham_data!$J:$J,'DETAY-yaslandırma'!$B148,ham_data!$E:$E,'DETAY-yaslandırma'!$A148)</f>
        <v>0</v>
      </c>
      <c r="N148" s="7">
        <f>SUMIFS(ham_data!W:W,ham_data!$J:$J,'DETAY-yaslandırma'!$B148,ham_data!$E:$E,'DETAY-yaslandırma'!$A148)</f>
        <v>0</v>
      </c>
      <c r="O148" s="7">
        <f>SUMIFS(ham_data!X:X,ham_data!$J:$J,'DETAY-yaslandırma'!$B148,ham_data!$E:$E,'DETAY-yaslandırma'!$A148)</f>
        <v>0</v>
      </c>
      <c r="P148" s="7">
        <f>SUMIFS(ham_data!Y:Y,ham_data!$J:$J,'DETAY-yaslandırma'!$B148,ham_data!$E:$E,'DETAY-yaslandırma'!$A148)</f>
        <v>0</v>
      </c>
      <c r="Q148" s="7">
        <f>SUMIFS(ham_data!Z:Z,ham_data!$J:$J,'DETAY-yaslandırma'!$B148,ham_data!$E:$E,'DETAY-yaslandırma'!$A148)</f>
        <v>0</v>
      </c>
      <c r="R148" s="7">
        <f>SUMIFS(ham_data!AA:AA,ham_data!$J:$J,'DETAY-yaslandırma'!$B148,ham_data!$E:$E,'DETAY-yaslandırma'!$A148)</f>
        <v>0</v>
      </c>
      <c r="S148" s="3">
        <f>SUMIFS(DETAY!E:E,DETAY!A:A,'DETAY-yaslandırma'!A148,DETAY!B:B,'DETAY-yaslandırma'!B148)</f>
        <v>0</v>
      </c>
      <c r="T148" s="3">
        <f t="shared" si="8"/>
        <v>0</v>
      </c>
      <c r="U148" s="11">
        <f t="shared" si="9"/>
        <v>0</v>
      </c>
    </row>
    <row r="149" spans="1:21" x14ac:dyDescent="0.35">
      <c r="A149" s="10" t="s">
        <v>290</v>
      </c>
      <c r="B149" s="2" t="s">
        <v>11</v>
      </c>
      <c r="C149" s="5">
        <f>SUMIFS(DETAY!C:C,DETAY!A:A,'DETAY-yaslandırma'!A149,DETAY!B:B,'DETAY-yaslandırma'!B149)</f>
        <v>0</v>
      </c>
      <c r="D149" s="5">
        <f>SUMIFS(ham_data!AB:AB,ham_data!$J:$J,'DETAY-yaslandırma'!$B149,ham_data!$E:$E,'DETAY-yaslandırma'!$A149)</f>
        <v>0</v>
      </c>
      <c r="E149" s="5">
        <f>SUMIFS(ham_data!AC:AC,ham_data!$J:$J,'DETAY-yaslandırma'!$B149,ham_data!$E:$E,'DETAY-yaslandırma'!$A149)</f>
        <v>0</v>
      </c>
      <c r="F149" s="5">
        <f>SUMIFS(ham_data!AD:AD,ham_data!$J:$J,'DETAY-yaslandırma'!$B149,ham_data!$E:$E,'DETAY-yaslandırma'!$A149)</f>
        <v>0</v>
      </c>
      <c r="G149" s="5">
        <f>SUMIFS(ham_data!AE:AE,ham_data!$J:$J,'DETAY-yaslandırma'!$B149,ham_data!$E:$E,'DETAY-yaslandırma'!$A149)</f>
        <v>0</v>
      </c>
      <c r="H149" s="5">
        <f>SUMIFS(ham_data!AF:AF,ham_data!$J:$J,'DETAY-yaslandırma'!$B149,ham_data!$E:$E,'DETAY-yaslandırma'!$A149)</f>
        <v>0</v>
      </c>
      <c r="I149" s="5">
        <f>SUMIFS(ham_data!AG:AG,ham_data!$J:$J,'DETAY-yaslandırma'!$B149,ham_data!$E:$E,'DETAY-yaslandırma'!$A149)</f>
        <v>0</v>
      </c>
      <c r="J149" s="5">
        <f>SUMIFS(ham_data!AH:AH,ham_data!$J:$J,'DETAY-yaslandırma'!$B149,ham_data!$E:$E,'DETAY-yaslandırma'!$A149)</f>
        <v>0</v>
      </c>
      <c r="K149" s="7">
        <f>SUMIFS(DETAY!D:D,DETAY!A:A,'DETAY-yaslandırma'!A149,DETAY!B:B,'DETAY-yaslandırma'!B149)</f>
        <v>0</v>
      </c>
      <c r="L149" s="7">
        <f>SUMIFS(ham_data!U:U,ham_data!$J:$J,'DETAY-yaslandırma'!$B149,ham_data!$E:$E,'DETAY-yaslandırma'!$A149)</f>
        <v>0</v>
      </c>
      <c r="M149" s="7">
        <f>SUMIFS(ham_data!V:V,ham_data!$J:$J,'DETAY-yaslandırma'!$B149,ham_data!$E:$E,'DETAY-yaslandırma'!$A149)</f>
        <v>0</v>
      </c>
      <c r="N149" s="7">
        <f>SUMIFS(ham_data!W:W,ham_data!$J:$J,'DETAY-yaslandırma'!$B149,ham_data!$E:$E,'DETAY-yaslandırma'!$A149)</f>
        <v>0</v>
      </c>
      <c r="O149" s="7">
        <f>SUMIFS(ham_data!X:X,ham_data!$J:$J,'DETAY-yaslandırma'!$B149,ham_data!$E:$E,'DETAY-yaslandırma'!$A149)</f>
        <v>0</v>
      </c>
      <c r="P149" s="7">
        <f>SUMIFS(ham_data!Y:Y,ham_data!$J:$J,'DETAY-yaslandırma'!$B149,ham_data!$E:$E,'DETAY-yaslandırma'!$A149)</f>
        <v>0</v>
      </c>
      <c r="Q149" s="7">
        <f>SUMIFS(ham_data!Z:Z,ham_data!$J:$J,'DETAY-yaslandırma'!$B149,ham_data!$E:$E,'DETAY-yaslandırma'!$A149)</f>
        <v>0</v>
      </c>
      <c r="R149" s="7">
        <f>SUMIFS(ham_data!AA:AA,ham_data!$J:$J,'DETAY-yaslandırma'!$B149,ham_data!$E:$E,'DETAY-yaslandırma'!$A149)</f>
        <v>0</v>
      </c>
      <c r="S149" s="3">
        <f>SUMIFS(DETAY!E:E,DETAY!A:A,'DETAY-yaslandırma'!A149,DETAY!B:B,'DETAY-yaslandırma'!B149)</f>
        <v>0</v>
      </c>
      <c r="T149" s="3">
        <f t="shared" si="8"/>
        <v>0</v>
      </c>
      <c r="U149" s="11">
        <f t="shared" si="9"/>
        <v>0</v>
      </c>
    </row>
    <row r="150" spans="1:21" x14ac:dyDescent="0.35">
      <c r="A150" s="10" t="s">
        <v>288</v>
      </c>
      <c r="B150" s="2" t="s">
        <v>11</v>
      </c>
      <c r="C150" s="5">
        <f>SUMIFS(DETAY!C:C,DETAY!A:A,'DETAY-yaslandırma'!A150,DETAY!B:B,'DETAY-yaslandırma'!B150)</f>
        <v>0</v>
      </c>
      <c r="D150" s="5">
        <f>SUMIFS(ham_data!AB:AB,ham_data!$J:$J,'DETAY-yaslandırma'!$B150,ham_data!$E:$E,'DETAY-yaslandırma'!$A150)</f>
        <v>0</v>
      </c>
      <c r="E150" s="5">
        <f>SUMIFS(ham_data!AC:AC,ham_data!$J:$J,'DETAY-yaslandırma'!$B150,ham_data!$E:$E,'DETAY-yaslandırma'!$A150)</f>
        <v>0</v>
      </c>
      <c r="F150" s="5">
        <f>SUMIFS(ham_data!AD:AD,ham_data!$J:$J,'DETAY-yaslandırma'!$B150,ham_data!$E:$E,'DETAY-yaslandırma'!$A150)</f>
        <v>0</v>
      </c>
      <c r="G150" s="5">
        <f>SUMIFS(ham_data!AE:AE,ham_data!$J:$J,'DETAY-yaslandırma'!$B150,ham_data!$E:$E,'DETAY-yaslandırma'!$A150)</f>
        <v>0</v>
      </c>
      <c r="H150" s="5">
        <f>SUMIFS(ham_data!AF:AF,ham_data!$J:$J,'DETAY-yaslandırma'!$B150,ham_data!$E:$E,'DETAY-yaslandırma'!$A150)</f>
        <v>0</v>
      </c>
      <c r="I150" s="5">
        <f>SUMIFS(ham_data!AG:AG,ham_data!$J:$J,'DETAY-yaslandırma'!$B150,ham_data!$E:$E,'DETAY-yaslandırma'!$A150)</f>
        <v>0</v>
      </c>
      <c r="J150" s="5">
        <f>SUMIFS(ham_data!AH:AH,ham_data!$J:$J,'DETAY-yaslandırma'!$B150,ham_data!$E:$E,'DETAY-yaslandırma'!$A150)</f>
        <v>0</v>
      </c>
      <c r="K150" s="7">
        <f>SUMIFS(DETAY!D:D,DETAY!A:A,'DETAY-yaslandırma'!A150,DETAY!B:B,'DETAY-yaslandırma'!B150)</f>
        <v>941437.45</v>
      </c>
      <c r="L150" s="7">
        <f>SUMIFS(ham_data!U:U,ham_data!$J:$J,'DETAY-yaslandırma'!$B150,ham_data!$E:$E,'DETAY-yaslandırma'!$A150)</f>
        <v>941437.45</v>
      </c>
      <c r="M150" s="7">
        <f>SUMIFS(ham_data!V:V,ham_data!$J:$J,'DETAY-yaslandırma'!$B150,ham_data!$E:$E,'DETAY-yaslandırma'!$A150)</f>
        <v>0</v>
      </c>
      <c r="N150" s="7">
        <f>SUMIFS(ham_data!W:W,ham_data!$J:$J,'DETAY-yaslandırma'!$B150,ham_data!$E:$E,'DETAY-yaslandırma'!$A150)</f>
        <v>0</v>
      </c>
      <c r="O150" s="7">
        <f>SUMIFS(ham_data!X:X,ham_data!$J:$J,'DETAY-yaslandırma'!$B150,ham_data!$E:$E,'DETAY-yaslandırma'!$A150)</f>
        <v>0</v>
      </c>
      <c r="P150" s="7">
        <f>SUMIFS(ham_data!Y:Y,ham_data!$J:$J,'DETAY-yaslandırma'!$B150,ham_data!$E:$E,'DETAY-yaslandırma'!$A150)</f>
        <v>0</v>
      </c>
      <c r="Q150" s="7">
        <f>SUMIFS(ham_data!Z:Z,ham_data!$J:$J,'DETAY-yaslandırma'!$B150,ham_data!$E:$E,'DETAY-yaslandırma'!$A150)</f>
        <v>0</v>
      </c>
      <c r="R150" s="7">
        <f>SUMIFS(ham_data!AA:AA,ham_data!$J:$J,'DETAY-yaslandırma'!$B150,ham_data!$E:$E,'DETAY-yaslandırma'!$A150)</f>
        <v>0</v>
      </c>
      <c r="S150" s="3">
        <f>SUMIFS(DETAY!E:E,DETAY!A:A,'DETAY-yaslandırma'!A150,DETAY!B:B,'DETAY-yaslandırma'!B150)</f>
        <v>941437.45</v>
      </c>
      <c r="T150" s="3">
        <f t="shared" si="8"/>
        <v>0</v>
      </c>
      <c r="U150" s="11">
        <f t="shared" si="9"/>
        <v>0</v>
      </c>
    </row>
    <row r="151" spans="1:21" x14ac:dyDescent="0.35">
      <c r="A151" s="10" t="s">
        <v>289</v>
      </c>
      <c r="B151" s="2" t="s">
        <v>11</v>
      </c>
      <c r="C151" s="5">
        <f>SUMIFS(DETAY!C:C,DETAY!A:A,'DETAY-yaslandırma'!A151,DETAY!B:B,'DETAY-yaslandırma'!B151)</f>
        <v>0</v>
      </c>
      <c r="D151" s="5">
        <f>SUMIFS(ham_data!AB:AB,ham_data!$J:$J,'DETAY-yaslandırma'!$B151,ham_data!$E:$E,'DETAY-yaslandırma'!$A151)</f>
        <v>0</v>
      </c>
      <c r="E151" s="5">
        <f>SUMIFS(ham_data!AC:AC,ham_data!$J:$J,'DETAY-yaslandırma'!$B151,ham_data!$E:$E,'DETAY-yaslandırma'!$A151)</f>
        <v>0</v>
      </c>
      <c r="F151" s="5">
        <f>SUMIFS(ham_data!AD:AD,ham_data!$J:$J,'DETAY-yaslandırma'!$B151,ham_data!$E:$E,'DETAY-yaslandırma'!$A151)</f>
        <v>0</v>
      </c>
      <c r="G151" s="5">
        <f>SUMIFS(ham_data!AE:AE,ham_data!$J:$J,'DETAY-yaslandırma'!$B151,ham_data!$E:$E,'DETAY-yaslandırma'!$A151)</f>
        <v>0</v>
      </c>
      <c r="H151" s="5">
        <f>SUMIFS(ham_data!AF:AF,ham_data!$J:$J,'DETAY-yaslandırma'!$B151,ham_data!$E:$E,'DETAY-yaslandırma'!$A151)</f>
        <v>0</v>
      </c>
      <c r="I151" s="5">
        <f>SUMIFS(ham_data!AG:AG,ham_data!$J:$J,'DETAY-yaslandırma'!$B151,ham_data!$E:$E,'DETAY-yaslandırma'!$A151)</f>
        <v>0</v>
      </c>
      <c r="J151" s="5">
        <f>SUMIFS(ham_data!AH:AH,ham_data!$J:$J,'DETAY-yaslandırma'!$B151,ham_data!$E:$E,'DETAY-yaslandırma'!$A151)</f>
        <v>0</v>
      </c>
      <c r="K151" s="7">
        <f>SUMIFS(DETAY!D:D,DETAY!A:A,'DETAY-yaslandırma'!A151,DETAY!B:B,'DETAY-yaslandırma'!B151)</f>
        <v>0</v>
      </c>
      <c r="L151" s="7">
        <f>SUMIFS(ham_data!U:U,ham_data!$J:$J,'DETAY-yaslandırma'!$B151,ham_data!$E:$E,'DETAY-yaslandırma'!$A151)</f>
        <v>0</v>
      </c>
      <c r="M151" s="7">
        <f>SUMIFS(ham_data!V:V,ham_data!$J:$J,'DETAY-yaslandırma'!$B151,ham_data!$E:$E,'DETAY-yaslandırma'!$A151)</f>
        <v>0</v>
      </c>
      <c r="N151" s="7">
        <f>SUMIFS(ham_data!W:W,ham_data!$J:$J,'DETAY-yaslandırma'!$B151,ham_data!$E:$E,'DETAY-yaslandırma'!$A151)</f>
        <v>0</v>
      </c>
      <c r="O151" s="7">
        <f>SUMIFS(ham_data!X:X,ham_data!$J:$J,'DETAY-yaslandırma'!$B151,ham_data!$E:$E,'DETAY-yaslandırma'!$A151)</f>
        <v>0</v>
      </c>
      <c r="P151" s="7">
        <f>SUMIFS(ham_data!Y:Y,ham_data!$J:$J,'DETAY-yaslandırma'!$B151,ham_data!$E:$E,'DETAY-yaslandırma'!$A151)</f>
        <v>0</v>
      </c>
      <c r="Q151" s="7">
        <f>SUMIFS(ham_data!Z:Z,ham_data!$J:$J,'DETAY-yaslandırma'!$B151,ham_data!$E:$E,'DETAY-yaslandırma'!$A151)</f>
        <v>0</v>
      </c>
      <c r="R151" s="7">
        <f>SUMIFS(ham_data!AA:AA,ham_data!$J:$J,'DETAY-yaslandırma'!$B151,ham_data!$E:$E,'DETAY-yaslandırma'!$A151)</f>
        <v>0</v>
      </c>
      <c r="S151" s="3">
        <f>SUMIFS(DETAY!E:E,DETAY!A:A,'DETAY-yaslandırma'!A151,DETAY!B:B,'DETAY-yaslandırma'!B151)</f>
        <v>0</v>
      </c>
      <c r="T151" s="3">
        <f t="shared" si="8"/>
        <v>0</v>
      </c>
      <c r="U151" s="11">
        <f t="shared" si="9"/>
        <v>0</v>
      </c>
    </row>
    <row r="152" spans="1:21" x14ac:dyDescent="0.35">
      <c r="A152" s="10" t="s">
        <v>296</v>
      </c>
      <c r="B152" s="2" t="s">
        <v>11</v>
      </c>
      <c r="C152" s="5">
        <f>SUMIFS(DETAY!C:C,DETAY!A:A,'DETAY-yaslandırma'!A152,DETAY!B:B,'DETAY-yaslandırma'!B152)</f>
        <v>0</v>
      </c>
      <c r="D152" s="5">
        <f>SUMIFS(ham_data!AB:AB,ham_data!$J:$J,'DETAY-yaslandırma'!$B152,ham_data!$E:$E,'DETAY-yaslandırma'!$A152)</f>
        <v>0</v>
      </c>
      <c r="E152" s="5">
        <f>SUMIFS(ham_data!AC:AC,ham_data!$J:$J,'DETAY-yaslandırma'!$B152,ham_data!$E:$E,'DETAY-yaslandırma'!$A152)</f>
        <v>0</v>
      </c>
      <c r="F152" s="5">
        <f>SUMIFS(ham_data!AD:AD,ham_data!$J:$J,'DETAY-yaslandırma'!$B152,ham_data!$E:$E,'DETAY-yaslandırma'!$A152)</f>
        <v>0</v>
      </c>
      <c r="G152" s="5">
        <f>SUMIFS(ham_data!AE:AE,ham_data!$J:$J,'DETAY-yaslandırma'!$B152,ham_data!$E:$E,'DETAY-yaslandırma'!$A152)</f>
        <v>0</v>
      </c>
      <c r="H152" s="5">
        <f>SUMIFS(ham_data!AF:AF,ham_data!$J:$J,'DETAY-yaslandırma'!$B152,ham_data!$E:$E,'DETAY-yaslandırma'!$A152)</f>
        <v>0</v>
      </c>
      <c r="I152" s="5">
        <f>SUMIFS(ham_data!AG:AG,ham_data!$J:$J,'DETAY-yaslandırma'!$B152,ham_data!$E:$E,'DETAY-yaslandırma'!$A152)</f>
        <v>0</v>
      </c>
      <c r="J152" s="5">
        <f>SUMIFS(ham_data!AH:AH,ham_data!$J:$J,'DETAY-yaslandırma'!$B152,ham_data!$E:$E,'DETAY-yaslandırma'!$A152)</f>
        <v>0</v>
      </c>
      <c r="K152" s="7">
        <f>SUMIFS(DETAY!D:D,DETAY!A:A,'DETAY-yaslandırma'!A152,DETAY!B:B,'DETAY-yaslandırma'!B152)</f>
        <v>0</v>
      </c>
      <c r="L152" s="7">
        <f>SUMIFS(ham_data!U:U,ham_data!$J:$J,'DETAY-yaslandırma'!$B152,ham_data!$E:$E,'DETAY-yaslandırma'!$A152)</f>
        <v>0</v>
      </c>
      <c r="M152" s="7">
        <f>SUMIFS(ham_data!V:V,ham_data!$J:$J,'DETAY-yaslandırma'!$B152,ham_data!$E:$E,'DETAY-yaslandırma'!$A152)</f>
        <v>0</v>
      </c>
      <c r="N152" s="7">
        <f>SUMIFS(ham_data!W:W,ham_data!$J:$J,'DETAY-yaslandırma'!$B152,ham_data!$E:$E,'DETAY-yaslandırma'!$A152)</f>
        <v>0</v>
      </c>
      <c r="O152" s="7">
        <f>SUMIFS(ham_data!X:X,ham_data!$J:$J,'DETAY-yaslandırma'!$B152,ham_data!$E:$E,'DETAY-yaslandırma'!$A152)</f>
        <v>0</v>
      </c>
      <c r="P152" s="7">
        <f>SUMIFS(ham_data!Y:Y,ham_data!$J:$J,'DETAY-yaslandırma'!$B152,ham_data!$E:$E,'DETAY-yaslandırma'!$A152)</f>
        <v>0</v>
      </c>
      <c r="Q152" s="7">
        <f>SUMIFS(ham_data!Z:Z,ham_data!$J:$J,'DETAY-yaslandırma'!$B152,ham_data!$E:$E,'DETAY-yaslandırma'!$A152)</f>
        <v>0</v>
      </c>
      <c r="R152" s="7">
        <f>SUMIFS(ham_data!AA:AA,ham_data!$J:$J,'DETAY-yaslandırma'!$B152,ham_data!$E:$E,'DETAY-yaslandırma'!$A152)</f>
        <v>0</v>
      </c>
      <c r="S152" s="3">
        <f>SUMIFS(DETAY!E:E,DETAY!A:A,'DETAY-yaslandırma'!A152,DETAY!B:B,'DETAY-yaslandırma'!B152)</f>
        <v>0</v>
      </c>
      <c r="T152" s="3">
        <f t="shared" si="8"/>
        <v>0</v>
      </c>
      <c r="U152" s="11">
        <f t="shared" si="9"/>
        <v>0</v>
      </c>
    </row>
    <row r="153" spans="1:21" x14ac:dyDescent="0.35">
      <c r="A153" s="10" t="s">
        <v>293</v>
      </c>
      <c r="B153" s="2" t="s">
        <v>19</v>
      </c>
      <c r="C153" s="5">
        <f>SUMIFS(DETAY!C:C,DETAY!A:A,'DETAY-yaslandırma'!A153,DETAY!B:B,'DETAY-yaslandırma'!B153)</f>
        <v>0</v>
      </c>
      <c r="D153" s="5">
        <f>SUMIFS(ham_data!AB:AB,ham_data!$J:$J,'DETAY-yaslandırma'!$B153,ham_data!$E:$E,'DETAY-yaslandırma'!$A153)</f>
        <v>0</v>
      </c>
      <c r="E153" s="5">
        <f>SUMIFS(ham_data!AC:AC,ham_data!$J:$J,'DETAY-yaslandırma'!$B153,ham_data!$E:$E,'DETAY-yaslandırma'!$A153)</f>
        <v>0</v>
      </c>
      <c r="F153" s="5">
        <f>SUMIFS(ham_data!AD:AD,ham_data!$J:$J,'DETAY-yaslandırma'!$B153,ham_data!$E:$E,'DETAY-yaslandırma'!$A153)</f>
        <v>0</v>
      </c>
      <c r="G153" s="5">
        <f>SUMIFS(ham_data!AE:AE,ham_data!$J:$J,'DETAY-yaslandırma'!$B153,ham_data!$E:$E,'DETAY-yaslandırma'!$A153)</f>
        <v>0</v>
      </c>
      <c r="H153" s="5">
        <f>SUMIFS(ham_data!AF:AF,ham_data!$J:$J,'DETAY-yaslandırma'!$B153,ham_data!$E:$E,'DETAY-yaslandırma'!$A153)</f>
        <v>0</v>
      </c>
      <c r="I153" s="5">
        <f>SUMIFS(ham_data!AG:AG,ham_data!$J:$J,'DETAY-yaslandırma'!$B153,ham_data!$E:$E,'DETAY-yaslandırma'!$A153)</f>
        <v>0</v>
      </c>
      <c r="J153" s="5">
        <f>SUMIFS(ham_data!AH:AH,ham_data!$J:$J,'DETAY-yaslandırma'!$B153,ham_data!$E:$E,'DETAY-yaslandırma'!$A153)</f>
        <v>0</v>
      </c>
      <c r="K153" s="7">
        <f>SUMIFS(DETAY!D:D,DETAY!A:A,'DETAY-yaslandırma'!A153,DETAY!B:B,'DETAY-yaslandırma'!B153)</f>
        <v>0</v>
      </c>
      <c r="L153" s="7">
        <f>SUMIFS(ham_data!U:U,ham_data!$J:$J,'DETAY-yaslandırma'!$B153,ham_data!$E:$E,'DETAY-yaslandırma'!$A153)</f>
        <v>0</v>
      </c>
      <c r="M153" s="7">
        <f>SUMIFS(ham_data!V:V,ham_data!$J:$J,'DETAY-yaslandırma'!$B153,ham_data!$E:$E,'DETAY-yaslandırma'!$A153)</f>
        <v>0</v>
      </c>
      <c r="N153" s="7">
        <f>SUMIFS(ham_data!W:W,ham_data!$J:$J,'DETAY-yaslandırma'!$B153,ham_data!$E:$E,'DETAY-yaslandırma'!$A153)</f>
        <v>0</v>
      </c>
      <c r="O153" s="7">
        <f>SUMIFS(ham_data!X:X,ham_data!$J:$J,'DETAY-yaslandırma'!$B153,ham_data!$E:$E,'DETAY-yaslandırma'!$A153)</f>
        <v>0</v>
      </c>
      <c r="P153" s="7">
        <f>SUMIFS(ham_data!Y:Y,ham_data!$J:$J,'DETAY-yaslandırma'!$B153,ham_data!$E:$E,'DETAY-yaslandırma'!$A153)</f>
        <v>0</v>
      </c>
      <c r="Q153" s="7">
        <f>SUMIFS(ham_data!Z:Z,ham_data!$J:$J,'DETAY-yaslandırma'!$B153,ham_data!$E:$E,'DETAY-yaslandırma'!$A153)</f>
        <v>0</v>
      </c>
      <c r="R153" s="7">
        <f>SUMIFS(ham_data!AA:AA,ham_data!$J:$J,'DETAY-yaslandırma'!$B153,ham_data!$E:$E,'DETAY-yaslandırma'!$A153)</f>
        <v>0</v>
      </c>
      <c r="S153" s="3">
        <f>SUMIFS(DETAY!E:E,DETAY!A:A,'DETAY-yaslandırma'!A153,DETAY!B:B,'DETAY-yaslandırma'!B153)</f>
        <v>0</v>
      </c>
      <c r="T153" s="3">
        <f t="shared" si="8"/>
        <v>0</v>
      </c>
      <c r="U153" s="11">
        <f t="shared" si="9"/>
        <v>0</v>
      </c>
    </row>
    <row r="154" spans="1:21" x14ac:dyDescent="0.35">
      <c r="A154" s="10" t="s">
        <v>294</v>
      </c>
      <c r="B154" s="2" t="s">
        <v>19</v>
      </c>
      <c r="C154" s="5">
        <f>SUMIFS(DETAY!C:C,DETAY!A:A,'DETAY-yaslandırma'!A154,DETAY!B:B,'DETAY-yaslandırma'!B154)</f>
        <v>0</v>
      </c>
      <c r="D154" s="5">
        <f>SUMIFS(ham_data!AB:AB,ham_data!$J:$J,'DETAY-yaslandırma'!$B154,ham_data!$E:$E,'DETAY-yaslandırma'!$A154)</f>
        <v>0</v>
      </c>
      <c r="E154" s="5">
        <f>SUMIFS(ham_data!AC:AC,ham_data!$J:$J,'DETAY-yaslandırma'!$B154,ham_data!$E:$E,'DETAY-yaslandırma'!$A154)</f>
        <v>0</v>
      </c>
      <c r="F154" s="5">
        <f>SUMIFS(ham_data!AD:AD,ham_data!$J:$J,'DETAY-yaslandırma'!$B154,ham_data!$E:$E,'DETAY-yaslandırma'!$A154)</f>
        <v>0</v>
      </c>
      <c r="G154" s="5">
        <f>SUMIFS(ham_data!AE:AE,ham_data!$J:$J,'DETAY-yaslandırma'!$B154,ham_data!$E:$E,'DETAY-yaslandırma'!$A154)</f>
        <v>0</v>
      </c>
      <c r="H154" s="5">
        <f>SUMIFS(ham_data!AF:AF,ham_data!$J:$J,'DETAY-yaslandırma'!$B154,ham_data!$E:$E,'DETAY-yaslandırma'!$A154)</f>
        <v>0</v>
      </c>
      <c r="I154" s="5">
        <f>SUMIFS(ham_data!AG:AG,ham_data!$J:$J,'DETAY-yaslandırma'!$B154,ham_data!$E:$E,'DETAY-yaslandırma'!$A154)</f>
        <v>0</v>
      </c>
      <c r="J154" s="5">
        <f>SUMIFS(ham_data!AH:AH,ham_data!$J:$J,'DETAY-yaslandırma'!$B154,ham_data!$E:$E,'DETAY-yaslandırma'!$A154)</f>
        <v>0</v>
      </c>
      <c r="K154" s="7">
        <f>SUMIFS(DETAY!D:D,DETAY!A:A,'DETAY-yaslandırma'!A154,DETAY!B:B,'DETAY-yaslandırma'!B154)</f>
        <v>0</v>
      </c>
      <c r="L154" s="7">
        <f>SUMIFS(ham_data!U:U,ham_data!$J:$J,'DETAY-yaslandırma'!$B154,ham_data!$E:$E,'DETAY-yaslandırma'!$A154)</f>
        <v>0</v>
      </c>
      <c r="M154" s="7">
        <f>SUMIFS(ham_data!V:V,ham_data!$J:$J,'DETAY-yaslandırma'!$B154,ham_data!$E:$E,'DETAY-yaslandırma'!$A154)</f>
        <v>0</v>
      </c>
      <c r="N154" s="7">
        <f>SUMIFS(ham_data!W:W,ham_data!$J:$J,'DETAY-yaslandırma'!$B154,ham_data!$E:$E,'DETAY-yaslandırma'!$A154)</f>
        <v>0</v>
      </c>
      <c r="O154" s="7">
        <f>SUMIFS(ham_data!X:X,ham_data!$J:$J,'DETAY-yaslandırma'!$B154,ham_data!$E:$E,'DETAY-yaslandırma'!$A154)</f>
        <v>0</v>
      </c>
      <c r="P154" s="7">
        <f>SUMIFS(ham_data!Y:Y,ham_data!$J:$J,'DETAY-yaslandırma'!$B154,ham_data!$E:$E,'DETAY-yaslandırma'!$A154)</f>
        <v>0</v>
      </c>
      <c r="Q154" s="7">
        <f>SUMIFS(ham_data!Z:Z,ham_data!$J:$J,'DETAY-yaslandırma'!$B154,ham_data!$E:$E,'DETAY-yaslandırma'!$A154)</f>
        <v>0</v>
      </c>
      <c r="R154" s="7">
        <f>SUMIFS(ham_data!AA:AA,ham_data!$J:$J,'DETAY-yaslandırma'!$B154,ham_data!$E:$E,'DETAY-yaslandırma'!$A154)</f>
        <v>0</v>
      </c>
      <c r="S154" s="3">
        <f>SUMIFS(DETAY!E:E,DETAY!A:A,'DETAY-yaslandırma'!A154,DETAY!B:B,'DETAY-yaslandırma'!B154)</f>
        <v>0</v>
      </c>
      <c r="T154" s="3">
        <f t="shared" si="8"/>
        <v>0</v>
      </c>
      <c r="U154" s="11">
        <f t="shared" si="9"/>
        <v>0</v>
      </c>
    </row>
    <row r="155" spans="1:21" x14ac:dyDescent="0.35">
      <c r="A155" s="10" t="s">
        <v>295</v>
      </c>
      <c r="B155" s="2" t="s">
        <v>11</v>
      </c>
      <c r="C155" s="5">
        <f>SUMIFS(DETAY!C:C,DETAY!A:A,'DETAY-yaslandırma'!A155,DETAY!B:B,'DETAY-yaslandırma'!B155)</f>
        <v>0</v>
      </c>
      <c r="D155" s="5">
        <f>SUMIFS(ham_data!AB:AB,ham_data!$J:$J,'DETAY-yaslandırma'!$B155,ham_data!$E:$E,'DETAY-yaslandırma'!$A155)</f>
        <v>0</v>
      </c>
      <c r="E155" s="5">
        <f>SUMIFS(ham_data!AC:AC,ham_data!$J:$J,'DETAY-yaslandırma'!$B155,ham_data!$E:$E,'DETAY-yaslandırma'!$A155)</f>
        <v>0</v>
      </c>
      <c r="F155" s="5">
        <f>SUMIFS(ham_data!AD:AD,ham_data!$J:$J,'DETAY-yaslandırma'!$B155,ham_data!$E:$E,'DETAY-yaslandırma'!$A155)</f>
        <v>0</v>
      </c>
      <c r="G155" s="5">
        <f>SUMIFS(ham_data!AE:AE,ham_data!$J:$J,'DETAY-yaslandırma'!$B155,ham_data!$E:$E,'DETAY-yaslandırma'!$A155)</f>
        <v>0</v>
      </c>
      <c r="H155" s="5">
        <f>SUMIFS(ham_data!AF:AF,ham_data!$J:$J,'DETAY-yaslandırma'!$B155,ham_data!$E:$E,'DETAY-yaslandırma'!$A155)</f>
        <v>0</v>
      </c>
      <c r="I155" s="5">
        <f>SUMIFS(ham_data!AG:AG,ham_data!$J:$J,'DETAY-yaslandırma'!$B155,ham_data!$E:$E,'DETAY-yaslandırma'!$A155)</f>
        <v>0</v>
      </c>
      <c r="J155" s="5">
        <f>SUMIFS(ham_data!AH:AH,ham_data!$J:$J,'DETAY-yaslandırma'!$B155,ham_data!$E:$E,'DETAY-yaslandırma'!$A155)</f>
        <v>0</v>
      </c>
      <c r="K155" s="7">
        <f>SUMIFS(DETAY!D:D,DETAY!A:A,'DETAY-yaslandırma'!A155,DETAY!B:B,'DETAY-yaslandırma'!B155)</f>
        <v>0</v>
      </c>
      <c r="L155" s="7">
        <f>SUMIFS(ham_data!U:U,ham_data!$J:$J,'DETAY-yaslandırma'!$B155,ham_data!$E:$E,'DETAY-yaslandırma'!$A155)</f>
        <v>0</v>
      </c>
      <c r="M155" s="7">
        <f>SUMIFS(ham_data!V:V,ham_data!$J:$J,'DETAY-yaslandırma'!$B155,ham_data!$E:$E,'DETAY-yaslandırma'!$A155)</f>
        <v>0</v>
      </c>
      <c r="N155" s="7">
        <f>SUMIFS(ham_data!W:W,ham_data!$J:$J,'DETAY-yaslandırma'!$B155,ham_data!$E:$E,'DETAY-yaslandırma'!$A155)</f>
        <v>0</v>
      </c>
      <c r="O155" s="7">
        <f>SUMIFS(ham_data!X:X,ham_data!$J:$J,'DETAY-yaslandırma'!$B155,ham_data!$E:$E,'DETAY-yaslandırma'!$A155)</f>
        <v>0</v>
      </c>
      <c r="P155" s="7">
        <f>SUMIFS(ham_data!Y:Y,ham_data!$J:$J,'DETAY-yaslandırma'!$B155,ham_data!$E:$E,'DETAY-yaslandırma'!$A155)</f>
        <v>0</v>
      </c>
      <c r="Q155" s="7">
        <f>SUMIFS(ham_data!Z:Z,ham_data!$J:$J,'DETAY-yaslandırma'!$B155,ham_data!$E:$E,'DETAY-yaslandırma'!$A155)</f>
        <v>0</v>
      </c>
      <c r="R155" s="7">
        <f>SUMIFS(ham_data!AA:AA,ham_data!$J:$J,'DETAY-yaslandırma'!$B155,ham_data!$E:$E,'DETAY-yaslandırma'!$A155)</f>
        <v>0</v>
      </c>
      <c r="S155" s="3">
        <f>SUMIFS(DETAY!E:E,DETAY!A:A,'DETAY-yaslandırma'!A155,DETAY!B:B,'DETAY-yaslandırma'!B155)</f>
        <v>0</v>
      </c>
      <c r="T155" s="3">
        <f t="shared" si="8"/>
        <v>0</v>
      </c>
      <c r="U155" s="11">
        <f t="shared" si="9"/>
        <v>0</v>
      </c>
    </row>
    <row r="156" spans="1:21" x14ac:dyDescent="0.35">
      <c r="A156" s="10" t="s">
        <v>298</v>
      </c>
      <c r="B156" s="2" t="s">
        <v>37</v>
      </c>
      <c r="C156" s="5">
        <f>SUMIFS(DETAY!C:C,DETAY!A:A,'DETAY-yaslandırma'!A156,DETAY!B:B,'DETAY-yaslandırma'!B156)</f>
        <v>0</v>
      </c>
      <c r="D156" s="5">
        <f>SUMIFS(ham_data!AB:AB,ham_data!$J:$J,'DETAY-yaslandırma'!$B156,ham_data!$E:$E,'DETAY-yaslandırma'!$A156)</f>
        <v>0</v>
      </c>
      <c r="E156" s="5">
        <f>SUMIFS(ham_data!AC:AC,ham_data!$J:$J,'DETAY-yaslandırma'!$B156,ham_data!$E:$E,'DETAY-yaslandırma'!$A156)</f>
        <v>0</v>
      </c>
      <c r="F156" s="5">
        <f>SUMIFS(ham_data!AD:AD,ham_data!$J:$J,'DETAY-yaslandırma'!$B156,ham_data!$E:$E,'DETAY-yaslandırma'!$A156)</f>
        <v>0</v>
      </c>
      <c r="G156" s="5">
        <f>SUMIFS(ham_data!AE:AE,ham_data!$J:$J,'DETAY-yaslandırma'!$B156,ham_data!$E:$E,'DETAY-yaslandırma'!$A156)</f>
        <v>0</v>
      </c>
      <c r="H156" s="5">
        <f>SUMIFS(ham_data!AF:AF,ham_data!$J:$J,'DETAY-yaslandırma'!$B156,ham_data!$E:$E,'DETAY-yaslandırma'!$A156)</f>
        <v>0</v>
      </c>
      <c r="I156" s="5">
        <f>SUMIFS(ham_data!AG:AG,ham_data!$J:$J,'DETAY-yaslandırma'!$B156,ham_data!$E:$E,'DETAY-yaslandırma'!$A156)</f>
        <v>0</v>
      </c>
      <c r="J156" s="5">
        <f>SUMIFS(ham_data!AH:AH,ham_data!$J:$J,'DETAY-yaslandırma'!$B156,ham_data!$E:$E,'DETAY-yaslandırma'!$A156)</f>
        <v>0</v>
      </c>
      <c r="K156" s="7">
        <f>SUMIFS(DETAY!D:D,DETAY!A:A,'DETAY-yaslandırma'!A156,DETAY!B:B,'DETAY-yaslandırma'!B156)</f>
        <v>0</v>
      </c>
      <c r="L156" s="7">
        <f>SUMIFS(ham_data!U:U,ham_data!$J:$J,'DETAY-yaslandırma'!$B156,ham_data!$E:$E,'DETAY-yaslandırma'!$A156)</f>
        <v>0</v>
      </c>
      <c r="M156" s="7">
        <f>SUMIFS(ham_data!V:V,ham_data!$J:$J,'DETAY-yaslandırma'!$B156,ham_data!$E:$E,'DETAY-yaslandırma'!$A156)</f>
        <v>0</v>
      </c>
      <c r="N156" s="7">
        <f>SUMIFS(ham_data!W:W,ham_data!$J:$J,'DETAY-yaslandırma'!$B156,ham_data!$E:$E,'DETAY-yaslandırma'!$A156)</f>
        <v>0</v>
      </c>
      <c r="O156" s="7">
        <f>SUMIFS(ham_data!X:X,ham_data!$J:$J,'DETAY-yaslandırma'!$B156,ham_data!$E:$E,'DETAY-yaslandırma'!$A156)</f>
        <v>0</v>
      </c>
      <c r="P156" s="7">
        <f>SUMIFS(ham_data!Y:Y,ham_data!$J:$J,'DETAY-yaslandırma'!$B156,ham_data!$E:$E,'DETAY-yaslandırma'!$A156)</f>
        <v>0</v>
      </c>
      <c r="Q156" s="7">
        <f>SUMIFS(ham_data!Z:Z,ham_data!$J:$J,'DETAY-yaslandırma'!$B156,ham_data!$E:$E,'DETAY-yaslandırma'!$A156)</f>
        <v>0</v>
      </c>
      <c r="R156" s="7">
        <f>SUMIFS(ham_data!AA:AA,ham_data!$J:$J,'DETAY-yaslandırma'!$B156,ham_data!$E:$E,'DETAY-yaslandırma'!$A156)</f>
        <v>0</v>
      </c>
      <c r="S156" s="3">
        <f>SUMIFS(DETAY!E:E,DETAY!A:A,'DETAY-yaslandırma'!A156,DETAY!B:B,'DETAY-yaslandırma'!B156)</f>
        <v>0</v>
      </c>
      <c r="T156" s="3">
        <f t="shared" si="8"/>
        <v>0</v>
      </c>
      <c r="U156" s="11">
        <f t="shared" si="9"/>
        <v>0</v>
      </c>
    </row>
    <row r="157" spans="1:21" x14ac:dyDescent="0.35">
      <c r="A157" s="10" t="s">
        <v>292</v>
      </c>
      <c r="B157" s="2" t="s">
        <v>11</v>
      </c>
      <c r="C157" s="5">
        <f>SUMIFS(DETAY!C:C,DETAY!A:A,'DETAY-yaslandırma'!A157,DETAY!B:B,'DETAY-yaslandırma'!B157)</f>
        <v>0</v>
      </c>
      <c r="D157" s="5">
        <f>SUMIFS(ham_data!AB:AB,ham_data!$J:$J,'DETAY-yaslandırma'!$B157,ham_data!$E:$E,'DETAY-yaslandırma'!$A157)</f>
        <v>0</v>
      </c>
      <c r="E157" s="5">
        <f>SUMIFS(ham_data!AC:AC,ham_data!$J:$J,'DETAY-yaslandırma'!$B157,ham_data!$E:$E,'DETAY-yaslandırma'!$A157)</f>
        <v>0</v>
      </c>
      <c r="F157" s="5">
        <f>SUMIFS(ham_data!AD:AD,ham_data!$J:$J,'DETAY-yaslandırma'!$B157,ham_data!$E:$E,'DETAY-yaslandırma'!$A157)</f>
        <v>0</v>
      </c>
      <c r="G157" s="5">
        <f>SUMIFS(ham_data!AE:AE,ham_data!$J:$J,'DETAY-yaslandırma'!$B157,ham_data!$E:$E,'DETAY-yaslandırma'!$A157)</f>
        <v>0</v>
      </c>
      <c r="H157" s="5">
        <f>SUMIFS(ham_data!AF:AF,ham_data!$J:$J,'DETAY-yaslandırma'!$B157,ham_data!$E:$E,'DETAY-yaslandırma'!$A157)</f>
        <v>0</v>
      </c>
      <c r="I157" s="5">
        <f>SUMIFS(ham_data!AG:AG,ham_data!$J:$J,'DETAY-yaslandırma'!$B157,ham_data!$E:$E,'DETAY-yaslandırma'!$A157)</f>
        <v>0</v>
      </c>
      <c r="J157" s="5">
        <f>SUMIFS(ham_data!AH:AH,ham_data!$J:$J,'DETAY-yaslandırma'!$B157,ham_data!$E:$E,'DETAY-yaslandırma'!$A157)</f>
        <v>0</v>
      </c>
      <c r="K157" s="7">
        <f>SUMIFS(DETAY!D:D,DETAY!A:A,'DETAY-yaslandırma'!A157,DETAY!B:B,'DETAY-yaslandırma'!B157)</f>
        <v>0</v>
      </c>
      <c r="L157" s="7">
        <f>SUMIFS(ham_data!U:U,ham_data!$J:$J,'DETAY-yaslandırma'!$B157,ham_data!$E:$E,'DETAY-yaslandırma'!$A157)</f>
        <v>0</v>
      </c>
      <c r="M157" s="7">
        <f>SUMIFS(ham_data!V:V,ham_data!$J:$J,'DETAY-yaslandırma'!$B157,ham_data!$E:$E,'DETAY-yaslandırma'!$A157)</f>
        <v>0</v>
      </c>
      <c r="N157" s="7">
        <f>SUMIFS(ham_data!W:W,ham_data!$J:$J,'DETAY-yaslandırma'!$B157,ham_data!$E:$E,'DETAY-yaslandırma'!$A157)</f>
        <v>0</v>
      </c>
      <c r="O157" s="7">
        <f>SUMIFS(ham_data!X:X,ham_data!$J:$J,'DETAY-yaslandırma'!$B157,ham_data!$E:$E,'DETAY-yaslandırma'!$A157)</f>
        <v>0</v>
      </c>
      <c r="P157" s="7">
        <f>SUMIFS(ham_data!Y:Y,ham_data!$J:$J,'DETAY-yaslandırma'!$B157,ham_data!$E:$E,'DETAY-yaslandırma'!$A157)</f>
        <v>0</v>
      </c>
      <c r="Q157" s="7">
        <f>SUMIFS(ham_data!Z:Z,ham_data!$J:$J,'DETAY-yaslandırma'!$B157,ham_data!$E:$E,'DETAY-yaslandırma'!$A157)</f>
        <v>0</v>
      </c>
      <c r="R157" s="7">
        <f>SUMIFS(ham_data!AA:AA,ham_data!$J:$J,'DETAY-yaslandırma'!$B157,ham_data!$E:$E,'DETAY-yaslandırma'!$A157)</f>
        <v>0</v>
      </c>
      <c r="S157" s="3">
        <f>SUMIFS(DETAY!E:E,DETAY!A:A,'DETAY-yaslandırma'!A157,DETAY!B:B,'DETAY-yaslandırma'!B157)</f>
        <v>0</v>
      </c>
      <c r="T157" s="3">
        <f t="shared" si="8"/>
        <v>0</v>
      </c>
      <c r="U157" s="11">
        <f t="shared" si="9"/>
        <v>0</v>
      </c>
    </row>
    <row r="158" spans="1:21" x14ac:dyDescent="0.35">
      <c r="A158" s="10" t="s">
        <v>302</v>
      </c>
      <c r="B158" s="2" t="s">
        <v>11</v>
      </c>
      <c r="C158" s="5">
        <f>SUMIFS(DETAY!C:C,DETAY!A:A,'DETAY-yaslandırma'!A158,DETAY!B:B,'DETAY-yaslandırma'!B158)</f>
        <v>0</v>
      </c>
      <c r="D158" s="5">
        <f>SUMIFS(ham_data!AB:AB,ham_data!$J:$J,'DETAY-yaslandırma'!$B158,ham_data!$E:$E,'DETAY-yaslandırma'!$A158)</f>
        <v>0</v>
      </c>
      <c r="E158" s="5">
        <f>SUMIFS(ham_data!AC:AC,ham_data!$J:$J,'DETAY-yaslandırma'!$B158,ham_data!$E:$E,'DETAY-yaslandırma'!$A158)</f>
        <v>0</v>
      </c>
      <c r="F158" s="5">
        <f>SUMIFS(ham_data!AD:AD,ham_data!$J:$J,'DETAY-yaslandırma'!$B158,ham_data!$E:$E,'DETAY-yaslandırma'!$A158)</f>
        <v>0</v>
      </c>
      <c r="G158" s="5">
        <f>SUMIFS(ham_data!AE:AE,ham_data!$J:$J,'DETAY-yaslandırma'!$B158,ham_data!$E:$E,'DETAY-yaslandırma'!$A158)</f>
        <v>0</v>
      </c>
      <c r="H158" s="5">
        <f>SUMIFS(ham_data!AF:AF,ham_data!$J:$J,'DETAY-yaslandırma'!$B158,ham_data!$E:$E,'DETAY-yaslandırma'!$A158)</f>
        <v>0</v>
      </c>
      <c r="I158" s="5">
        <f>SUMIFS(ham_data!AG:AG,ham_data!$J:$J,'DETAY-yaslandırma'!$B158,ham_data!$E:$E,'DETAY-yaslandırma'!$A158)</f>
        <v>0</v>
      </c>
      <c r="J158" s="5">
        <f>SUMIFS(ham_data!AH:AH,ham_data!$J:$J,'DETAY-yaslandırma'!$B158,ham_data!$E:$E,'DETAY-yaslandırma'!$A158)</f>
        <v>0</v>
      </c>
      <c r="K158" s="7">
        <f>SUMIFS(DETAY!D:D,DETAY!A:A,'DETAY-yaslandırma'!A158,DETAY!B:B,'DETAY-yaslandırma'!B158)</f>
        <v>0</v>
      </c>
      <c r="L158" s="7">
        <f>SUMIFS(ham_data!U:U,ham_data!$J:$J,'DETAY-yaslandırma'!$B158,ham_data!$E:$E,'DETAY-yaslandırma'!$A158)</f>
        <v>0</v>
      </c>
      <c r="M158" s="7">
        <f>SUMIFS(ham_data!V:V,ham_data!$J:$J,'DETAY-yaslandırma'!$B158,ham_data!$E:$E,'DETAY-yaslandırma'!$A158)</f>
        <v>0</v>
      </c>
      <c r="N158" s="7">
        <f>SUMIFS(ham_data!W:W,ham_data!$J:$J,'DETAY-yaslandırma'!$B158,ham_data!$E:$E,'DETAY-yaslandırma'!$A158)</f>
        <v>0</v>
      </c>
      <c r="O158" s="7">
        <f>SUMIFS(ham_data!X:X,ham_data!$J:$J,'DETAY-yaslandırma'!$B158,ham_data!$E:$E,'DETAY-yaslandırma'!$A158)</f>
        <v>0</v>
      </c>
      <c r="P158" s="7">
        <f>SUMIFS(ham_data!Y:Y,ham_data!$J:$J,'DETAY-yaslandırma'!$B158,ham_data!$E:$E,'DETAY-yaslandırma'!$A158)</f>
        <v>0</v>
      </c>
      <c r="Q158" s="7">
        <f>SUMIFS(ham_data!Z:Z,ham_data!$J:$J,'DETAY-yaslandırma'!$B158,ham_data!$E:$E,'DETAY-yaslandırma'!$A158)</f>
        <v>0</v>
      </c>
      <c r="R158" s="7">
        <f>SUMIFS(ham_data!AA:AA,ham_data!$J:$J,'DETAY-yaslandırma'!$B158,ham_data!$E:$E,'DETAY-yaslandırma'!$A158)</f>
        <v>0</v>
      </c>
      <c r="S158" s="3">
        <f>SUMIFS(DETAY!E:E,DETAY!A:A,'DETAY-yaslandırma'!A158,DETAY!B:B,'DETAY-yaslandırma'!B158)</f>
        <v>0</v>
      </c>
      <c r="T158" s="3">
        <f t="shared" si="8"/>
        <v>0</v>
      </c>
      <c r="U158" s="11">
        <f t="shared" si="9"/>
        <v>0</v>
      </c>
    </row>
    <row r="159" spans="1:21" x14ac:dyDescent="0.35">
      <c r="A159" s="10" t="s">
        <v>303</v>
      </c>
      <c r="B159" s="2" t="s">
        <v>11</v>
      </c>
      <c r="C159" s="5">
        <f>SUMIFS(DETAY!C:C,DETAY!A:A,'DETAY-yaslandırma'!A159,DETAY!B:B,'DETAY-yaslandırma'!B159)</f>
        <v>0</v>
      </c>
      <c r="D159" s="5">
        <f>SUMIFS(ham_data!AB:AB,ham_data!$J:$J,'DETAY-yaslandırma'!$B159,ham_data!$E:$E,'DETAY-yaslandırma'!$A159)</f>
        <v>0</v>
      </c>
      <c r="E159" s="5">
        <f>SUMIFS(ham_data!AC:AC,ham_data!$J:$J,'DETAY-yaslandırma'!$B159,ham_data!$E:$E,'DETAY-yaslandırma'!$A159)</f>
        <v>0</v>
      </c>
      <c r="F159" s="5">
        <f>SUMIFS(ham_data!AD:AD,ham_data!$J:$J,'DETAY-yaslandırma'!$B159,ham_data!$E:$E,'DETAY-yaslandırma'!$A159)</f>
        <v>0</v>
      </c>
      <c r="G159" s="5">
        <f>SUMIFS(ham_data!AE:AE,ham_data!$J:$J,'DETAY-yaslandırma'!$B159,ham_data!$E:$E,'DETAY-yaslandırma'!$A159)</f>
        <v>0</v>
      </c>
      <c r="H159" s="5">
        <f>SUMIFS(ham_data!AF:AF,ham_data!$J:$J,'DETAY-yaslandırma'!$B159,ham_data!$E:$E,'DETAY-yaslandırma'!$A159)</f>
        <v>0</v>
      </c>
      <c r="I159" s="5">
        <f>SUMIFS(ham_data!AG:AG,ham_data!$J:$J,'DETAY-yaslandırma'!$B159,ham_data!$E:$E,'DETAY-yaslandırma'!$A159)</f>
        <v>0</v>
      </c>
      <c r="J159" s="5">
        <f>SUMIFS(ham_data!AH:AH,ham_data!$J:$J,'DETAY-yaslandırma'!$B159,ham_data!$E:$E,'DETAY-yaslandırma'!$A159)</f>
        <v>0</v>
      </c>
      <c r="K159" s="7">
        <f>SUMIFS(DETAY!D:D,DETAY!A:A,'DETAY-yaslandırma'!A159,DETAY!B:B,'DETAY-yaslandırma'!B159)</f>
        <v>0</v>
      </c>
      <c r="L159" s="7">
        <f>SUMIFS(ham_data!U:U,ham_data!$J:$J,'DETAY-yaslandırma'!$B159,ham_data!$E:$E,'DETAY-yaslandırma'!$A159)</f>
        <v>0</v>
      </c>
      <c r="M159" s="7">
        <f>SUMIFS(ham_data!V:V,ham_data!$J:$J,'DETAY-yaslandırma'!$B159,ham_data!$E:$E,'DETAY-yaslandırma'!$A159)</f>
        <v>0</v>
      </c>
      <c r="N159" s="7">
        <f>SUMIFS(ham_data!W:W,ham_data!$J:$J,'DETAY-yaslandırma'!$B159,ham_data!$E:$E,'DETAY-yaslandırma'!$A159)</f>
        <v>0</v>
      </c>
      <c r="O159" s="7">
        <f>SUMIFS(ham_data!X:X,ham_data!$J:$J,'DETAY-yaslandırma'!$B159,ham_data!$E:$E,'DETAY-yaslandırma'!$A159)</f>
        <v>0</v>
      </c>
      <c r="P159" s="7">
        <f>SUMIFS(ham_data!Y:Y,ham_data!$J:$J,'DETAY-yaslandırma'!$B159,ham_data!$E:$E,'DETAY-yaslandırma'!$A159)</f>
        <v>0</v>
      </c>
      <c r="Q159" s="7">
        <f>SUMIFS(ham_data!Z:Z,ham_data!$J:$J,'DETAY-yaslandırma'!$B159,ham_data!$E:$E,'DETAY-yaslandırma'!$A159)</f>
        <v>0</v>
      </c>
      <c r="R159" s="7">
        <f>SUMIFS(ham_data!AA:AA,ham_data!$J:$J,'DETAY-yaslandırma'!$B159,ham_data!$E:$E,'DETAY-yaslandırma'!$A159)</f>
        <v>0</v>
      </c>
      <c r="S159" s="3">
        <f>SUMIFS(DETAY!E:E,DETAY!A:A,'DETAY-yaslandırma'!A159,DETAY!B:B,'DETAY-yaslandırma'!B159)</f>
        <v>0</v>
      </c>
      <c r="T159" s="3">
        <f t="shared" si="8"/>
        <v>0</v>
      </c>
      <c r="U159" s="11">
        <f t="shared" si="9"/>
        <v>0</v>
      </c>
    </row>
    <row r="160" spans="1:21" x14ac:dyDescent="0.35">
      <c r="A160" s="10" t="s">
        <v>304</v>
      </c>
      <c r="B160" s="2" t="s">
        <v>11</v>
      </c>
      <c r="C160" s="5">
        <f>SUMIFS(DETAY!C:C,DETAY!A:A,'DETAY-yaslandırma'!A160,DETAY!B:B,'DETAY-yaslandırma'!B160)</f>
        <v>0</v>
      </c>
      <c r="D160" s="5">
        <f>SUMIFS(ham_data!AB:AB,ham_data!$J:$J,'DETAY-yaslandırma'!$B160,ham_data!$E:$E,'DETAY-yaslandırma'!$A160)</f>
        <v>0</v>
      </c>
      <c r="E160" s="5">
        <f>SUMIFS(ham_data!AC:AC,ham_data!$J:$J,'DETAY-yaslandırma'!$B160,ham_data!$E:$E,'DETAY-yaslandırma'!$A160)</f>
        <v>0</v>
      </c>
      <c r="F160" s="5">
        <f>SUMIFS(ham_data!AD:AD,ham_data!$J:$J,'DETAY-yaslandırma'!$B160,ham_data!$E:$E,'DETAY-yaslandırma'!$A160)</f>
        <v>0</v>
      </c>
      <c r="G160" s="5">
        <f>SUMIFS(ham_data!AE:AE,ham_data!$J:$J,'DETAY-yaslandırma'!$B160,ham_data!$E:$E,'DETAY-yaslandırma'!$A160)</f>
        <v>0</v>
      </c>
      <c r="H160" s="5">
        <f>SUMIFS(ham_data!AF:AF,ham_data!$J:$J,'DETAY-yaslandırma'!$B160,ham_data!$E:$E,'DETAY-yaslandırma'!$A160)</f>
        <v>0</v>
      </c>
      <c r="I160" s="5">
        <f>SUMIFS(ham_data!AG:AG,ham_data!$J:$J,'DETAY-yaslandırma'!$B160,ham_data!$E:$E,'DETAY-yaslandırma'!$A160)</f>
        <v>0</v>
      </c>
      <c r="J160" s="5">
        <f>SUMIFS(ham_data!AH:AH,ham_data!$J:$J,'DETAY-yaslandırma'!$B160,ham_data!$E:$E,'DETAY-yaslandırma'!$A160)</f>
        <v>0</v>
      </c>
      <c r="K160" s="7">
        <f>SUMIFS(DETAY!D:D,DETAY!A:A,'DETAY-yaslandırma'!A160,DETAY!B:B,'DETAY-yaslandırma'!B160)</f>
        <v>0</v>
      </c>
      <c r="L160" s="7">
        <f>SUMIFS(ham_data!U:U,ham_data!$J:$J,'DETAY-yaslandırma'!$B160,ham_data!$E:$E,'DETAY-yaslandırma'!$A160)</f>
        <v>0</v>
      </c>
      <c r="M160" s="7">
        <f>SUMIFS(ham_data!V:V,ham_data!$J:$J,'DETAY-yaslandırma'!$B160,ham_data!$E:$E,'DETAY-yaslandırma'!$A160)</f>
        <v>0</v>
      </c>
      <c r="N160" s="7">
        <f>SUMIFS(ham_data!W:W,ham_data!$J:$J,'DETAY-yaslandırma'!$B160,ham_data!$E:$E,'DETAY-yaslandırma'!$A160)</f>
        <v>0</v>
      </c>
      <c r="O160" s="7">
        <f>SUMIFS(ham_data!X:X,ham_data!$J:$J,'DETAY-yaslandırma'!$B160,ham_data!$E:$E,'DETAY-yaslandırma'!$A160)</f>
        <v>0</v>
      </c>
      <c r="P160" s="7">
        <f>SUMIFS(ham_data!Y:Y,ham_data!$J:$J,'DETAY-yaslandırma'!$B160,ham_data!$E:$E,'DETAY-yaslandırma'!$A160)</f>
        <v>0</v>
      </c>
      <c r="Q160" s="7">
        <f>SUMIFS(ham_data!Z:Z,ham_data!$J:$J,'DETAY-yaslandırma'!$B160,ham_data!$E:$E,'DETAY-yaslandırma'!$A160)</f>
        <v>0</v>
      </c>
      <c r="R160" s="7">
        <f>SUMIFS(ham_data!AA:AA,ham_data!$J:$J,'DETAY-yaslandırma'!$B160,ham_data!$E:$E,'DETAY-yaslandırma'!$A160)</f>
        <v>0</v>
      </c>
      <c r="S160" s="3">
        <f>SUMIFS(DETAY!E:E,DETAY!A:A,'DETAY-yaslandırma'!A160,DETAY!B:B,'DETAY-yaslandırma'!B160)</f>
        <v>0</v>
      </c>
      <c r="T160" s="3">
        <f t="shared" si="8"/>
        <v>0</v>
      </c>
      <c r="U160" s="11">
        <f t="shared" si="9"/>
        <v>0</v>
      </c>
    </row>
    <row r="161" spans="1:21" x14ac:dyDescent="0.35">
      <c r="A161" s="10" t="s">
        <v>141</v>
      </c>
      <c r="B161" s="2" t="s">
        <v>11</v>
      </c>
      <c r="C161" s="5">
        <f>SUMIFS(DETAY!C:C,DETAY!A:A,'DETAY-yaslandırma'!A161,DETAY!B:B,'DETAY-yaslandırma'!B161)</f>
        <v>0</v>
      </c>
      <c r="D161" s="5">
        <f>SUMIFS(ham_data!AB:AB,ham_data!$J:$J,'DETAY-yaslandırma'!$B161,ham_data!$E:$E,'DETAY-yaslandırma'!$A161)</f>
        <v>0</v>
      </c>
      <c r="E161" s="5">
        <f>SUMIFS(ham_data!AC:AC,ham_data!$J:$J,'DETAY-yaslandırma'!$B161,ham_data!$E:$E,'DETAY-yaslandırma'!$A161)</f>
        <v>0</v>
      </c>
      <c r="F161" s="5">
        <f>SUMIFS(ham_data!AD:AD,ham_data!$J:$J,'DETAY-yaslandırma'!$B161,ham_data!$E:$E,'DETAY-yaslandırma'!$A161)</f>
        <v>0</v>
      </c>
      <c r="G161" s="5">
        <f>SUMIFS(ham_data!AE:AE,ham_data!$J:$J,'DETAY-yaslandırma'!$B161,ham_data!$E:$E,'DETAY-yaslandırma'!$A161)</f>
        <v>0</v>
      </c>
      <c r="H161" s="5">
        <f>SUMIFS(ham_data!AF:AF,ham_data!$J:$J,'DETAY-yaslandırma'!$B161,ham_data!$E:$E,'DETAY-yaslandırma'!$A161)</f>
        <v>0</v>
      </c>
      <c r="I161" s="5">
        <f>SUMIFS(ham_data!AG:AG,ham_data!$J:$J,'DETAY-yaslandırma'!$B161,ham_data!$E:$E,'DETAY-yaslandırma'!$A161)</f>
        <v>0</v>
      </c>
      <c r="J161" s="5">
        <f>SUMIFS(ham_data!AH:AH,ham_data!$J:$J,'DETAY-yaslandırma'!$B161,ham_data!$E:$E,'DETAY-yaslandırma'!$A161)</f>
        <v>0</v>
      </c>
      <c r="K161" s="7">
        <f>SUMIFS(DETAY!D:D,DETAY!A:A,'DETAY-yaslandırma'!A161,DETAY!B:B,'DETAY-yaslandırma'!B161)</f>
        <v>3053434.1999999997</v>
      </c>
      <c r="L161" s="7">
        <f>SUMIFS(ham_data!U:U,ham_data!$J:$J,'DETAY-yaslandırma'!$B161,ham_data!$E:$E,'DETAY-yaslandırma'!$A161)</f>
        <v>2675420.0699999998</v>
      </c>
      <c r="M161" s="7">
        <f>SUMIFS(ham_data!V:V,ham_data!$J:$J,'DETAY-yaslandırma'!$B161,ham_data!$E:$E,'DETAY-yaslandırma'!$A161)</f>
        <v>378014.13</v>
      </c>
      <c r="N161" s="7">
        <f>SUMIFS(ham_data!W:W,ham_data!$J:$J,'DETAY-yaslandırma'!$B161,ham_data!$E:$E,'DETAY-yaslandırma'!$A161)</f>
        <v>0</v>
      </c>
      <c r="O161" s="7">
        <f>SUMIFS(ham_data!X:X,ham_data!$J:$J,'DETAY-yaslandırma'!$B161,ham_data!$E:$E,'DETAY-yaslandırma'!$A161)</f>
        <v>0</v>
      </c>
      <c r="P161" s="7">
        <f>SUMIFS(ham_data!Y:Y,ham_data!$J:$J,'DETAY-yaslandırma'!$B161,ham_data!$E:$E,'DETAY-yaslandırma'!$A161)</f>
        <v>0</v>
      </c>
      <c r="Q161" s="7">
        <f>SUMIFS(ham_data!Z:Z,ham_data!$J:$J,'DETAY-yaslandırma'!$B161,ham_data!$E:$E,'DETAY-yaslandırma'!$A161)</f>
        <v>0</v>
      </c>
      <c r="R161" s="7">
        <f>SUMIFS(ham_data!AA:AA,ham_data!$J:$J,'DETAY-yaslandırma'!$B161,ham_data!$E:$E,'DETAY-yaslandırma'!$A161)</f>
        <v>0</v>
      </c>
      <c r="S161" s="3">
        <f>SUMIFS(DETAY!E:E,DETAY!A:A,'DETAY-yaslandırma'!A161,DETAY!B:B,'DETAY-yaslandırma'!B161)</f>
        <v>3053434.1999999997</v>
      </c>
      <c r="T161" s="3">
        <f t="shared" si="8"/>
        <v>0</v>
      </c>
      <c r="U161" s="11">
        <f t="shared" si="9"/>
        <v>0</v>
      </c>
    </row>
    <row r="162" spans="1:21" x14ac:dyDescent="0.35">
      <c r="A162" s="10" t="s">
        <v>108</v>
      </c>
      <c r="B162" s="2" t="s">
        <v>19</v>
      </c>
      <c r="C162" s="5">
        <f>SUMIFS(DETAY!C:C,DETAY!A:A,'DETAY-yaslandırma'!A162,DETAY!B:B,'DETAY-yaslandırma'!B162)</f>
        <v>0</v>
      </c>
      <c r="D162" s="5">
        <f>SUMIFS(ham_data!AB:AB,ham_data!$J:$J,'DETAY-yaslandırma'!$B162,ham_data!$E:$E,'DETAY-yaslandırma'!$A162)</f>
        <v>0</v>
      </c>
      <c r="E162" s="5">
        <f>SUMIFS(ham_data!AC:AC,ham_data!$J:$J,'DETAY-yaslandırma'!$B162,ham_data!$E:$E,'DETAY-yaslandırma'!$A162)</f>
        <v>0</v>
      </c>
      <c r="F162" s="5">
        <f>SUMIFS(ham_data!AD:AD,ham_data!$J:$J,'DETAY-yaslandırma'!$B162,ham_data!$E:$E,'DETAY-yaslandırma'!$A162)</f>
        <v>0</v>
      </c>
      <c r="G162" s="5">
        <f>SUMIFS(ham_data!AE:AE,ham_data!$J:$J,'DETAY-yaslandırma'!$B162,ham_data!$E:$E,'DETAY-yaslandırma'!$A162)</f>
        <v>0</v>
      </c>
      <c r="H162" s="5">
        <f>SUMIFS(ham_data!AF:AF,ham_data!$J:$J,'DETAY-yaslandırma'!$B162,ham_data!$E:$E,'DETAY-yaslandırma'!$A162)</f>
        <v>0</v>
      </c>
      <c r="I162" s="5">
        <f>SUMIFS(ham_data!AG:AG,ham_data!$J:$J,'DETAY-yaslandırma'!$B162,ham_data!$E:$E,'DETAY-yaslandırma'!$A162)</f>
        <v>0</v>
      </c>
      <c r="J162" s="5">
        <f>SUMIFS(ham_data!AH:AH,ham_data!$J:$J,'DETAY-yaslandırma'!$B162,ham_data!$E:$E,'DETAY-yaslandırma'!$A162)</f>
        <v>0</v>
      </c>
      <c r="K162" s="7">
        <f>SUMIFS(DETAY!D:D,DETAY!A:A,'DETAY-yaslandırma'!A162,DETAY!B:B,'DETAY-yaslandırma'!B162)</f>
        <v>0</v>
      </c>
      <c r="L162" s="7">
        <f>SUMIFS(ham_data!U:U,ham_data!$J:$J,'DETAY-yaslandırma'!$B162,ham_data!$E:$E,'DETAY-yaslandırma'!$A162)</f>
        <v>0</v>
      </c>
      <c r="M162" s="7">
        <f>SUMIFS(ham_data!V:V,ham_data!$J:$J,'DETAY-yaslandırma'!$B162,ham_data!$E:$E,'DETAY-yaslandırma'!$A162)</f>
        <v>0</v>
      </c>
      <c r="N162" s="7">
        <f>SUMIFS(ham_data!W:W,ham_data!$J:$J,'DETAY-yaslandırma'!$B162,ham_data!$E:$E,'DETAY-yaslandırma'!$A162)</f>
        <v>0</v>
      </c>
      <c r="O162" s="7">
        <f>SUMIFS(ham_data!X:X,ham_data!$J:$J,'DETAY-yaslandırma'!$B162,ham_data!$E:$E,'DETAY-yaslandırma'!$A162)</f>
        <v>0</v>
      </c>
      <c r="P162" s="7">
        <f>SUMIFS(ham_data!Y:Y,ham_data!$J:$J,'DETAY-yaslandırma'!$B162,ham_data!$E:$E,'DETAY-yaslandırma'!$A162)</f>
        <v>0</v>
      </c>
      <c r="Q162" s="7">
        <f>SUMIFS(ham_data!Z:Z,ham_data!$J:$J,'DETAY-yaslandırma'!$B162,ham_data!$E:$E,'DETAY-yaslandırma'!$A162)</f>
        <v>0</v>
      </c>
      <c r="R162" s="7">
        <f>SUMIFS(ham_data!AA:AA,ham_data!$J:$J,'DETAY-yaslandırma'!$B162,ham_data!$E:$E,'DETAY-yaslandırma'!$A162)</f>
        <v>0</v>
      </c>
      <c r="S162" s="3">
        <f>SUMIFS(DETAY!E:E,DETAY!A:A,'DETAY-yaslandırma'!A162,DETAY!B:B,'DETAY-yaslandırma'!B162)</f>
        <v>0</v>
      </c>
      <c r="T162" s="3">
        <f t="shared" si="8"/>
        <v>0</v>
      </c>
      <c r="U162" s="11">
        <f t="shared" si="9"/>
        <v>0</v>
      </c>
    </row>
    <row r="163" spans="1:21" x14ac:dyDescent="0.35">
      <c r="A163" s="10" t="s">
        <v>315</v>
      </c>
      <c r="B163" s="2" t="s">
        <v>11</v>
      </c>
      <c r="C163" s="5">
        <f>SUMIFS(DETAY!C:C,DETAY!A:A,'DETAY-yaslandırma'!A163,DETAY!B:B,'DETAY-yaslandırma'!B163)</f>
        <v>0</v>
      </c>
      <c r="D163" s="5">
        <f>SUMIFS(ham_data!AB:AB,ham_data!$J:$J,'DETAY-yaslandırma'!$B163,ham_data!$E:$E,'DETAY-yaslandırma'!$A163)</f>
        <v>0</v>
      </c>
      <c r="E163" s="5">
        <f>SUMIFS(ham_data!AC:AC,ham_data!$J:$J,'DETAY-yaslandırma'!$B163,ham_data!$E:$E,'DETAY-yaslandırma'!$A163)</f>
        <v>0</v>
      </c>
      <c r="F163" s="5">
        <f>SUMIFS(ham_data!AD:AD,ham_data!$J:$J,'DETAY-yaslandırma'!$B163,ham_data!$E:$E,'DETAY-yaslandırma'!$A163)</f>
        <v>0</v>
      </c>
      <c r="G163" s="5">
        <f>SUMIFS(ham_data!AE:AE,ham_data!$J:$J,'DETAY-yaslandırma'!$B163,ham_data!$E:$E,'DETAY-yaslandırma'!$A163)</f>
        <v>0</v>
      </c>
      <c r="H163" s="5">
        <f>SUMIFS(ham_data!AF:AF,ham_data!$J:$J,'DETAY-yaslandırma'!$B163,ham_data!$E:$E,'DETAY-yaslandırma'!$A163)</f>
        <v>0</v>
      </c>
      <c r="I163" s="5">
        <f>SUMIFS(ham_data!AG:AG,ham_data!$J:$J,'DETAY-yaslandırma'!$B163,ham_data!$E:$E,'DETAY-yaslandırma'!$A163)</f>
        <v>0</v>
      </c>
      <c r="J163" s="5">
        <f>SUMIFS(ham_data!AH:AH,ham_data!$J:$J,'DETAY-yaslandırma'!$B163,ham_data!$E:$E,'DETAY-yaslandırma'!$A163)</f>
        <v>0</v>
      </c>
      <c r="K163" s="7">
        <f>SUMIFS(DETAY!D:D,DETAY!A:A,'DETAY-yaslandırma'!A163,DETAY!B:B,'DETAY-yaslandırma'!B163)</f>
        <v>0</v>
      </c>
      <c r="L163" s="7">
        <f>SUMIFS(ham_data!U:U,ham_data!$J:$J,'DETAY-yaslandırma'!$B163,ham_data!$E:$E,'DETAY-yaslandırma'!$A163)</f>
        <v>0</v>
      </c>
      <c r="M163" s="7">
        <f>SUMIFS(ham_data!V:V,ham_data!$J:$J,'DETAY-yaslandırma'!$B163,ham_data!$E:$E,'DETAY-yaslandırma'!$A163)</f>
        <v>0</v>
      </c>
      <c r="N163" s="7">
        <f>SUMIFS(ham_data!W:W,ham_data!$J:$J,'DETAY-yaslandırma'!$B163,ham_data!$E:$E,'DETAY-yaslandırma'!$A163)</f>
        <v>0</v>
      </c>
      <c r="O163" s="7">
        <f>SUMIFS(ham_data!X:X,ham_data!$J:$J,'DETAY-yaslandırma'!$B163,ham_data!$E:$E,'DETAY-yaslandırma'!$A163)</f>
        <v>0</v>
      </c>
      <c r="P163" s="7">
        <f>SUMIFS(ham_data!Y:Y,ham_data!$J:$J,'DETAY-yaslandırma'!$B163,ham_data!$E:$E,'DETAY-yaslandırma'!$A163)</f>
        <v>0</v>
      </c>
      <c r="Q163" s="7">
        <f>SUMIFS(ham_data!Z:Z,ham_data!$J:$J,'DETAY-yaslandırma'!$B163,ham_data!$E:$E,'DETAY-yaslandırma'!$A163)</f>
        <v>0</v>
      </c>
      <c r="R163" s="7">
        <f>SUMIFS(ham_data!AA:AA,ham_data!$J:$J,'DETAY-yaslandırma'!$B163,ham_data!$E:$E,'DETAY-yaslandırma'!$A163)</f>
        <v>0</v>
      </c>
      <c r="S163" s="3">
        <f>SUMIFS(DETAY!E:E,DETAY!A:A,'DETAY-yaslandırma'!A163,DETAY!B:B,'DETAY-yaslandırma'!B163)</f>
        <v>0</v>
      </c>
      <c r="T163" s="3">
        <f t="shared" si="8"/>
        <v>0</v>
      </c>
      <c r="U163" s="11">
        <f t="shared" si="9"/>
        <v>0</v>
      </c>
    </row>
    <row r="164" spans="1:21" x14ac:dyDescent="0.35">
      <c r="A164" s="10" t="s">
        <v>312</v>
      </c>
      <c r="B164" s="2" t="s">
        <v>11</v>
      </c>
      <c r="C164" s="5">
        <f>SUMIFS(DETAY!C:C,DETAY!A:A,'DETAY-yaslandırma'!A164,DETAY!B:B,'DETAY-yaslandırma'!B164)</f>
        <v>629581.82999999996</v>
      </c>
      <c r="D164" s="5">
        <f>SUMIFS(ham_data!AB:AB,ham_data!$J:$J,'DETAY-yaslandırma'!$B164,ham_data!$E:$E,'DETAY-yaslandırma'!$A164)</f>
        <v>0</v>
      </c>
      <c r="E164" s="5">
        <f>SUMIFS(ham_data!AC:AC,ham_data!$J:$J,'DETAY-yaslandırma'!$B164,ham_data!$E:$E,'DETAY-yaslandırma'!$A164)</f>
        <v>209860.4</v>
      </c>
      <c r="F164" s="5">
        <f>SUMIFS(ham_data!AD:AD,ham_data!$J:$J,'DETAY-yaslandırma'!$B164,ham_data!$E:$E,'DETAY-yaslandırma'!$A164)</f>
        <v>209860.4</v>
      </c>
      <c r="G164" s="5">
        <f>SUMIFS(ham_data!AE:AE,ham_data!$J:$J,'DETAY-yaslandırma'!$B164,ham_data!$E:$E,'DETAY-yaslandırma'!$A164)</f>
        <v>209860.4</v>
      </c>
      <c r="H164" s="5">
        <f>SUMIFS(ham_data!AF:AF,ham_data!$J:$J,'DETAY-yaslandırma'!$B164,ham_data!$E:$E,'DETAY-yaslandırma'!$A164)</f>
        <v>0.01</v>
      </c>
      <c r="I164" s="5">
        <f>SUMIFS(ham_data!AG:AG,ham_data!$J:$J,'DETAY-yaslandırma'!$B164,ham_data!$E:$E,'DETAY-yaslandırma'!$A164)</f>
        <v>0.62</v>
      </c>
      <c r="J164" s="5">
        <f>SUMIFS(ham_data!AH:AH,ham_data!$J:$J,'DETAY-yaslandırma'!$B164,ham_data!$E:$E,'DETAY-yaslandırma'!$A164)</f>
        <v>0</v>
      </c>
      <c r="K164" s="7">
        <f>SUMIFS(DETAY!D:D,DETAY!A:A,'DETAY-yaslandırma'!A164,DETAY!B:B,'DETAY-yaslandırma'!B164)</f>
        <v>404162.08</v>
      </c>
      <c r="L164" s="7">
        <f>SUMIFS(ham_data!U:U,ham_data!$J:$J,'DETAY-yaslandırma'!$B164,ham_data!$E:$E,'DETAY-yaslandırma'!$A164)</f>
        <v>404162.08</v>
      </c>
      <c r="M164" s="7">
        <f>SUMIFS(ham_data!V:V,ham_data!$J:$J,'DETAY-yaslandırma'!$B164,ham_data!$E:$E,'DETAY-yaslandırma'!$A164)</f>
        <v>0</v>
      </c>
      <c r="N164" s="7">
        <f>SUMIFS(ham_data!W:W,ham_data!$J:$J,'DETAY-yaslandırma'!$B164,ham_data!$E:$E,'DETAY-yaslandırma'!$A164)</f>
        <v>0</v>
      </c>
      <c r="O164" s="7">
        <f>SUMIFS(ham_data!X:X,ham_data!$J:$J,'DETAY-yaslandırma'!$B164,ham_data!$E:$E,'DETAY-yaslandırma'!$A164)</f>
        <v>0</v>
      </c>
      <c r="P164" s="7">
        <f>SUMIFS(ham_data!Y:Y,ham_data!$J:$J,'DETAY-yaslandırma'!$B164,ham_data!$E:$E,'DETAY-yaslandırma'!$A164)</f>
        <v>0</v>
      </c>
      <c r="Q164" s="7">
        <f>SUMIFS(ham_data!Z:Z,ham_data!$J:$J,'DETAY-yaslandırma'!$B164,ham_data!$E:$E,'DETAY-yaslandırma'!$A164)</f>
        <v>0</v>
      </c>
      <c r="R164" s="7">
        <f>SUMIFS(ham_data!AA:AA,ham_data!$J:$J,'DETAY-yaslandırma'!$B164,ham_data!$E:$E,'DETAY-yaslandırma'!$A164)</f>
        <v>0</v>
      </c>
      <c r="S164" s="3">
        <f>SUMIFS(DETAY!E:E,DETAY!A:A,'DETAY-yaslandırma'!A164,DETAY!B:B,'DETAY-yaslandırma'!B164)</f>
        <v>1033743.9099999999</v>
      </c>
      <c r="T164" s="3">
        <f t="shared" si="8"/>
        <v>0</v>
      </c>
      <c r="U164" s="11">
        <f t="shared" si="9"/>
        <v>0</v>
      </c>
    </row>
    <row r="165" spans="1:21" x14ac:dyDescent="0.35">
      <c r="A165" s="10" t="s">
        <v>287</v>
      </c>
      <c r="B165" s="2" t="s">
        <v>11</v>
      </c>
      <c r="C165" s="5">
        <f>SUMIFS(DETAY!C:C,DETAY!A:A,'DETAY-yaslandırma'!A165,DETAY!B:B,'DETAY-yaslandırma'!B165)</f>
        <v>0</v>
      </c>
      <c r="D165" s="5">
        <f>SUMIFS(ham_data!AB:AB,ham_data!$J:$J,'DETAY-yaslandırma'!$B165,ham_data!$E:$E,'DETAY-yaslandırma'!$A165)</f>
        <v>0</v>
      </c>
      <c r="E165" s="5">
        <f>SUMIFS(ham_data!AC:AC,ham_data!$J:$J,'DETAY-yaslandırma'!$B165,ham_data!$E:$E,'DETAY-yaslandırma'!$A165)</f>
        <v>0</v>
      </c>
      <c r="F165" s="5">
        <f>SUMIFS(ham_data!AD:AD,ham_data!$J:$J,'DETAY-yaslandırma'!$B165,ham_data!$E:$E,'DETAY-yaslandırma'!$A165)</f>
        <v>0</v>
      </c>
      <c r="G165" s="5">
        <f>SUMIFS(ham_data!AE:AE,ham_data!$J:$J,'DETAY-yaslandırma'!$B165,ham_data!$E:$E,'DETAY-yaslandırma'!$A165)</f>
        <v>0</v>
      </c>
      <c r="H165" s="5">
        <f>SUMIFS(ham_data!AF:AF,ham_data!$J:$J,'DETAY-yaslandırma'!$B165,ham_data!$E:$E,'DETAY-yaslandırma'!$A165)</f>
        <v>0</v>
      </c>
      <c r="I165" s="5">
        <f>SUMIFS(ham_data!AG:AG,ham_data!$J:$J,'DETAY-yaslandırma'!$B165,ham_data!$E:$E,'DETAY-yaslandırma'!$A165)</f>
        <v>0</v>
      </c>
      <c r="J165" s="5">
        <f>SUMIFS(ham_data!AH:AH,ham_data!$J:$J,'DETAY-yaslandırma'!$B165,ham_data!$E:$E,'DETAY-yaslandırma'!$A165)</f>
        <v>0</v>
      </c>
      <c r="K165" s="7">
        <f>SUMIFS(DETAY!D:D,DETAY!A:A,'DETAY-yaslandırma'!A165,DETAY!B:B,'DETAY-yaslandırma'!B165)</f>
        <v>0</v>
      </c>
      <c r="L165" s="7">
        <f>SUMIFS(ham_data!U:U,ham_data!$J:$J,'DETAY-yaslandırma'!$B165,ham_data!$E:$E,'DETAY-yaslandırma'!$A165)</f>
        <v>0</v>
      </c>
      <c r="M165" s="7">
        <f>SUMIFS(ham_data!V:V,ham_data!$J:$J,'DETAY-yaslandırma'!$B165,ham_data!$E:$E,'DETAY-yaslandırma'!$A165)</f>
        <v>0</v>
      </c>
      <c r="N165" s="7">
        <f>SUMIFS(ham_data!W:W,ham_data!$J:$J,'DETAY-yaslandırma'!$B165,ham_data!$E:$E,'DETAY-yaslandırma'!$A165)</f>
        <v>0</v>
      </c>
      <c r="O165" s="7">
        <f>SUMIFS(ham_data!X:X,ham_data!$J:$J,'DETAY-yaslandırma'!$B165,ham_data!$E:$E,'DETAY-yaslandırma'!$A165)</f>
        <v>0</v>
      </c>
      <c r="P165" s="7">
        <f>SUMIFS(ham_data!Y:Y,ham_data!$J:$J,'DETAY-yaslandırma'!$B165,ham_data!$E:$E,'DETAY-yaslandırma'!$A165)</f>
        <v>0</v>
      </c>
      <c r="Q165" s="7">
        <f>SUMIFS(ham_data!Z:Z,ham_data!$J:$J,'DETAY-yaslandırma'!$B165,ham_data!$E:$E,'DETAY-yaslandırma'!$A165)</f>
        <v>0</v>
      </c>
      <c r="R165" s="7">
        <f>SUMIFS(ham_data!AA:AA,ham_data!$J:$J,'DETAY-yaslandırma'!$B165,ham_data!$E:$E,'DETAY-yaslandırma'!$A165)</f>
        <v>0</v>
      </c>
      <c r="S165" s="3">
        <f>SUMIFS(DETAY!E:E,DETAY!A:A,'DETAY-yaslandırma'!A165,DETAY!B:B,'DETAY-yaslandırma'!B165)</f>
        <v>0</v>
      </c>
      <c r="T165" s="3">
        <f t="shared" si="8"/>
        <v>0</v>
      </c>
      <c r="U165" s="11">
        <f t="shared" si="9"/>
        <v>0</v>
      </c>
    </row>
    <row r="166" spans="1:21" x14ac:dyDescent="0.35">
      <c r="A166" s="10" t="s">
        <v>313</v>
      </c>
      <c r="B166" s="2" t="s">
        <v>11</v>
      </c>
      <c r="C166" s="5">
        <f>SUMIFS(DETAY!C:C,DETAY!A:A,'DETAY-yaslandırma'!A166,DETAY!B:B,'DETAY-yaslandırma'!B166)</f>
        <v>0</v>
      </c>
      <c r="D166" s="5">
        <f>SUMIFS(ham_data!AB:AB,ham_data!$J:$J,'DETAY-yaslandırma'!$B166,ham_data!$E:$E,'DETAY-yaslandırma'!$A166)</f>
        <v>0</v>
      </c>
      <c r="E166" s="5">
        <f>SUMIFS(ham_data!AC:AC,ham_data!$J:$J,'DETAY-yaslandırma'!$B166,ham_data!$E:$E,'DETAY-yaslandırma'!$A166)</f>
        <v>0</v>
      </c>
      <c r="F166" s="5">
        <f>SUMIFS(ham_data!AD:AD,ham_data!$J:$J,'DETAY-yaslandırma'!$B166,ham_data!$E:$E,'DETAY-yaslandırma'!$A166)</f>
        <v>0</v>
      </c>
      <c r="G166" s="5">
        <f>SUMIFS(ham_data!AE:AE,ham_data!$J:$J,'DETAY-yaslandırma'!$B166,ham_data!$E:$E,'DETAY-yaslandırma'!$A166)</f>
        <v>0</v>
      </c>
      <c r="H166" s="5">
        <f>SUMIFS(ham_data!AF:AF,ham_data!$J:$J,'DETAY-yaslandırma'!$B166,ham_data!$E:$E,'DETAY-yaslandırma'!$A166)</f>
        <v>0</v>
      </c>
      <c r="I166" s="5">
        <f>SUMIFS(ham_data!AG:AG,ham_data!$J:$J,'DETAY-yaslandırma'!$B166,ham_data!$E:$E,'DETAY-yaslandırma'!$A166)</f>
        <v>0</v>
      </c>
      <c r="J166" s="5">
        <f>SUMIFS(ham_data!AH:AH,ham_data!$J:$J,'DETAY-yaslandırma'!$B166,ham_data!$E:$E,'DETAY-yaslandırma'!$A166)</f>
        <v>0</v>
      </c>
      <c r="K166" s="7">
        <f>SUMIFS(DETAY!D:D,DETAY!A:A,'DETAY-yaslandırma'!A166,DETAY!B:B,'DETAY-yaslandırma'!B166)</f>
        <v>130861.96</v>
      </c>
      <c r="L166" s="7">
        <f>SUMIFS(ham_data!U:U,ham_data!$J:$J,'DETAY-yaslandırma'!$B166,ham_data!$E:$E,'DETAY-yaslandırma'!$A166)</f>
        <v>130861.96</v>
      </c>
      <c r="M166" s="7">
        <f>SUMIFS(ham_data!V:V,ham_data!$J:$J,'DETAY-yaslandırma'!$B166,ham_data!$E:$E,'DETAY-yaslandırma'!$A166)</f>
        <v>0</v>
      </c>
      <c r="N166" s="7">
        <f>SUMIFS(ham_data!W:W,ham_data!$J:$J,'DETAY-yaslandırma'!$B166,ham_data!$E:$E,'DETAY-yaslandırma'!$A166)</f>
        <v>0</v>
      </c>
      <c r="O166" s="7">
        <f>SUMIFS(ham_data!X:X,ham_data!$J:$J,'DETAY-yaslandırma'!$B166,ham_data!$E:$E,'DETAY-yaslandırma'!$A166)</f>
        <v>0</v>
      </c>
      <c r="P166" s="7">
        <f>SUMIFS(ham_data!Y:Y,ham_data!$J:$J,'DETAY-yaslandırma'!$B166,ham_data!$E:$E,'DETAY-yaslandırma'!$A166)</f>
        <v>0</v>
      </c>
      <c r="Q166" s="7">
        <f>SUMIFS(ham_data!Z:Z,ham_data!$J:$J,'DETAY-yaslandırma'!$B166,ham_data!$E:$E,'DETAY-yaslandırma'!$A166)</f>
        <v>0</v>
      </c>
      <c r="R166" s="7">
        <f>SUMIFS(ham_data!AA:AA,ham_data!$J:$J,'DETAY-yaslandırma'!$B166,ham_data!$E:$E,'DETAY-yaslandırma'!$A166)</f>
        <v>0</v>
      </c>
      <c r="S166" s="3">
        <f>SUMIFS(DETAY!E:E,DETAY!A:A,'DETAY-yaslandırma'!A166,DETAY!B:B,'DETAY-yaslandırma'!B166)</f>
        <v>130861.96</v>
      </c>
      <c r="T166" s="3">
        <f t="shared" si="8"/>
        <v>0</v>
      </c>
      <c r="U166" s="11">
        <f t="shared" si="9"/>
        <v>0</v>
      </c>
    </row>
    <row r="167" spans="1:21" x14ac:dyDescent="0.35">
      <c r="A167" s="10" t="s">
        <v>278</v>
      </c>
      <c r="B167" s="2" t="s">
        <v>11</v>
      </c>
      <c r="C167" s="5">
        <f>SUMIFS(DETAY!C:C,DETAY!A:A,'DETAY-yaslandırma'!A167,DETAY!B:B,'DETAY-yaslandırma'!B167)</f>
        <v>0</v>
      </c>
      <c r="D167" s="5">
        <f>SUMIFS(ham_data!AB:AB,ham_data!$J:$J,'DETAY-yaslandırma'!$B167,ham_data!$E:$E,'DETAY-yaslandırma'!$A167)</f>
        <v>0</v>
      </c>
      <c r="E167" s="5">
        <f>SUMIFS(ham_data!AC:AC,ham_data!$J:$J,'DETAY-yaslandırma'!$B167,ham_data!$E:$E,'DETAY-yaslandırma'!$A167)</f>
        <v>0</v>
      </c>
      <c r="F167" s="5">
        <f>SUMIFS(ham_data!AD:AD,ham_data!$J:$J,'DETAY-yaslandırma'!$B167,ham_data!$E:$E,'DETAY-yaslandırma'!$A167)</f>
        <v>0</v>
      </c>
      <c r="G167" s="5">
        <f>SUMIFS(ham_data!AE:AE,ham_data!$J:$J,'DETAY-yaslandırma'!$B167,ham_data!$E:$E,'DETAY-yaslandırma'!$A167)</f>
        <v>0</v>
      </c>
      <c r="H167" s="5">
        <f>SUMIFS(ham_data!AF:AF,ham_data!$J:$J,'DETAY-yaslandırma'!$B167,ham_data!$E:$E,'DETAY-yaslandırma'!$A167)</f>
        <v>0</v>
      </c>
      <c r="I167" s="5">
        <f>SUMIFS(ham_data!AG:AG,ham_data!$J:$J,'DETAY-yaslandırma'!$B167,ham_data!$E:$E,'DETAY-yaslandırma'!$A167)</f>
        <v>0</v>
      </c>
      <c r="J167" s="5">
        <f>SUMIFS(ham_data!AH:AH,ham_data!$J:$J,'DETAY-yaslandırma'!$B167,ham_data!$E:$E,'DETAY-yaslandırma'!$A167)</f>
        <v>0</v>
      </c>
      <c r="K167" s="7">
        <f>SUMIFS(DETAY!D:D,DETAY!A:A,'DETAY-yaslandırma'!A167,DETAY!B:B,'DETAY-yaslandırma'!B167)</f>
        <v>0</v>
      </c>
      <c r="L167" s="7">
        <f>SUMIFS(ham_data!U:U,ham_data!$J:$J,'DETAY-yaslandırma'!$B167,ham_data!$E:$E,'DETAY-yaslandırma'!$A167)</f>
        <v>0</v>
      </c>
      <c r="M167" s="7">
        <f>SUMIFS(ham_data!V:V,ham_data!$J:$J,'DETAY-yaslandırma'!$B167,ham_data!$E:$E,'DETAY-yaslandırma'!$A167)</f>
        <v>0</v>
      </c>
      <c r="N167" s="7">
        <f>SUMIFS(ham_data!W:W,ham_data!$J:$J,'DETAY-yaslandırma'!$B167,ham_data!$E:$E,'DETAY-yaslandırma'!$A167)</f>
        <v>0</v>
      </c>
      <c r="O167" s="7">
        <f>SUMIFS(ham_data!X:X,ham_data!$J:$J,'DETAY-yaslandırma'!$B167,ham_data!$E:$E,'DETAY-yaslandırma'!$A167)</f>
        <v>0</v>
      </c>
      <c r="P167" s="7">
        <f>SUMIFS(ham_data!Y:Y,ham_data!$J:$J,'DETAY-yaslandırma'!$B167,ham_data!$E:$E,'DETAY-yaslandırma'!$A167)</f>
        <v>0</v>
      </c>
      <c r="Q167" s="7">
        <f>SUMIFS(ham_data!Z:Z,ham_data!$J:$J,'DETAY-yaslandırma'!$B167,ham_data!$E:$E,'DETAY-yaslandırma'!$A167)</f>
        <v>0</v>
      </c>
      <c r="R167" s="7">
        <f>SUMIFS(ham_data!AA:AA,ham_data!$J:$J,'DETAY-yaslandırma'!$B167,ham_data!$E:$E,'DETAY-yaslandırma'!$A167)</f>
        <v>0</v>
      </c>
      <c r="S167" s="3">
        <f>SUMIFS(DETAY!E:E,DETAY!A:A,'DETAY-yaslandırma'!A167,DETAY!B:B,'DETAY-yaslandırma'!B167)</f>
        <v>0</v>
      </c>
      <c r="T167" s="3">
        <f t="shared" si="8"/>
        <v>0</v>
      </c>
      <c r="U167" s="11">
        <f t="shared" si="9"/>
        <v>0</v>
      </c>
    </row>
    <row r="168" spans="1:21" x14ac:dyDescent="0.35">
      <c r="A168" s="10" t="s">
        <v>320</v>
      </c>
      <c r="B168" s="2" t="s">
        <v>11</v>
      </c>
      <c r="C168" s="5">
        <f>SUMIFS(DETAY!C:C,DETAY!A:A,'DETAY-yaslandırma'!A168,DETAY!B:B,'DETAY-yaslandırma'!B168)</f>
        <v>0</v>
      </c>
      <c r="D168" s="5">
        <f>SUMIFS(ham_data!AB:AB,ham_data!$J:$J,'DETAY-yaslandırma'!$B168,ham_data!$E:$E,'DETAY-yaslandırma'!$A168)</f>
        <v>0</v>
      </c>
      <c r="E168" s="5">
        <f>SUMIFS(ham_data!AC:AC,ham_data!$J:$J,'DETAY-yaslandırma'!$B168,ham_data!$E:$E,'DETAY-yaslandırma'!$A168)</f>
        <v>0</v>
      </c>
      <c r="F168" s="5">
        <f>SUMIFS(ham_data!AD:AD,ham_data!$J:$J,'DETAY-yaslandırma'!$B168,ham_data!$E:$E,'DETAY-yaslandırma'!$A168)</f>
        <v>0</v>
      </c>
      <c r="G168" s="5">
        <f>SUMIFS(ham_data!AE:AE,ham_data!$J:$J,'DETAY-yaslandırma'!$B168,ham_data!$E:$E,'DETAY-yaslandırma'!$A168)</f>
        <v>0</v>
      </c>
      <c r="H168" s="5">
        <f>SUMIFS(ham_data!AF:AF,ham_data!$J:$J,'DETAY-yaslandırma'!$B168,ham_data!$E:$E,'DETAY-yaslandırma'!$A168)</f>
        <v>0</v>
      </c>
      <c r="I168" s="5">
        <f>SUMIFS(ham_data!AG:AG,ham_data!$J:$J,'DETAY-yaslandırma'!$B168,ham_data!$E:$E,'DETAY-yaslandırma'!$A168)</f>
        <v>0</v>
      </c>
      <c r="J168" s="5">
        <f>SUMIFS(ham_data!AH:AH,ham_data!$J:$J,'DETAY-yaslandırma'!$B168,ham_data!$E:$E,'DETAY-yaslandırma'!$A168)</f>
        <v>0</v>
      </c>
      <c r="K168" s="7">
        <f>SUMIFS(DETAY!D:D,DETAY!A:A,'DETAY-yaslandırma'!A168,DETAY!B:B,'DETAY-yaslandırma'!B168)</f>
        <v>2783597.27</v>
      </c>
      <c r="L168" s="7">
        <f>SUMIFS(ham_data!U:U,ham_data!$J:$J,'DETAY-yaslandırma'!$B168,ham_data!$E:$E,'DETAY-yaslandırma'!$A168)</f>
        <v>2783597.27</v>
      </c>
      <c r="M168" s="7">
        <f>SUMIFS(ham_data!V:V,ham_data!$J:$J,'DETAY-yaslandırma'!$B168,ham_data!$E:$E,'DETAY-yaslandırma'!$A168)</f>
        <v>0</v>
      </c>
      <c r="N168" s="7">
        <f>SUMIFS(ham_data!W:W,ham_data!$J:$J,'DETAY-yaslandırma'!$B168,ham_data!$E:$E,'DETAY-yaslandırma'!$A168)</f>
        <v>0</v>
      </c>
      <c r="O168" s="7">
        <f>SUMIFS(ham_data!X:X,ham_data!$J:$J,'DETAY-yaslandırma'!$B168,ham_data!$E:$E,'DETAY-yaslandırma'!$A168)</f>
        <v>0</v>
      </c>
      <c r="P168" s="7">
        <f>SUMIFS(ham_data!Y:Y,ham_data!$J:$J,'DETAY-yaslandırma'!$B168,ham_data!$E:$E,'DETAY-yaslandırma'!$A168)</f>
        <v>0</v>
      </c>
      <c r="Q168" s="7">
        <f>SUMIFS(ham_data!Z:Z,ham_data!$J:$J,'DETAY-yaslandırma'!$B168,ham_data!$E:$E,'DETAY-yaslandırma'!$A168)</f>
        <v>0</v>
      </c>
      <c r="R168" s="7">
        <f>SUMIFS(ham_data!AA:AA,ham_data!$J:$J,'DETAY-yaslandırma'!$B168,ham_data!$E:$E,'DETAY-yaslandırma'!$A168)</f>
        <v>0</v>
      </c>
      <c r="S168" s="3">
        <f>SUMIFS(DETAY!E:E,DETAY!A:A,'DETAY-yaslandırma'!A168,DETAY!B:B,'DETAY-yaslandırma'!B168)</f>
        <v>2783597.27</v>
      </c>
      <c r="T168" s="3">
        <f t="shared" si="8"/>
        <v>0</v>
      </c>
      <c r="U168" s="11">
        <f t="shared" si="9"/>
        <v>0</v>
      </c>
    </row>
    <row r="169" spans="1:21" x14ac:dyDescent="0.35">
      <c r="A169" s="10" t="s">
        <v>321</v>
      </c>
      <c r="B169" s="2" t="s">
        <v>37</v>
      </c>
      <c r="C169" s="5">
        <f>SUMIFS(DETAY!C:C,DETAY!A:A,'DETAY-yaslandırma'!A169,DETAY!B:B,'DETAY-yaslandırma'!B169)</f>
        <v>0</v>
      </c>
      <c r="D169" s="5">
        <f>SUMIFS(ham_data!AB:AB,ham_data!$J:$J,'DETAY-yaslandırma'!$B169,ham_data!$E:$E,'DETAY-yaslandırma'!$A169)</f>
        <v>0</v>
      </c>
      <c r="E169" s="5">
        <f>SUMIFS(ham_data!AC:AC,ham_data!$J:$J,'DETAY-yaslandırma'!$B169,ham_data!$E:$E,'DETAY-yaslandırma'!$A169)</f>
        <v>0</v>
      </c>
      <c r="F169" s="5">
        <f>SUMIFS(ham_data!AD:AD,ham_data!$J:$J,'DETAY-yaslandırma'!$B169,ham_data!$E:$E,'DETAY-yaslandırma'!$A169)</f>
        <v>0</v>
      </c>
      <c r="G169" s="5">
        <f>SUMIFS(ham_data!AE:AE,ham_data!$J:$J,'DETAY-yaslandırma'!$B169,ham_data!$E:$E,'DETAY-yaslandırma'!$A169)</f>
        <v>0</v>
      </c>
      <c r="H169" s="5">
        <f>SUMIFS(ham_data!AF:AF,ham_data!$J:$J,'DETAY-yaslandırma'!$B169,ham_data!$E:$E,'DETAY-yaslandırma'!$A169)</f>
        <v>0</v>
      </c>
      <c r="I169" s="5">
        <f>SUMIFS(ham_data!AG:AG,ham_data!$J:$J,'DETAY-yaslandırma'!$B169,ham_data!$E:$E,'DETAY-yaslandırma'!$A169)</f>
        <v>0</v>
      </c>
      <c r="J169" s="5">
        <f>SUMIFS(ham_data!AH:AH,ham_data!$J:$J,'DETAY-yaslandırma'!$B169,ham_data!$E:$E,'DETAY-yaslandırma'!$A169)</f>
        <v>0</v>
      </c>
      <c r="K169" s="7">
        <f>SUMIFS(DETAY!D:D,DETAY!A:A,'DETAY-yaslandırma'!A169,DETAY!B:B,'DETAY-yaslandırma'!B169)</f>
        <v>0</v>
      </c>
      <c r="L169" s="7">
        <f>SUMIFS(ham_data!U:U,ham_data!$J:$J,'DETAY-yaslandırma'!$B169,ham_data!$E:$E,'DETAY-yaslandırma'!$A169)</f>
        <v>0</v>
      </c>
      <c r="M169" s="7">
        <f>SUMIFS(ham_data!V:V,ham_data!$J:$J,'DETAY-yaslandırma'!$B169,ham_data!$E:$E,'DETAY-yaslandırma'!$A169)</f>
        <v>0</v>
      </c>
      <c r="N169" s="7">
        <f>SUMIFS(ham_data!W:W,ham_data!$J:$J,'DETAY-yaslandırma'!$B169,ham_data!$E:$E,'DETAY-yaslandırma'!$A169)</f>
        <v>0</v>
      </c>
      <c r="O169" s="7">
        <f>SUMIFS(ham_data!X:X,ham_data!$J:$J,'DETAY-yaslandırma'!$B169,ham_data!$E:$E,'DETAY-yaslandırma'!$A169)</f>
        <v>0</v>
      </c>
      <c r="P169" s="7">
        <f>SUMIFS(ham_data!Y:Y,ham_data!$J:$J,'DETAY-yaslandırma'!$B169,ham_data!$E:$E,'DETAY-yaslandırma'!$A169)</f>
        <v>0</v>
      </c>
      <c r="Q169" s="7">
        <f>SUMIFS(ham_data!Z:Z,ham_data!$J:$J,'DETAY-yaslandırma'!$B169,ham_data!$E:$E,'DETAY-yaslandırma'!$A169)</f>
        <v>0</v>
      </c>
      <c r="R169" s="7">
        <f>SUMIFS(ham_data!AA:AA,ham_data!$J:$J,'DETAY-yaslandırma'!$B169,ham_data!$E:$E,'DETAY-yaslandırma'!$A169)</f>
        <v>0</v>
      </c>
      <c r="S169" s="3">
        <f>SUMIFS(DETAY!E:E,DETAY!A:A,'DETAY-yaslandırma'!A169,DETAY!B:B,'DETAY-yaslandırma'!B169)</f>
        <v>0</v>
      </c>
      <c r="T169" s="3">
        <f t="shared" si="8"/>
        <v>0</v>
      </c>
      <c r="U169" s="11">
        <f t="shared" si="9"/>
        <v>0</v>
      </c>
    </row>
    <row r="170" spans="1:21" x14ac:dyDescent="0.35">
      <c r="A170" s="10" t="s">
        <v>317</v>
      </c>
      <c r="B170" s="2" t="s">
        <v>11</v>
      </c>
      <c r="C170" s="5">
        <f>SUMIFS(DETAY!C:C,DETAY!A:A,'DETAY-yaslandırma'!A170,DETAY!B:B,'DETAY-yaslandırma'!B170)</f>
        <v>0.01</v>
      </c>
      <c r="D170" s="5">
        <f>SUMIFS(ham_data!AB:AB,ham_data!$J:$J,'DETAY-yaslandırma'!$B170,ham_data!$E:$E,'DETAY-yaslandırma'!$A170)</f>
        <v>0</v>
      </c>
      <c r="E170" s="5">
        <f>SUMIFS(ham_data!AC:AC,ham_data!$J:$J,'DETAY-yaslandırma'!$B170,ham_data!$E:$E,'DETAY-yaslandırma'!$A170)</f>
        <v>0.01</v>
      </c>
      <c r="F170" s="5">
        <f>SUMIFS(ham_data!AD:AD,ham_data!$J:$J,'DETAY-yaslandırma'!$B170,ham_data!$E:$E,'DETAY-yaslandırma'!$A170)</f>
        <v>0</v>
      </c>
      <c r="G170" s="5">
        <f>SUMIFS(ham_data!AE:AE,ham_data!$J:$J,'DETAY-yaslandırma'!$B170,ham_data!$E:$E,'DETAY-yaslandırma'!$A170)</f>
        <v>0</v>
      </c>
      <c r="H170" s="5">
        <f>SUMIFS(ham_data!AF:AF,ham_data!$J:$J,'DETAY-yaslandırma'!$B170,ham_data!$E:$E,'DETAY-yaslandırma'!$A170)</f>
        <v>0</v>
      </c>
      <c r="I170" s="5">
        <f>SUMIFS(ham_data!AG:AG,ham_data!$J:$J,'DETAY-yaslandırma'!$B170,ham_data!$E:$E,'DETAY-yaslandırma'!$A170)</f>
        <v>0</v>
      </c>
      <c r="J170" s="5">
        <f>SUMIFS(ham_data!AH:AH,ham_data!$J:$J,'DETAY-yaslandırma'!$B170,ham_data!$E:$E,'DETAY-yaslandırma'!$A170)</f>
        <v>0</v>
      </c>
      <c r="K170" s="7">
        <f>SUMIFS(DETAY!D:D,DETAY!A:A,'DETAY-yaslandırma'!A170,DETAY!B:B,'DETAY-yaslandırma'!B170)</f>
        <v>719955.73</v>
      </c>
      <c r="L170" s="7">
        <f>SUMIFS(ham_data!U:U,ham_data!$J:$J,'DETAY-yaslandırma'!$B170,ham_data!$E:$E,'DETAY-yaslandırma'!$A170)</f>
        <v>719955.73</v>
      </c>
      <c r="M170" s="7">
        <f>SUMIFS(ham_data!V:V,ham_data!$J:$J,'DETAY-yaslandırma'!$B170,ham_data!$E:$E,'DETAY-yaslandırma'!$A170)</f>
        <v>0</v>
      </c>
      <c r="N170" s="7">
        <f>SUMIFS(ham_data!W:W,ham_data!$J:$J,'DETAY-yaslandırma'!$B170,ham_data!$E:$E,'DETAY-yaslandırma'!$A170)</f>
        <v>0</v>
      </c>
      <c r="O170" s="7">
        <f>SUMIFS(ham_data!X:X,ham_data!$J:$J,'DETAY-yaslandırma'!$B170,ham_data!$E:$E,'DETAY-yaslandırma'!$A170)</f>
        <v>0</v>
      </c>
      <c r="P170" s="7">
        <f>SUMIFS(ham_data!Y:Y,ham_data!$J:$J,'DETAY-yaslandırma'!$B170,ham_data!$E:$E,'DETAY-yaslandırma'!$A170)</f>
        <v>0</v>
      </c>
      <c r="Q170" s="7">
        <f>SUMIFS(ham_data!Z:Z,ham_data!$J:$J,'DETAY-yaslandırma'!$B170,ham_data!$E:$E,'DETAY-yaslandırma'!$A170)</f>
        <v>0</v>
      </c>
      <c r="R170" s="7">
        <f>SUMIFS(ham_data!AA:AA,ham_data!$J:$J,'DETAY-yaslandırma'!$B170,ham_data!$E:$E,'DETAY-yaslandırma'!$A170)</f>
        <v>0</v>
      </c>
      <c r="S170" s="3">
        <f>SUMIFS(DETAY!E:E,DETAY!A:A,'DETAY-yaslandırma'!A170,DETAY!B:B,'DETAY-yaslandırma'!B170)</f>
        <v>719955.74</v>
      </c>
      <c r="T170" s="3">
        <f t="shared" si="8"/>
        <v>0</v>
      </c>
      <c r="U170" s="11">
        <f t="shared" si="9"/>
        <v>0</v>
      </c>
    </row>
    <row r="171" spans="1:21" x14ac:dyDescent="0.35">
      <c r="A171" s="10" t="s">
        <v>314</v>
      </c>
      <c r="B171" s="2" t="s">
        <v>11</v>
      </c>
      <c r="C171" s="5">
        <f>SUMIFS(DETAY!C:C,DETAY!A:A,'DETAY-yaslandırma'!A171,DETAY!B:B,'DETAY-yaslandırma'!B171)</f>
        <v>0</v>
      </c>
      <c r="D171" s="5">
        <f>SUMIFS(ham_data!AB:AB,ham_data!$J:$J,'DETAY-yaslandırma'!$B171,ham_data!$E:$E,'DETAY-yaslandırma'!$A171)</f>
        <v>0</v>
      </c>
      <c r="E171" s="5">
        <f>SUMIFS(ham_data!AC:AC,ham_data!$J:$J,'DETAY-yaslandırma'!$B171,ham_data!$E:$E,'DETAY-yaslandırma'!$A171)</f>
        <v>0</v>
      </c>
      <c r="F171" s="5">
        <f>SUMIFS(ham_data!AD:AD,ham_data!$J:$J,'DETAY-yaslandırma'!$B171,ham_data!$E:$E,'DETAY-yaslandırma'!$A171)</f>
        <v>0</v>
      </c>
      <c r="G171" s="5">
        <f>SUMIFS(ham_data!AE:AE,ham_data!$J:$J,'DETAY-yaslandırma'!$B171,ham_data!$E:$E,'DETAY-yaslandırma'!$A171)</f>
        <v>0</v>
      </c>
      <c r="H171" s="5">
        <f>SUMIFS(ham_data!AF:AF,ham_data!$J:$J,'DETAY-yaslandırma'!$B171,ham_data!$E:$E,'DETAY-yaslandırma'!$A171)</f>
        <v>0</v>
      </c>
      <c r="I171" s="5">
        <f>SUMIFS(ham_data!AG:AG,ham_data!$J:$J,'DETAY-yaslandırma'!$B171,ham_data!$E:$E,'DETAY-yaslandırma'!$A171)</f>
        <v>0</v>
      </c>
      <c r="J171" s="5">
        <f>SUMIFS(ham_data!AH:AH,ham_data!$J:$J,'DETAY-yaslandırma'!$B171,ham_data!$E:$E,'DETAY-yaslandırma'!$A171)</f>
        <v>0</v>
      </c>
      <c r="K171" s="7">
        <f>SUMIFS(DETAY!D:D,DETAY!A:A,'DETAY-yaslandırma'!A171,DETAY!B:B,'DETAY-yaslandırma'!B171)</f>
        <v>0</v>
      </c>
      <c r="L171" s="7">
        <f>SUMIFS(ham_data!U:U,ham_data!$J:$J,'DETAY-yaslandırma'!$B171,ham_data!$E:$E,'DETAY-yaslandırma'!$A171)</f>
        <v>0</v>
      </c>
      <c r="M171" s="7">
        <f>SUMIFS(ham_data!V:V,ham_data!$J:$J,'DETAY-yaslandırma'!$B171,ham_data!$E:$E,'DETAY-yaslandırma'!$A171)</f>
        <v>0</v>
      </c>
      <c r="N171" s="7">
        <f>SUMIFS(ham_data!W:W,ham_data!$J:$J,'DETAY-yaslandırma'!$B171,ham_data!$E:$E,'DETAY-yaslandırma'!$A171)</f>
        <v>0</v>
      </c>
      <c r="O171" s="7">
        <f>SUMIFS(ham_data!X:X,ham_data!$J:$J,'DETAY-yaslandırma'!$B171,ham_data!$E:$E,'DETAY-yaslandırma'!$A171)</f>
        <v>0</v>
      </c>
      <c r="P171" s="7">
        <f>SUMIFS(ham_data!Y:Y,ham_data!$J:$J,'DETAY-yaslandırma'!$B171,ham_data!$E:$E,'DETAY-yaslandırma'!$A171)</f>
        <v>0</v>
      </c>
      <c r="Q171" s="7">
        <f>SUMIFS(ham_data!Z:Z,ham_data!$J:$J,'DETAY-yaslandırma'!$B171,ham_data!$E:$E,'DETAY-yaslandırma'!$A171)</f>
        <v>0</v>
      </c>
      <c r="R171" s="7">
        <f>SUMIFS(ham_data!AA:AA,ham_data!$J:$J,'DETAY-yaslandırma'!$B171,ham_data!$E:$E,'DETAY-yaslandırma'!$A171)</f>
        <v>0</v>
      </c>
      <c r="S171" s="3">
        <f>SUMIFS(DETAY!E:E,DETAY!A:A,'DETAY-yaslandırma'!A171,DETAY!B:B,'DETAY-yaslandırma'!B171)</f>
        <v>0</v>
      </c>
      <c r="T171" s="3">
        <f t="shared" si="8"/>
        <v>0</v>
      </c>
      <c r="U171" s="11">
        <f t="shared" si="9"/>
        <v>0</v>
      </c>
    </row>
    <row r="172" spans="1:21" x14ac:dyDescent="0.35">
      <c r="A172" s="10" t="s">
        <v>318</v>
      </c>
      <c r="B172" s="2" t="s">
        <v>11</v>
      </c>
      <c r="C172" s="5">
        <f>SUMIFS(DETAY!C:C,DETAY!A:A,'DETAY-yaslandırma'!A172,DETAY!B:B,'DETAY-yaslandırma'!B172)</f>
        <v>0</v>
      </c>
      <c r="D172" s="5">
        <f>SUMIFS(ham_data!AB:AB,ham_data!$J:$J,'DETAY-yaslandırma'!$B172,ham_data!$E:$E,'DETAY-yaslandırma'!$A172)</f>
        <v>0</v>
      </c>
      <c r="E172" s="5">
        <f>SUMIFS(ham_data!AC:AC,ham_data!$J:$J,'DETAY-yaslandırma'!$B172,ham_data!$E:$E,'DETAY-yaslandırma'!$A172)</f>
        <v>0</v>
      </c>
      <c r="F172" s="5">
        <f>SUMIFS(ham_data!AD:AD,ham_data!$J:$J,'DETAY-yaslandırma'!$B172,ham_data!$E:$E,'DETAY-yaslandırma'!$A172)</f>
        <v>0</v>
      </c>
      <c r="G172" s="5">
        <f>SUMIFS(ham_data!AE:AE,ham_data!$J:$J,'DETAY-yaslandırma'!$B172,ham_data!$E:$E,'DETAY-yaslandırma'!$A172)</f>
        <v>0</v>
      </c>
      <c r="H172" s="5">
        <f>SUMIFS(ham_data!AF:AF,ham_data!$J:$J,'DETAY-yaslandırma'!$B172,ham_data!$E:$E,'DETAY-yaslandırma'!$A172)</f>
        <v>0</v>
      </c>
      <c r="I172" s="5">
        <f>SUMIFS(ham_data!AG:AG,ham_data!$J:$J,'DETAY-yaslandırma'!$B172,ham_data!$E:$E,'DETAY-yaslandırma'!$A172)</f>
        <v>0</v>
      </c>
      <c r="J172" s="5">
        <f>SUMIFS(ham_data!AH:AH,ham_data!$J:$J,'DETAY-yaslandırma'!$B172,ham_data!$E:$E,'DETAY-yaslandırma'!$A172)</f>
        <v>0</v>
      </c>
      <c r="K172" s="7">
        <f>SUMIFS(DETAY!D:D,DETAY!A:A,'DETAY-yaslandırma'!A172,DETAY!B:B,'DETAY-yaslandırma'!B172)</f>
        <v>0</v>
      </c>
      <c r="L172" s="7">
        <f>SUMIFS(ham_data!U:U,ham_data!$J:$J,'DETAY-yaslandırma'!$B172,ham_data!$E:$E,'DETAY-yaslandırma'!$A172)</f>
        <v>0</v>
      </c>
      <c r="M172" s="7">
        <f>SUMIFS(ham_data!V:V,ham_data!$J:$J,'DETAY-yaslandırma'!$B172,ham_data!$E:$E,'DETAY-yaslandırma'!$A172)</f>
        <v>0</v>
      </c>
      <c r="N172" s="7">
        <f>SUMIFS(ham_data!W:W,ham_data!$J:$J,'DETAY-yaslandırma'!$B172,ham_data!$E:$E,'DETAY-yaslandırma'!$A172)</f>
        <v>0</v>
      </c>
      <c r="O172" s="7">
        <f>SUMIFS(ham_data!X:X,ham_data!$J:$J,'DETAY-yaslandırma'!$B172,ham_data!$E:$E,'DETAY-yaslandırma'!$A172)</f>
        <v>0</v>
      </c>
      <c r="P172" s="7">
        <f>SUMIFS(ham_data!Y:Y,ham_data!$J:$J,'DETAY-yaslandırma'!$B172,ham_data!$E:$E,'DETAY-yaslandırma'!$A172)</f>
        <v>0</v>
      </c>
      <c r="Q172" s="7">
        <f>SUMIFS(ham_data!Z:Z,ham_data!$J:$J,'DETAY-yaslandırma'!$B172,ham_data!$E:$E,'DETAY-yaslandırma'!$A172)</f>
        <v>0</v>
      </c>
      <c r="R172" s="7">
        <f>SUMIFS(ham_data!AA:AA,ham_data!$J:$J,'DETAY-yaslandırma'!$B172,ham_data!$E:$E,'DETAY-yaslandırma'!$A172)</f>
        <v>0</v>
      </c>
      <c r="S172" s="3">
        <f>SUMIFS(DETAY!E:E,DETAY!A:A,'DETAY-yaslandırma'!A172,DETAY!B:B,'DETAY-yaslandırma'!B172)</f>
        <v>0</v>
      </c>
      <c r="T172" s="3">
        <f t="shared" si="8"/>
        <v>0</v>
      </c>
      <c r="U172" s="11">
        <f t="shared" si="9"/>
        <v>0</v>
      </c>
    </row>
    <row r="173" spans="1:21" x14ac:dyDescent="0.35">
      <c r="A173" s="10" t="s">
        <v>322</v>
      </c>
      <c r="B173" s="2" t="s">
        <v>11</v>
      </c>
      <c r="C173" s="5">
        <f>SUMIFS(DETAY!C:C,DETAY!A:A,'DETAY-yaslandırma'!A173,DETAY!B:B,'DETAY-yaslandırma'!B173)</f>
        <v>0</v>
      </c>
      <c r="D173" s="5">
        <f>SUMIFS(ham_data!AB:AB,ham_data!$J:$J,'DETAY-yaslandırma'!$B173,ham_data!$E:$E,'DETAY-yaslandırma'!$A173)</f>
        <v>0</v>
      </c>
      <c r="E173" s="5">
        <f>SUMIFS(ham_data!AC:AC,ham_data!$J:$J,'DETAY-yaslandırma'!$B173,ham_data!$E:$E,'DETAY-yaslandırma'!$A173)</f>
        <v>0</v>
      </c>
      <c r="F173" s="5">
        <f>SUMIFS(ham_data!AD:AD,ham_data!$J:$J,'DETAY-yaslandırma'!$B173,ham_data!$E:$E,'DETAY-yaslandırma'!$A173)</f>
        <v>0</v>
      </c>
      <c r="G173" s="5">
        <f>SUMIFS(ham_data!AE:AE,ham_data!$J:$J,'DETAY-yaslandırma'!$B173,ham_data!$E:$E,'DETAY-yaslandırma'!$A173)</f>
        <v>0</v>
      </c>
      <c r="H173" s="5">
        <f>SUMIFS(ham_data!AF:AF,ham_data!$J:$J,'DETAY-yaslandırma'!$B173,ham_data!$E:$E,'DETAY-yaslandırma'!$A173)</f>
        <v>0</v>
      </c>
      <c r="I173" s="5">
        <f>SUMIFS(ham_data!AG:AG,ham_data!$J:$J,'DETAY-yaslandırma'!$B173,ham_data!$E:$E,'DETAY-yaslandırma'!$A173)</f>
        <v>0</v>
      </c>
      <c r="J173" s="5">
        <f>SUMIFS(ham_data!AH:AH,ham_data!$J:$J,'DETAY-yaslandırma'!$B173,ham_data!$E:$E,'DETAY-yaslandırma'!$A173)</f>
        <v>0</v>
      </c>
      <c r="K173" s="7">
        <f>SUMIFS(DETAY!D:D,DETAY!A:A,'DETAY-yaslandırma'!A173,DETAY!B:B,'DETAY-yaslandırma'!B173)</f>
        <v>0</v>
      </c>
      <c r="L173" s="7">
        <f>SUMIFS(ham_data!U:U,ham_data!$J:$J,'DETAY-yaslandırma'!$B173,ham_data!$E:$E,'DETAY-yaslandırma'!$A173)</f>
        <v>0</v>
      </c>
      <c r="M173" s="7">
        <f>SUMIFS(ham_data!V:V,ham_data!$J:$J,'DETAY-yaslandırma'!$B173,ham_data!$E:$E,'DETAY-yaslandırma'!$A173)</f>
        <v>0</v>
      </c>
      <c r="N173" s="7">
        <f>SUMIFS(ham_data!W:W,ham_data!$J:$J,'DETAY-yaslandırma'!$B173,ham_data!$E:$E,'DETAY-yaslandırma'!$A173)</f>
        <v>0</v>
      </c>
      <c r="O173" s="7">
        <f>SUMIFS(ham_data!X:X,ham_data!$J:$J,'DETAY-yaslandırma'!$B173,ham_data!$E:$E,'DETAY-yaslandırma'!$A173)</f>
        <v>0</v>
      </c>
      <c r="P173" s="7">
        <f>SUMIFS(ham_data!Y:Y,ham_data!$J:$J,'DETAY-yaslandırma'!$B173,ham_data!$E:$E,'DETAY-yaslandırma'!$A173)</f>
        <v>0</v>
      </c>
      <c r="Q173" s="7">
        <f>SUMIFS(ham_data!Z:Z,ham_data!$J:$J,'DETAY-yaslandırma'!$B173,ham_data!$E:$E,'DETAY-yaslandırma'!$A173)</f>
        <v>0</v>
      </c>
      <c r="R173" s="7">
        <f>SUMIFS(ham_data!AA:AA,ham_data!$J:$J,'DETAY-yaslandırma'!$B173,ham_data!$E:$E,'DETAY-yaslandırma'!$A173)</f>
        <v>0</v>
      </c>
      <c r="S173" s="3">
        <f>SUMIFS(DETAY!E:E,DETAY!A:A,'DETAY-yaslandırma'!A173,DETAY!B:B,'DETAY-yaslandırma'!B173)</f>
        <v>0</v>
      </c>
      <c r="T173" s="3">
        <f t="shared" si="8"/>
        <v>0</v>
      </c>
      <c r="U173" s="11">
        <f t="shared" si="9"/>
        <v>0</v>
      </c>
    </row>
    <row r="174" spans="1:21" x14ac:dyDescent="0.35">
      <c r="A174" s="10" t="s">
        <v>328</v>
      </c>
      <c r="B174" s="2" t="s">
        <v>37</v>
      </c>
      <c r="C174" s="5">
        <f>SUMIFS(DETAY!C:C,DETAY!A:A,'DETAY-yaslandırma'!A174,DETAY!B:B,'DETAY-yaslandırma'!B174)</f>
        <v>560</v>
      </c>
      <c r="D174" s="5">
        <f>SUMIFS(ham_data!AB:AB,ham_data!$J:$J,'DETAY-yaslandırma'!$B174,ham_data!$E:$E,'DETAY-yaslandırma'!$A174)</f>
        <v>0</v>
      </c>
      <c r="E174" s="5">
        <f>SUMIFS(ham_data!AC:AC,ham_data!$J:$J,'DETAY-yaslandırma'!$B174,ham_data!$E:$E,'DETAY-yaslandırma'!$A174)</f>
        <v>56</v>
      </c>
      <c r="F174" s="5">
        <f>SUMIFS(ham_data!AD:AD,ham_data!$J:$J,'DETAY-yaslandırma'!$B174,ham_data!$E:$E,'DETAY-yaslandırma'!$A174)</f>
        <v>0</v>
      </c>
      <c r="G174" s="5">
        <f>SUMIFS(ham_data!AE:AE,ham_data!$J:$J,'DETAY-yaslandırma'!$B174,ham_data!$E:$E,'DETAY-yaslandırma'!$A174)</f>
        <v>0</v>
      </c>
      <c r="H174" s="5">
        <f>SUMIFS(ham_data!AF:AF,ham_data!$J:$J,'DETAY-yaslandırma'!$B174,ham_data!$E:$E,'DETAY-yaslandırma'!$A174)</f>
        <v>504</v>
      </c>
      <c r="I174" s="5">
        <f>SUMIFS(ham_data!AG:AG,ham_data!$J:$J,'DETAY-yaslandırma'!$B174,ham_data!$E:$E,'DETAY-yaslandırma'!$A174)</f>
        <v>0</v>
      </c>
      <c r="J174" s="5">
        <f>SUMIFS(ham_data!AH:AH,ham_data!$J:$J,'DETAY-yaslandırma'!$B174,ham_data!$E:$E,'DETAY-yaslandırma'!$A174)</f>
        <v>0</v>
      </c>
      <c r="K174" s="7">
        <f>SUMIFS(DETAY!D:D,DETAY!A:A,'DETAY-yaslandırma'!A174,DETAY!B:B,'DETAY-yaslandırma'!B174)</f>
        <v>7696</v>
      </c>
      <c r="L174" s="7">
        <f>SUMIFS(ham_data!U:U,ham_data!$J:$J,'DETAY-yaslandırma'!$B174,ham_data!$E:$E,'DETAY-yaslandırma'!$A174)</f>
        <v>7696</v>
      </c>
      <c r="M174" s="7">
        <f>SUMIFS(ham_data!V:V,ham_data!$J:$J,'DETAY-yaslandırma'!$B174,ham_data!$E:$E,'DETAY-yaslandırma'!$A174)</f>
        <v>0</v>
      </c>
      <c r="N174" s="7">
        <f>SUMIFS(ham_data!W:W,ham_data!$J:$J,'DETAY-yaslandırma'!$B174,ham_data!$E:$E,'DETAY-yaslandırma'!$A174)</f>
        <v>0</v>
      </c>
      <c r="O174" s="7">
        <f>SUMIFS(ham_data!X:X,ham_data!$J:$J,'DETAY-yaslandırma'!$B174,ham_data!$E:$E,'DETAY-yaslandırma'!$A174)</f>
        <v>0</v>
      </c>
      <c r="P174" s="7">
        <f>SUMIFS(ham_data!Y:Y,ham_data!$J:$J,'DETAY-yaslandırma'!$B174,ham_data!$E:$E,'DETAY-yaslandırma'!$A174)</f>
        <v>0</v>
      </c>
      <c r="Q174" s="7">
        <f>SUMIFS(ham_data!Z:Z,ham_data!$J:$J,'DETAY-yaslandırma'!$B174,ham_data!$E:$E,'DETAY-yaslandırma'!$A174)</f>
        <v>0</v>
      </c>
      <c r="R174" s="7">
        <f>SUMIFS(ham_data!AA:AA,ham_data!$J:$J,'DETAY-yaslandırma'!$B174,ham_data!$E:$E,'DETAY-yaslandırma'!$A174)</f>
        <v>0</v>
      </c>
      <c r="S174" s="3">
        <f>SUMIFS(DETAY!E:E,DETAY!A:A,'DETAY-yaslandırma'!A174,DETAY!B:B,'DETAY-yaslandırma'!B174)</f>
        <v>8256</v>
      </c>
      <c r="T174" s="3">
        <f t="shared" si="8"/>
        <v>0</v>
      </c>
      <c r="U174" s="11">
        <f t="shared" si="9"/>
        <v>0</v>
      </c>
    </row>
    <row r="175" spans="1:21" x14ac:dyDescent="0.35">
      <c r="A175" s="10" t="s">
        <v>332</v>
      </c>
      <c r="B175" s="2" t="s">
        <v>11</v>
      </c>
      <c r="C175" s="5">
        <f>SUMIFS(DETAY!C:C,DETAY!A:A,'DETAY-yaslandırma'!A175,DETAY!B:B,'DETAY-yaslandırma'!B175)</f>
        <v>59546.83</v>
      </c>
      <c r="D175" s="5">
        <f>SUMIFS(ham_data!AB:AB,ham_data!$J:$J,'DETAY-yaslandırma'!$B175,ham_data!$E:$E,'DETAY-yaslandırma'!$A175)</f>
        <v>0</v>
      </c>
      <c r="E175" s="5">
        <f>SUMIFS(ham_data!AC:AC,ham_data!$J:$J,'DETAY-yaslandırma'!$B175,ham_data!$E:$E,'DETAY-yaslandırma'!$A175)</f>
        <v>0</v>
      </c>
      <c r="F175" s="5">
        <f>SUMIFS(ham_data!AD:AD,ham_data!$J:$J,'DETAY-yaslandırma'!$B175,ham_data!$E:$E,'DETAY-yaslandırma'!$A175)</f>
        <v>0</v>
      </c>
      <c r="G175" s="5">
        <f>SUMIFS(ham_data!AE:AE,ham_data!$J:$J,'DETAY-yaslandırma'!$B175,ham_data!$E:$E,'DETAY-yaslandırma'!$A175)</f>
        <v>0</v>
      </c>
      <c r="H175" s="5">
        <f>SUMIFS(ham_data!AF:AF,ham_data!$J:$J,'DETAY-yaslandırma'!$B175,ham_data!$E:$E,'DETAY-yaslandırma'!$A175)</f>
        <v>59546.83</v>
      </c>
      <c r="I175" s="5">
        <f>SUMIFS(ham_data!AG:AG,ham_data!$J:$J,'DETAY-yaslandırma'!$B175,ham_data!$E:$E,'DETAY-yaslandırma'!$A175)</f>
        <v>0</v>
      </c>
      <c r="J175" s="5">
        <f>SUMIFS(ham_data!AH:AH,ham_data!$J:$J,'DETAY-yaslandırma'!$B175,ham_data!$E:$E,'DETAY-yaslandırma'!$A175)</f>
        <v>0</v>
      </c>
      <c r="K175" s="7">
        <f>SUMIFS(DETAY!D:D,DETAY!A:A,'DETAY-yaslandırma'!A175,DETAY!B:B,'DETAY-yaslandırma'!B175)</f>
        <v>0</v>
      </c>
      <c r="L175" s="7">
        <f>SUMIFS(ham_data!U:U,ham_data!$J:$J,'DETAY-yaslandırma'!$B175,ham_data!$E:$E,'DETAY-yaslandırma'!$A175)</f>
        <v>0</v>
      </c>
      <c r="M175" s="7">
        <f>SUMIFS(ham_data!V:V,ham_data!$J:$J,'DETAY-yaslandırma'!$B175,ham_data!$E:$E,'DETAY-yaslandırma'!$A175)</f>
        <v>0</v>
      </c>
      <c r="N175" s="7">
        <f>SUMIFS(ham_data!W:W,ham_data!$J:$J,'DETAY-yaslandırma'!$B175,ham_data!$E:$E,'DETAY-yaslandırma'!$A175)</f>
        <v>0</v>
      </c>
      <c r="O175" s="7">
        <f>SUMIFS(ham_data!X:X,ham_data!$J:$J,'DETAY-yaslandırma'!$B175,ham_data!$E:$E,'DETAY-yaslandırma'!$A175)</f>
        <v>0</v>
      </c>
      <c r="P175" s="7">
        <f>SUMIFS(ham_data!Y:Y,ham_data!$J:$J,'DETAY-yaslandırma'!$B175,ham_data!$E:$E,'DETAY-yaslandırma'!$A175)</f>
        <v>0</v>
      </c>
      <c r="Q175" s="7">
        <f>SUMIFS(ham_data!Z:Z,ham_data!$J:$J,'DETAY-yaslandırma'!$B175,ham_data!$E:$E,'DETAY-yaslandırma'!$A175)</f>
        <v>0</v>
      </c>
      <c r="R175" s="7">
        <f>SUMIFS(ham_data!AA:AA,ham_data!$J:$J,'DETAY-yaslandırma'!$B175,ham_data!$E:$E,'DETAY-yaslandırma'!$A175)</f>
        <v>0</v>
      </c>
      <c r="S175" s="3">
        <f>SUMIFS(DETAY!E:E,DETAY!A:A,'DETAY-yaslandırma'!A175,DETAY!B:B,'DETAY-yaslandırma'!B175)</f>
        <v>59546.83</v>
      </c>
      <c r="T175" s="3">
        <f t="shared" si="8"/>
        <v>0</v>
      </c>
      <c r="U175" s="11">
        <f t="shared" si="9"/>
        <v>0</v>
      </c>
    </row>
    <row r="176" spans="1:21" x14ac:dyDescent="0.35">
      <c r="A176" s="10" t="s">
        <v>330</v>
      </c>
      <c r="B176" s="2" t="s">
        <v>11</v>
      </c>
      <c r="C176" s="5">
        <f>SUMIFS(DETAY!C:C,DETAY!A:A,'DETAY-yaslandırma'!A176,DETAY!B:B,'DETAY-yaslandırma'!B176)</f>
        <v>0</v>
      </c>
      <c r="D176" s="5">
        <f>SUMIFS(ham_data!AB:AB,ham_data!$J:$J,'DETAY-yaslandırma'!$B176,ham_data!$E:$E,'DETAY-yaslandırma'!$A176)</f>
        <v>0</v>
      </c>
      <c r="E176" s="5">
        <f>SUMIFS(ham_data!AC:AC,ham_data!$J:$J,'DETAY-yaslandırma'!$B176,ham_data!$E:$E,'DETAY-yaslandırma'!$A176)</f>
        <v>0</v>
      </c>
      <c r="F176" s="5">
        <f>SUMIFS(ham_data!AD:AD,ham_data!$J:$J,'DETAY-yaslandırma'!$B176,ham_data!$E:$E,'DETAY-yaslandırma'!$A176)</f>
        <v>0</v>
      </c>
      <c r="G176" s="5">
        <f>SUMIFS(ham_data!AE:AE,ham_data!$J:$J,'DETAY-yaslandırma'!$B176,ham_data!$E:$E,'DETAY-yaslandırma'!$A176)</f>
        <v>0</v>
      </c>
      <c r="H176" s="5">
        <f>SUMIFS(ham_data!AF:AF,ham_data!$J:$J,'DETAY-yaslandırma'!$B176,ham_data!$E:$E,'DETAY-yaslandırma'!$A176)</f>
        <v>0</v>
      </c>
      <c r="I176" s="5">
        <f>SUMIFS(ham_data!AG:AG,ham_data!$J:$J,'DETAY-yaslandırma'!$B176,ham_data!$E:$E,'DETAY-yaslandırma'!$A176)</f>
        <v>0</v>
      </c>
      <c r="J176" s="5">
        <f>SUMIFS(ham_data!AH:AH,ham_data!$J:$J,'DETAY-yaslandırma'!$B176,ham_data!$E:$E,'DETAY-yaslandırma'!$A176)</f>
        <v>0</v>
      </c>
      <c r="K176" s="7">
        <f>SUMIFS(DETAY!D:D,DETAY!A:A,'DETAY-yaslandırma'!A176,DETAY!B:B,'DETAY-yaslandırma'!B176)</f>
        <v>0</v>
      </c>
      <c r="L176" s="7">
        <f>SUMIFS(ham_data!U:U,ham_data!$J:$J,'DETAY-yaslandırma'!$B176,ham_data!$E:$E,'DETAY-yaslandırma'!$A176)</f>
        <v>0</v>
      </c>
      <c r="M176" s="7">
        <f>SUMIFS(ham_data!V:V,ham_data!$J:$J,'DETAY-yaslandırma'!$B176,ham_data!$E:$E,'DETAY-yaslandırma'!$A176)</f>
        <v>0</v>
      </c>
      <c r="N176" s="7">
        <f>SUMIFS(ham_data!W:W,ham_data!$J:$J,'DETAY-yaslandırma'!$B176,ham_data!$E:$E,'DETAY-yaslandırma'!$A176)</f>
        <v>0</v>
      </c>
      <c r="O176" s="7">
        <f>SUMIFS(ham_data!X:X,ham_data!$J:$J,'DETAY-yaslandırma'!$B176,ham_data!$E:$E,'DETAY-yaslandırma'!$A176)</f>
        <v>0</v>
      </c>
      <c r="P176" s="7">
        <f>SUMIFS(ham_data!Y:Y,ham_data!$J:$J,'DETAY-yaslandırma'!$B176,ham_data!$E:$E,'DETAY-yaslandırma'!$A176)</f>
        <v>0</v>
      </c>
      <c r="Q176" s="7">
        <f>SUMIFS(ham_data!Z:Z,ham_data!$J:$J,'DETAY-yaslandırma'!$B176,ham_data!$E:$E,'DETAY-yaslandırma'!$A176)</f>
        <v>0</v>
      </c>
      <c r="R176" s="7">
        <f>SUMIFS(ham_data!AA:AA,ham_data!$J:$J,'DETAY-yaslandırma'!$B176,ham_data!$E:$E,'DETAY-yaslandırma'!$A176)</f>
        <v>0</v>
      </c>
      <c r="S176" s="3">
        <f>SUMIFS(DETAY!E:E,DETAY!A:A,'DETAY-yaslandırma'!A176,DETAY!B:B,'DETAY-yaslandırma'!B176)</f>
        <v>0</v>
      </c>
      <c r="T176" s="3">
        <f t="shared" si="8"/>
        <v>0</v>
      </c>
      <c r="U176" s="11">
        <f t="shared" si="9"/>
        <v>0</v>
      </c>
    </row>
    <row r="177" spans="1:21" x14ac:dyDescent="0.35">
      <c r="A177" s="10" t="s">
        <v>329</v>
      </c>
      <c r="B177" s="2" t="s">
        <v>11</v>
      </c>
      <c r="C177" s="5">
        <f>SUMIFS(DETAY!C:C,DETAY!A:A,'DETAY-yaslandırma'!A177,DETAY!B:B,'DETAY-yaslandırma'!B177)</f>
        <v>0</v>
      </c>
      <c r="D177" s="5">
        <f>SUMIFS(ham_data!AB:AB,ham_data!$J:$J,'DETAY-yaslandırma'!$B177,ham_data!$E:$E,'DETAY-yaslandırma'!$A177)</f>
        <v>0</v>
      </c>
      <c r="E177" s="5">
        <f>SUMIFS(ham_data!AC:AC,ham_data!$J:$J,'DETAY-yaslandırma'!$B177,ham_data!$E:$E,'DETAY-yaslandırma'!$A177)</f>
        <v>0</v>
      </c>
      <c r="F177" s="5">
        <f>SUMIFS(ham_data!AD:AD,ham_data!$J:$J,'DETAY-yaslandırma'!$B177,ham_data!$E:$E,'DETAY-yaslandırma'!$A177)</f>
        <v>0</v>
      </c>
      <c r="G177" s="5">
        <f>SUMIFS(ham_data!AE:AE,ham_data!$J:$J,'DETAY-yaslandırma'!$B177,ham_data!$E:$E,'DETAY-yaslandırma'!$A177)</f>
        <v>0</v>
      </c>
      <c r="H177" s="5">
        <f>SUMIFS(ham_data!AF:AF,ham_data!$J:$J,'DETAY-yaslandırma'!$B177,ham_data!$E:$E,'DETAY-yaslandırma'!$A177)</f>
        <v>0</v>
      </c>
      <c r="I177" s="5">
        <f>SUMIFS(ham_data!AG:AG,ham_data!$J:$J,'DETAY-yaslandırma'!$B177,ham_data!$E:$E,'DETAY-yaslandırma'!$A177)</f>
        <v>0</v>
      </c>
      <c r="J177" s="5">
        <f>SUMIFS(ham_data!AH:AH,ham_data!$J:$J,'DETAY-yaslandırma'!$B177,ham_data!$E:$E,'DETAY-yaslandırma'!$A177)</f>
        <v>0</v>
      </c>
      <c r="K177" s="7">
        <f>SUMIFS(DETAY!D:D,DETAY!A:A,'DETAY-yaslandırma'!A177,DETAY!B:B,'DETAY-yaslandırma'!B177)</f>
        <v>999542.2</v>
      </c>
      <c r="L177" s="7">
        <f>SUMIFS(ham_data!U:U,ham_data!$J:$J,'DETAY-yaslandırma'!$B177,ham_data!$E:$E,'DETAY-yaslandırma'!$A177)</f>
        <v>999542.2</v>
      </c>
      <c r="M177" s="7">
        <f>SUMIFS(ham_data!V:V,ham_data!$J:$J,'DETAY-yaslandırma'!$B177,ham_data!$E:$E,'DETAY-yaslandırma'!$A177)</f>
        <v>0</v>
      </c>
      <c r="N177" s="7">
        <f>SUMIFS(ham_data!W:W,ham_data!$J:$J,'DETAY-yaslandırma'!$B177,ham_data!$E:$E,'DETAY-yaslandırma'!$A177)</f>
        <v>0</v>
      </c>
      <c r="O177" s="7">
        <f>SUMIFS(ham_data!X:X,ham_data!$J:$J,'DETAY-yaslandırma'!$B177,ham_data!$E:$E,'DETAY-yaslandırma'!$A177)</f>
        <v>0</v>
      </c>
      <c r="P177" s="7">
        <f>SUMIFS(ham_data!Y:Y,ham_data!$J:$J,'DETAY-yaslandırma'!$B177,ham_data!$E:$E,'DETAY-yaslandırma'!$A177)</f>
        <v>0</v>
      </c>
      <c r="Q177" s="7">
        <f>SUMIFS(ham_data!Z:Z,ham_data!$J:$J,'DETAY-yaslandırma'!$B177,ham_data!$E:$E,'DETAY-yaslandırma'!$A177)</f>
        <v>0</v>
      </c>
      <c r="R177" s="7">
        <f>SUMIFS(ham_data!AA:AA,ham_data!$J:$J,'DETAY-yaslandırma'!$B177,ham_data!$E:$E,'DETAY-yaslandırma'!$A177)</f>
        <v>0</v>
      </c>
      <c r="S177" s="3">
        <f>SUMIFS(DETAY!E:E,DETAY!A:A,'DETAY-yaslandırma'!A177,DETAY!B:B,'DETAY-yaslandırma'!B177)</f>
        <v>999542.2</v>
      </c>
      <c r="T177" s="3">
        <f t="shared" si="8"/>
        <v>0</v>
      </c>
      <c r="U177" s="11">
        <f t="shared" si="9"/>
        <v>0</v>
      </c>
    </row>
    <row r="178" spans="1:21" x14ac:dyDescent="0.35">
      <c r="A178" s="10" t="s">
        <v>323</v>
      </c>
      <c r="B178" s="2" t="s">
        <v>11</v>
      </c>
      <c r="C178" s="5">
        <f>SUMIFS(DETAY!C:C,DETAY!A:A,'DETAY-yaslandırma'!A178,DETAY!B:B,'DETAY-yaslandırma'!B178)</f>
        <v>0</v>
      </c>
      <c r="D178" s="5">
        <f>SUMIFS(ham_data!AB:AB,ham_data!$J:$J,'DETAY-yaslandırma'!$B178,ham_data!$E:$E,'DETAY-yaslandırma'!$A178)</f>
        <v>0</v>
      </c>
      <c r="E178" s="5">
        <f>SUMIFS(ham_data!AC:AC,ham_data!$J:$J,'DETAY-yaslandırma'!$B178,ham_data!$E:$E,'DETAY-yaslandırma'!$A178)</f>
        <v>0</v>
      </c>
      <c r="F178" s="5">
        <f>SUMIFS(ham_data!AD:AD,ham_data!$J:$J,'DETAY-yaslandırma'!$B178,ham_data!$E:$E,'DETAY-yaslandırma'!$A178)</f>
        <v>0</v>
      </c>
      <c r="G178" s="5">
        <f>SUMIFS(ham_data!AE:AE,ham_data!$J:$J,'DETAY-yaslandırma'!$B178,ham_data!$E:$E,'DETAY-yaslandırma'!$A178)</f>
        <v>0</v>
      </c>
      <c r="H178" s="5">
        <f>SUMIFS(ham_data!AF:AF,ham_data!$J:$J,'DETAY-yaslandırma'!$B178,ham_data!$E:$E,'DETAY-yaslandırma'!$A178)</f>
        <v>0</v>
      </c>
      <c r="I178" s="5">
        <f>SUMIFS(ham_data!AG:AG,ham_data!$J:$J,'DETAY-yaslandırma'!$B178,ham_data!$E:$E,'DETAY-yaslandırma'!$A178)</f>
        <v>0</v>
      </c>
      <c r="J178" s="5">
        <f>SUMIFS(ham_data!AH:AH,ham_data!$J:$J,'DETAY-yaslandırma'!$B178,ham_data!$E:$E,'DETAY-yaslandırma'!$A178)</f>
        <v>0</v>
      </c>
      <c r="K178" s="7">
        <f>SUMIFS(DETAY!D:D,DETAY!A:A,'DETAY-yaslandırma'!A178,DETAY!B:B,'DETAY-yaslandırma'!B178)</f>
        <v>0</v>
      </c>
      <c r="L178" s="7">
        <f>SUMIFS(ham_data!U:U,ham_data!$J:$J,'DETAY-yaslandırma'!$B178,ham_data!$E:$E,'DETAY-yaslandırma'!$A178)</f>
        <v>0</v>
      </c>
      <c r="M178" s="7">
        <f>SUMIFS(ham_data!V:V,ham_data!$J:$J,'DETAY-yaslandırma'!$B178,ham_data!$E:$E,'DETAY-yaslandırma'!$A178)</f>
        <v>0</v>
      </c>
      <c r="N178" s="7">
        <f>SUMIFS(ham_data!W:W,ham_data!$J:$J,'DETAY-yaslandırma'!$B178,ham_data!$E:$E,'DETAY-yaslandırma'!$A178)</f>
        <v>0</v>
      </c>
      <c r="O178" s="7">
        <f>SUMIFS(ham_data!X:X,ham_data!$J:$J,'DETAY-yaslandırma'!$B178,ham_data!$E:$E,'DETAY-yaslandırma'!$A178)</f>
        <v>0</v>
      </c>
      <c r="P178" s="7">
        <f>SUMIFS(ham_data!Y:Y,ham_data!$J:$J,'DETAY-yaslandırma'!$B178,ham_data!$E:$E,'DETAY-yaslandırma'!$A178)</f>
        <v>0</v>
      </c>
      <c r="Q178" s="7">
        <f>SUMIFS(ham_data!Z:Z,ham_data!$J:$J,'DETAY-yaslandırma'!$B178,ham_data!$E:$E,'DETAY-yaslandırma'!$A178)</f>
        <v>0</v>
      </c>
      <c r="R178" s="7">
        <f>SUMIFS(ham_data!AA:AA,ham_data!$J:$J,'DETAY-yaslandırma'!$B178,ham_data!$E:$E,'DETAY-yaslandırma'!$A178)</f>
        <v>0</v>
      </c>
      <c r="S178" s="3">
        <f>SUMIFS(DETAY!E:E,DETAY!A:A,'DETAY-yaslandırma'!A178,DETAY!B:B,'DETAY-yaslandırma'!B178)</f>
        <v>0</v>
      </c>
      <c r="T178" s="3">
        <f t="shared" si="8"/>
        <v>0</v>
      </c>
      <c r="U178" s="11">
        <f t="shared" si="9"/>
        <v>0</v>
      </c>
    </row>
    <row r="179" spans="1:21" x14ac:dyDescent="0.35">
      <c r="A179" s="10" t="s">
        <v>324</v>
      </c>
      <c r="B179" s="2" t="s">
        <v>11</v>
      </c>
      <c r="C179" s="5">
        <f>SUMIFS(DETAY!C:C,DETAY!A:A,'DETAY-yaslandırma'!A179,DETAY!B:B,'DETAY-yaslandırma'!B179)</f>
        <v>0</v>
      </c>
      <c r="D179" s="5">
        <f>SUMIFS(ham_data!AB:AB,ham_data!$J:$J,'DETAY-yaslandırma'!$B179,ham_data!$E:$E,'DETAY-yaslandırma'!$A179)</f>
        <v>0</v>
      </c>
      <c r="E179" s="5">
        <f>SUMIFS(ham_data!AC:AC,ham_data!$J:$J,'DETAY-yaslandırma'!$B179,ham_data!$E:$E,'DETAY-yaslandırma'!$A179)</f>
        <v>0</v>
      </c>
      <c r="F179" s="5">
        <f>SUMIFS(ham_data!AD:AD,ham_data!$J:$J,'DETAY-yaslandırma'!$B179,ham_data!$E:$E,'DETAY-yaslandırma'!$A179)</f>
        <v>0</v>
      </c>
      <c r="G179" s="5">
        <f>SUMIFS(ham_data!AE:AE,ham_data!$J:$J,'DETAY-yaslandırma'!$B179,ham_data!$E:$E,'DETAY-yaslandırma'!$A179)</f>
        <v>0</v>
      </c>
      <c r="H179" s="5">
        <f>SUMIFS(ham_data!AF:AF,ham_data!$J:$J,'DETAY-yaslandırma'!$B179,ham_data!$E:$E,'DETAY-yaslandırma'!$A179)</f>
        <v>0</v>
      </c>
      <c r="I179" s="5">
        <f>SUMIFS(ham_data!AG:AG,ham_data!$J:$J,'DETAY-yaslandırma'!$B179,ham_data!$E:$E,'DETAY-yaslandırma'!$A179)</f>
        <v>0</v>
      </c>
      <c r="J179" s="5">
        <f>SUMIFS(ham_data!AH:AH,ham_data!$J:$J,'DETAY-yaslandırma'!$B179,ham_data!$E:$E,'DETAY-yaslandırma'!$A179)</f>
        <v>0</v>
      </c>
      <c r="K179" s="7">
        <f>SUMIFS(DETAY!D:D,DETAY!A:A,'DETAY-yaslandırma'!A179,DETAY!B:B,'DETAY-yaslandırma'!B179)</f>
        <v>0</v>
      </c>
      <c r="L179" s="7">
        <f>SUMIFS(ham_data!U:U,ham_data!$J:$J,'DETAY-yaslandırma'!$B179,ham_data!$E:$E,'DETAY-yaslandırma'!$A179)</f>
        <v>0</v>
      </c>
      <c r="M179" s="7">
        <f>SUMIFS(ham_data!V:V,ham_data!$J:$J,'DETAY-yaslandırma'!$B179,ham_data!$E:$E,'DETAY-yaslandırma'!$A179)</f>
        <v>0</v>
      </c>
      <c r="N179" s="7">
        <f>SUMIFS(ham_data!W:W,ham_data!$J:$J,'DETAY-yaslandırma'!$B179,ham_data!$E:$E,'DETAY-yaslandırma'!$A179)</f>
        <v>0</v>
      </c>
      <c r="O179" s="7">
        <f>SUMIFS(ham_data!X:X,ham_data!$J:$J,'DETAY-yaslandırma'!$B179,ham_data!$E:$E,'DETAY-yaslandırma'!$A179)</f>
        <v>0</v>
      </c>
      <c r="P179" s="7">
        <f>SUMIFS(ham_data!Y:Y,ham_data!$J:$J,'DETAY-yaslandırma'!$B179,ham_data!$E:$E,'DETAY-yaslandırma'!$A179)</f>
        <v>0</v>
      </c>
      <c r="Q179" s="7">
        <f>SUMIFS(ham_data!Z:Z,ham_data!$J:$J,'DETAY-yaslandırma'!$B179,ham_data!$E:$E,'DETAY-yaslandırma'!$A179)</f>
        <v>0</v>
      </c>
      <c r="R179" s="7">
        <f>SUMIFS(ham_data!AA:AA,ham_data!$J:$J,'DETAY-yaslandırma'!$B179,ham_data!$E:$E,'DETAY-yaslandırma'!$A179)</f>
        <v>0</v>
      </c>
      <c r="S179" s="3">
        <f>SUMIFS(DETAY!E:E,DETAY!A:A,'DETAY-yaslandırma'!A179,DETAY!B:B,'DETAY-yaslandırma'!B179)</f>
        <v>0</v>
      </c>
      <c r="T179" s="3">
        <f t="shared" si="8"/>
        <v>0</v>
      </c>
      <c r="U179" s="11">
        <f t="shared" si="9"/>
        <v>0</v>
      </c>
    </row>
    <row r="180" spans="1:21" x14ac:dyDescent="0.35">
      <c r="A180" s="10" t="s">
        <v>331</v>
      </c>
      <c r="B180" s="2" t="s">
        <v>11</v>
      </c>
      <c r="C180" s="5">
        <f>SUMIFS(DETAY!C:C,DETAY!A:A,'DETAY-yaslandırma'!A180,DETAY!B:B,'DETAY-yaslandırma'!B180)</f>
        <v>0</v>
      </c>
      <c r="D180" s="5">
        <f>SUMIFS(ham_data!AB:AB,ham_data!$J:$J,'DETAY-yaslandırma'!$B180,ham_data!$E:$E,'DETAY-yaslandırma'!$A180)</f>
        <v>0</v>
      </c>
      <c r="E180" s="5">
        <f>SUMIFS(ham_data!AC:AC,ham_data!$J:$J,'DETAY-yaslandırma'!$B180,ham_data!$E:$E,'DETAY-yaslandırma'!$A180)</f>
        <v>0</v>
      </c>
      <c r="F180" s="5">
        <f>SUMIFS(ham_data!AD:AD,ham_data!$J:$J,'DETAY-yaslandırma'!$B180,ham_data!$E:$E,'DETAY-yaslandırma'!$A180)</f>
        <v>0</v>
      </c>
      <c r="G180" s="5">
        <f>SUMIFS(ham_data!AE:AE,ham_data!$J:$J,'DETAY-yaslandırma'!$B180,ham_data!$E:$E,'DETAY-yaslandırma'!$A180)</f>
        <v>0</v>
      </c>
      <c r="H180" s="5">
        <f>SUMIFS(ham_data!AF:AF,ham_data!$J:$J,'DETAY-yaslandırma'!$B180,ham_data!$E:$E,'DETAY-yaslandırma'!$A180)</f>
        <v>0</v>
      </c>
      <c r="I180" s="5">
        <f>SUMIFS(ham_data!AG:AG,ham_data!$J:$J,'DETAY-yaslandırma'!$B180,ham_data!$E:$E,'DETAY-yaslandırma'!$A180)</f>
        <v>0</v>
      </c>
      <c r="J180" s="5">
        <f>SUMIFS(ham_data!AH:AH,ham_data!$J:$J,'DETAY-yaslandırma'!$B180,ham_data!$E:$E,'DETAY-yaslandırma'!$A180)</f>
        <v>0</v>
      </c>
      <c r="K180" s="7">
        <f>SUMIFS(DETAY!D:D,DETAY!A:A,'DETAY-yaslandırma'!A180,DETAY!B:B,'DETAY-yaslandırma'!B180)</f>
        <v>0</v>
      </c>
      <c r="L180" s="7">
        <f>SUMIFS(ham_data!U:U,ham_data!$J:$J,'DETAY-yaslandırma'!$B180,ham_data!$E:$E,'DETAY-yaslandırma'!$A180)</f>
        <v>0</v>
      </c>
      <c r="M180" s="7">
        <f>SUMIFS(ham_data!V:V,ham_data!$J:$J,'DETAY-yaslandırma'!$B180,ham_data!$E:$E,'DETAY-yaslandırma'!$A180)</f>
        <v>0</v>
      </c>
      <c r="N180" s="7">
        <f>SUMIFS(ham_data!W:W,ham_data!$J:$J,'DETAY-yaslandırma'!$B180,ham_data!$E:$E,'DETAY-yaslandırma'!$A180)</f>
        <v>0</v>
      </c>
      <c r="O180" s="7">
        <f>SUMIFS(ham_data!X:X,ham_data!$J:$J,'DETAY-yaslandırma'!$B180,ham_data!$E:$E,'DETAY-yaslandırma'!$A180)</f>
        <v>0</v>
      </c>
      <c r="P180" s="7">
        <f>SUMIFS(ham_data!Y:Y,ham_data!$J:$J,'DETAY-yaslandırma'!$B180,ham_data!$E:$E,'DETAY-yaslandırma'!$A180)</f>
        <v>0</v>
      </c>
      <c r="Q180" s="7">
        <f>SUMIFS(ham_data!Z:Z,ham_data!$J:$J,'DETAY-yaslandırma'!$B180,ham_data!$E:$E,'DETAY-yaslandırma'!$A180)</f>
        <v>0</v>
      </c>
      <c r="R180" s="7">
        <f>SUMIFS(ham_data!AA:AA,ham_data!$J:$J,'DETAY-yaslandırma'!$B180,ham_data!$E:$E,'DETAY-yaslandırma'!$A180)</f>
        <v>0</v>
      </c>
      <c r="S180" s="3">
        <f>SUMIFS(DETAY!E:E,DETAY!A:A,'DETAY-yaslandırma'!A180,DETAY!B:B,'DETAY-yaslandırma'!B180)</f>
        <v>0</v>
      </c>
      <c r="T180" s="3">
        <f t="shared" si="8"/>
        <v>0</v>
      </c>
      <c r="U180" s="11">
        <f t="shared" si="9"/>
        <v>0</v>
      </c>
    </row>
    <row r="181" spans="1:21" x14ac:dyDescent="0.35">
      <c r="A181" s="10" t="s">
        <v>327</v>
      </c>
      <c r="B181" s="2" t="s">
        <v>11</v>
      </c>
      <c r="C181" s="5">
        <f>SUMIFS(DETAY!C:C,DETAY!A:A,'DETAY-yaslandırma'!A181,DETAY!B:B,'DETAY-yaslandırma'!B181)</f>
        <v>1019543.75</v>
      </c>
      <c r="D181" s="5">
        <f>SUMIFS(ham_data!AB:AB,ham_data!$J:$J,'DETAY-yaslandırma'!$B181,ham_data!$E:$E,'DETAY-yaslandırma'!$A181)</f>
        <v>0</v>
      </c>
      <c r="E181" s="5">
        <f>SUMIFS(ham_data!AC:AC,ham_data!$J:$J,'DETAY-yaslandırma'!$B181,ham_data!$E:$E,'DETAY-yaslandırma'!$A181)</f>
        <v>0</v>
      </c>
      <c r="F181" s="5">
        <f>SUMIFS(ham_data!AD:AD,ham_data!$J:$J,'DETAY-yaslandırma'!$B181,ham_data!$E:$E,'DETAY-yaslandırma'!$A181)</f>
        <v>543564.16</v>
      </c>
      <c r="G181" s="5">
        <f>SUMIFS(ham_data!AE:AE,ham_data!$J:$J,'DETAY-yaslandırma'!$B181,ham_data!$E:$E,'DETAY-yaslandırma'!$A181)</f>
        <v>381790.08</v>
      </c>
      <c r="H181" s="5">
        <f>SUMIFS(ham_data!AF:AF,ham_data!$J:$J,'DETAY-yaslandırma'!$B181,ham_data!$E:$E,'DETAY-yaslandırma'!$A181)</f>
        <v>94189.51</v>
      </c>
      <c r="I181" s="5">
        <f>SUMIFS(ham_data!AG:AG,ham_data!$J:$J,'DETAY-yaslandırma'!$B181,ham_data!$E:$E,'DETAY-yaslandırma'!$A181)</f>
        <v>0</v>
      </c>
      <c r="J181" s="5">
        <f>SUMIFS(ham_data!AH:AH,ham_data!$J:$J,'DETAY-yaslandırma'!$B181,ham_data!$E:$E,'DETAY-yaslandırma'!$A181)</f>
        <v>0</v>
      </c>
      <c r="K181" s="7">
        <f>SUMIFS(DETAY!D:D,DETAY!A:A,'DETAY-yaslandırma'!A181,DETAY!B:B,'DETAY-yaslandırma'!B181)</f>
        <v>0</v>
      </c>
      <c r="L181" s="7">
        <f>SUMIFS(ham_data!U:U,ham_data!$J:$J,'DETAY-yaslandırma'!$B181,ham_data!$E:$E,'DETAY-yaslandırma'!$A181)</f>
        <v>0</v>
      </c>
      <c r="M181" s="7">
        <f>SUMIFS(ham_data!V:V,ham_data!$J:$J,'DETAY-yaslandırma'!$B181,ham_data!$E:$E,'DETAY-yaslandırma'!$A181)</f>
        <v>0</v>
      </c>
      <c r="N181" s="7">
        <f>SUMIFS(ham_data!W:W,ham_data!$J:$J,'DETAY-yaslandırma'!$B181,ham_data!$E:$E,'DETAY-yaslandırma'!$A181)</f>
        <v>0</v>
      </c>
      <c r="O181" s="7">
        <f>SUMIFS(ham_data!X:X,ham_data!$J:$J,'DETAY-yaslandırma'!$B181,ham_data!$E:$E,'DETAY-yaslandırma'!$A181)</f>
        <v>0</v>
      </c>
      <c r="P181" s="7">
        <f>SUMIFS(ham_data!Y:Y,ham_data!$J:$J,'DETAY-yaslandırma'!$B181,ham_data!$E:$E,'DETAY-yaslandırma'!$A181)</f>
        <v>0</v>
      </c>
      <c r="Q181" s="7">
        <f>SUMIFS(ham_data!Z:Z,ham_data!$J:$J,'DETAY-yaslandırma'!$B181,ham_data!$E:$E,'DETAY-yaslandırma'!$A181)</f>
        <v>0</v>
      </c>
      <c r="R181" s="7">
        <f>SUMIFS(ham_data!AA:AA,ham_data!$J:$J,'DETAY-yaslandırma'!$B181,ham_data!$E:$E,'DETAY-yaslandırma'!$A181)</f>
        <v>0</v>
      </c>
      <c r="S181" s="3">
        <f>SUMIFS(DETAY!E:E,DETAY!A:A,'DETAY-yaslandırma'!A181,DETAY!B:B,'DETAY-yaslandırma'!B181)</f>
        <v>1019543.75</v>
      </c>
      <c r="T181" s="3">
        <f t="shared" si="8"/>
        <v>0</v>
      </c>
      <c r="U181" s="11">
        <f t="shared" si="9"/>
        <v>0</v>
      </c>
    </row>
    <row r="182" spans="1:21" x14ac:dyDescent="0.35">
      <c r="A182" s="10" t="s">
        <v>333</v>
      </c>
      <c r="B182" s="2" t="s">
        <v>11</v>
      </c>
      <c r="C182" s="5">
        <f>SUMIFS(DETAY!C:C,DETAY!A:A,'DETAY-yaslandırma'!A182,DETAY!B:B,'DETAY-yaslandırma'!B182)</f>
        <v>0</v>
      </c>
      <c r="D182" s="5">
        <f>SUMIFS(ham_data!AB:AB,ham_data!$J:$J,'DETAY-yaslandırma'!$B182,ham_data!$E:$E,'DETAY-yaslandırma'!$A182)</f>
        <v>0</v>
      </c>
      <c r="E182" s="5">
        <f>SUMIFS(ham_data!AC:AC,ham_data!$J:$J,'DETAY-yaslandırma'!$B182,ham_data!$E:$E,'DETAY-yaslandırma'!$A182)</f>
        <v>0</v>
      </c>
      <c r="F182" s="5">
        <f>SUMIFS(ham_data!AD:AD,ham_data!$J:$J,'DETAY-yaslandırma'!$B182,ham_data!$E:$E,'DETAY-yaslandırma'!$A182)</f>
        <v>0</v>
      </c>
      <c r="G182" s="5">
        <f>SUMIFS(ham_data!AE:AE,ham_data!$J:$J,'DETAY-yaslandırma'!$B182,ham_data!$E:$E,'DETAY-yaslandırma'!$A182)</f>
        <v>0</v>
      </c>
      <c r="H182" s="5">
        <f>SUMIFS(ham_data!AF:AF,ham_data!$J:$J,'DETAY-yaslandırma'!$B182,ham_data!$E:$E,'DETAY-yaslandırma'!$A182)</f>
        <v>0</v>
      </c>
      <c r="I182" s="5">
        <f>SUMIFS(ham_data!AG:AG,ham_data!$J:$J,'DETAY-yaslandırma'!$B182,ham_data!$E:$E,'DETAY-yaslandırma'!$A182)</f>
        <v>0</v>
      </c>
      <c r="J182" s="5">
        <f>SUMIFS(ham_data!AH:AH,ham_data!$J:$J,'DETAY-yaslandırma'!$B182,ham_data!$E:$E,'DETAY-yaslandırma'!$A182)</f>
        <v>0</v>
      </c>
      <c r="K182" s="7">
        <f>SUMIFS(DETAY!D:D,DETAY!A:A,'DETAY-yaslandırma'!A182,DETAY!B:B,'DETAY-yaslandırma'!B182)</f>
        <v>0</v>
      </c>
      <c r="L182" s="7">
        <f>SUMIFS(ham_data!U:U,ham_data!$J:$J,'DETAY-yaslandırma'!$B182,ham_data!$E:$E,'DETAY-yaslandırma'!$A182)</f>
        <v>0</v>
      </c>
      <c r="M182" s="7">
        <f>SUMIFS(ham_data!V:V,ham_data!$J:$J,'DETAY-yaslandırma'!$B182,ham_data!$E:$E,'DETAY-yaslandırma'!$A182)</f>
        <v>0</v>
      </c>
      <c r="N182" s="7">
        <f>SUMIFS(ham_data!W:W,ham_data!$J:$J,'DETAY-yaslandırma'!$B182,ham_data!$E:$E,'DETAY-yaslandırma'!$A182)</f>
        <v>0</v>
      </c>
      <c r="O182" s="7">
        <f>SUMIFS(ham_data!X:X,ham_data!$J:$J,'DETAY-yaslandırma'!$B182,ham_data!$E:$E,'DETAY-yaslandırma'!$A182)</f>
        <v>0</v>
      </c>
      <c r="P182" s="7">
        <f>SUMIFS(ham_data!Y:Y,ham_data!$J:$J,'DETAY-yaslandırma'!$B182,ham_data!$E:$E,'DETAY-yaslandırma'!$A182)</f>
        <v>0</v>
      </c>
      <c r="Q182" s="7">
        <f>SUMIFS(ham_data!Z:Z,ham_data!$J:$J,'DETAY-yaslandırma'!$B182,ham_data!$E:$E,'DETAY-yaslandırma'!$A182)</f>
        <v>0</v>
      </c>
      <c r="R182" s="7">
        <f>SUMIFS(ham_data!AA:AA,ham_data!$J:$J,'DETAY-yaslandırma'!$B182,ham_data!$E:$E,'DETAY-yaslandırma'!$A182)</f>
        <v>0</v>
      </c>
      <c r="S182" s="3">
        <f>SUMIFS(DETAY!E:E,DETAY!A:A,'DETAY-yaslandırma'!A182,DETAY!B:B,'DETAY-yaslandırma'!B182)</f>
        <v>0</v>
      </c>
      <c r="T182" s="3">
        <f t="shared" si="8"/>
        <v>0</v>
      </c>
      <c r="U182" s="11">
        <f t="shared" si="9"/>
        <v>0</v>
      </c>
    </row>
    <row r="183" spans="1:21" x14ac:dyDescent="0.35">
      <c r="A183" s="10" t="s">
        <v>334</v>
      </c>
      <c r="B183" s="2" t="s">
        <v>11</v>
      </c>
      <c r="C183" s="5">
        <f>SUMIFS(DETAY!C:C,DETAY!A:A,'DETAY-yaslandırma'!A183,DETAY!B:B,'DETAY-yaslandırma'!B183)</f>
        <v>0</v>
      </c>
      <c r="D183" s="5">
        <f>SUMIFS(ham_data!AB:AB,ham_data!$J:$J,'DETAY-yaslandırma'!$B183,ham_data!$E:$E,'DETAY-yaslandırma'!$A183)</f>
        <v>0</v>
      </c>
      <c r="E183" s="5">
        <f>SUMIFS(ham_data!AC:AC,ham_data!$J:$J,'DETAY-yaslandırma'!$B183,ham_data!$E:$E,'DETAY-yaslandırma'!$A183)</f>
        <v>0</v>
      </c>
      <c r="F183" s="5">
        <f>SUMIFS(ham_data!AD:AD,ham_data!$J:$J,'DETAY-yaslandırma'!$B183,ham_data!$E:$E,'DETAY-yaslandırma'!$A183)</f>
        <v>0</v>
      </c>
      <c r="G183" s="5">
        <f>SUMIFS(ham_data!AE:AE,ham_data!$J:$J,'DETAY-yaslandırma'!$B183,ham_data!$E:$E,'DETAY-yaslandırma'!$A183)</f>
        <v>0</v>
      </c>
      <c r="H183" s="5">
        <f>SUMIFS(ham_data!AF:AF,ham_data!$J:$J,'DETAY-yaslandırma'!$B183,ham_data!$E:$E,'DETAY-yaslandırma'!$A183)</f>
        <v>0</v>
      </c>
      <c r="I183" s="5">
        <f>SUMIFS(ham_data!AG:AG,ham_data!$J:$J,'DETAY-yaslandırma'!$B183,ham_data!$E:$E,'DETAY-yaslandırma'!$A183)</f>
        <v>0</v>
      </c>
      <c r="J183" s="5">
        <f>SUMIFS(ham_data!AH:AH,ham_data!$J:$J,'DETAY-yaslandırma'!$B183,ham_data!$E:$E,'DETAY-yaslandırma'!$A183)</f>
        <v>0</v>
      </c>
      <c r="K183" s="7">
        <f>SUMIFS(DETAY!D:D,DETAY!A:A,'DETAY-yaslandırma'!A183,DETAY!B:B,'DETAY-yaslandırma'!B183)</f>
        <v>0</v>
      </c>
      <c r="L183" s="7">
        <f>SUMIFS(ham_data!U:U,ham_data!$J:$J,'DETAY-yaslandırma'!$B183,ham_data!$E:$E,'DETAY-yaslandırma'!$A183)</f>
        <v>0</v>
      </c>
      <c r="M183" s="7">
        <f>SUMIFS(ham_data!V:V,ham_data!$J:$J,'DETAY-yaslandırma'!$B183,ham_data!$E:$E,'DETAY-yaslandırma'!$A183)</f>
        <v>0</v>
      </c>
      <c r="N183" s="7">
        <f>SUMIFS(ham_data!W:W,ham_data!$J:$J,'DETAY-yaslandırma'!$B183,ham_data!$E:$E,'DETAY-yaslandırma'!$A183)</f>
        <v>0</v>
      </c>
      <c r="O183" s="7">
        <f>SUMIFS(ham_data!X:X,ham_data!$J:$J,'DETAY-yaslandırma'!$B183,ham_data!$E:$E,'DETAY-yaslandırma'!$A183)</f>
        <v>0</v>
      </c>
      <c r="P183" s="7">
        <f>SUMIFS(ham_data!Y:Y,ham_data!$J:$J,'DETAY-yaslandırma'!$B183,ham_data!$E:$E,'DETAY-yaslandırma'!$A183)</f>
        <v>0</v>
      </c>
      <c r="Q183" s="7">
        <f>SUMIFS(ham_data!Z:Z,ham_data!$J:$J,'DETAY-yaslandırma'!$B183,ham_data!$E:$E,'DETAY-yaslandırma'!$A183)</f>
        <v>0</v>
      </c>
      <c r="R183" s="7">
        <f>SUMIFS(ham_data!AA:AA,ham_data!$J:$J,'DETAY-yaslandırma'!$B183,ham_data!$E:$E,'DETAY-yaslandırma'!$A183)</f>
        <v>0</v>
      </c>
      <c r="S183" s="3">
        <f>SUMIFS(DETAY!E:E,DETAY!A:A,'DETAY-yaslandırma'!A183,DETAY!B:B,'DETAY-yaslandırma'!B183)</f>
        <v>0</v>
      </c>
      <c r="T183" s="3">
        <f t="shared" ref="T183:T186" si="10">C183-SUM(D183:J183)</f>
        <v>0</v>
      </c>
      <c r="U183" s="11">
        <f t="shared" ref="U183:U186" si="11">K183-SUM(L183:R183)</f>
        <v>0</v>
      </c>
    </row>
    <row r="184" spans="1:21" x14ac:dyDescent="0.35">
      <c r="A184" s="10" t="s">
        <v>335</v>
      </c>
      <c r="B184" s="2" t="s">
        <v>11</v>
      </c>
      <c r="C184" s="5">
        <f>SUMIFS(DETAY!C:C,DETAY!A:A,'DETAY-yaslandırma'!A184,DETAY!B:B,'DETAY-yaslandırma'!B184)</f>
        <v>0</v>
      </c>
      <c r="D184" s="5">
        <f>SUMIFS(ham_data!AB:AB,ham_data!$J:$J,'DETAY-yaslandırma'!$B184,ham_data!$E:$E,'DETAY-yaslandırma'!$A184)</f>
        <v>0</v>
      </c>
      <c r="E184" s="5">
        <f>SUMIFS(ham_data!AC:AC,ham_data!$J:$J,'DETAY-yaslandırma'!$B184,ham_data!$E:$E,'DETAY-yaslandırma'!$A184)</f>
        <v>0</v>
      </c>
      <c r="F184" s="5">
        <f>SUMIFS(ham_data!AD:AD,ham_data!$J:$J,'DETAY-yaslandırma'!$B184,ham_data!$E:$E,'DETAY-yaslandırma'!$A184)</f>
        <v>0</v>
      </c>
      <c r="G184" s="5">
        <f>SUMIFS(ham_data!AE:AE,ham_data!$J:$J,'DETAY-yaslandırma'!$B184,ham_data!$E:$E,'DETAY-yaslandırma'!$A184)</f>
        <v>0</v>
      </c>
      <c r="H184" s="5">
        <f>SUMIFS(ham_data!AF:AF,ham_data!$J:$J,'DETAY-yaslandırma'!$B184,ham_data!$E:$E,'DETAY-yaslandırma'!$A184)</f>
        <v>0</v>
      </c>
      <c r="I184" s="5">
        <f>SUMIFS(ham_data!AG:AG,ham_data!$J:$J,'DETAY-yaslandırma'!$B184,ham_data!$E:$E,'DETAY-yaslandırma'!$A184)</f>
        <v>0</v>
      </c>
      <c r="J184" s="5">
        <f>SUMIFS(ham_data!AH:AH,ham_data!$J:$J,'DETAY-yaslandırma'!$B184,ham_data!$E:$E,'DETAY-yaslandırma'!$A184)</f>
        <v>0</v>
      </c>
      <c r="K184" s="7">
        <f>SUMIFS(DETAY!D:D,DETAY!A:A,'DETAY-yaslandırma'!A184,DETAY!B:B,'DETAY-yaslandırma'!B184)</f>
        <v>0</v>
      </c>
      <c r="L184" s="7">
        <f>SUMIFS(ham_data!U:U,ham_data!$J:$J,'DETAY-yaslandırma'!$B184,ham_data!$E:$E,'DETAY-yaslandırma'!$A184)</f>
        <v>0</v>
      </c>
      <c r="M184" s="7">
        <f>SUMIFS(ham_data!V:V,ham_data!$J:$J,'DETAY-yaslandırma'!$B184,ham_data!$E:$E,'DETAY-yaslandırma'!$A184)</f>
        <v>0</v>
      </c>
      <c r="N184" s="7">
        <f>SUMIFS(ham_data!W:W,ham_data!$J:$J,'DETAY-yaslandırma'!$B184,ham_data!$E:$E,'DETAY-yaslandırma'!$A184)</f>
        <v>0</v>
      </c>
      <c r="O184" s="7">
        <f>SUMIFS(ham_data!X:X,ham_data!$J:$J,'DETAY-yaslandırma'!$B184,ham_data!$E:$E,'DETAY-yaslandırma'!$A184)</f>
        <v>0</v>
      </c>
      <c r="P184" s="7">
        <f>SUMIFS(ham_data!Y:Y,ham_data!$J:$J,'DETAY-yaslandırma'!$B184,ham_data!$E:$E,'DETAY-yaslandırma'!$A184)</f>
        <v>0</v>
      </c>
      <c r="Q184" s="7">
        <f>SUMIFS(ham_data!Z:Z,ham_data!$J:$J,'DETAY-yaslandırma'!$B184,ham_data!$E:$E,'DETAY-yaslandırma'!$A184)</f>
        <v>0</v>
      </c>
      <c r="R184" s="7">
        <f>SUMIFS(ham_data!AA:AA,ham_data!$J:$J,'DETAY-yaslandırma'!$B184,ham_data!$E:$E,'DETAY-yaslandırma'!$A184)</f>
        <v>0</v>
      </c>
      <c r="S184" s="3">
        <f>SUMIFS(DETAY!E:E,DETAY!A:A,'DETAY-yaslandırma'!A184,DETAY!B:B,'DETAY-yaslandırma'!B184)</f>
        <v>0</v>
      </c>
      <c r="T184" s="3">
        <f t="shared" si="10"/>
        <v>0</v>
      </c>
      <c r="U184" s="11">
        <f t="shared" si="11"/>
        <v>0</v>
      </c>
    </row>
    <row r="185" spans="1:21" x14ac:dyDescent="0.35">
      <c r="A185" s="10" t="s">
        <v>338</v>
      </c>
      <c r="B185" s="2" t="s">
        <v>11</v>
      </c>
      <c r="C185" s="5">
        <f>SUMIFS(DETAY!C:C,DETAY!A:A,'DETAY-yaslandırma'!A185,DETAY!B:B,'DETAY-yaslandırma'!B185)</f>
        <v>0</v>
      </c>
      <c r="D185" s="5">
        <f>SUMIFS(ham_data!AB:AB,ham_data!$J:$J,'DETAY-yaslandırma'!$B185,ham_data!$E:$E,'DETAY-yaslandırma'!$A185)</f>
        <v>0</v>
      </c>
      <c r="E185" s="5">
        <f>SUMIFS(ham_data!AC:AC,ham_data!$J:$J,'DETAY-yaslandırma'!$B185,ham_data!$E:$E,'DETAY-yaslandırma'!$A185)</f>
        <v>0</v>
      </c>
      <c r="F185" s="5">
        <f>SUMIFS(ham_data!AD:AD,ham_data!$J:$J,'DETAY-yaslandırma'!$B185,ham_data!$E:$E,'DETAY-yaslandırma'!$A185)</f>
        <v>0</v>
      </c>
      <c r="G185" s="5">
        <f>SUMIFS(ham_data!AE:AE,ham_data!$J:$J,'DETAY-yaslandırma'!$B185,ham_data!$E:$E,'DETAY-yaslandırma'!$A185)</f>
        <v>0</v>
      </c>
      <c r="H185" s="5">
        <f>SUMIFS(ham_data!AF:AF,ham_data!$J:$J,'DETAY-yaslandırma'!$B185,ham_data!$E:$E,'DETAY-yaslandırma'!$A185)</f>
        <v>0</v>
      </c>
      <c r="I185" s="5">
        <f>SUMIFS(ham_data!AG:AG,ham_data!$J:$J,'DETAY-yaslandırma'!$B185,ham_data!$E:$E,'DETAY-yaslandırma'!$A185)</f>
        <v>0</v>
      </c>
      <c r="J185" s="5">
        <f>SUMIFS(ham_data!AH:AH,ham_data!$J:$J,'DETAY-yaslandırma'!$B185,ham_data!$E:$E,'DETAY-yaslandırma'!$A185)</f>
        <v>0</v>
      </c>
      <c r="K185" s="7">
        <f>SUMIFS(DETAY!D:D,DETAY!A:A,'DETAY-yaslandırma'!A185,DETAY!B:B,'DETAY-yaslandırma'!B185)</f>
        <v>0</v>
      </c>
      <c r="L185" s="7">
        <f>SUMIFS(ham_data!U:U,ham_data!$J:$J,'DETAY-yaslandırma'!$B185,ham_data!$E:$E,'DETAY-yaslandırma'!$A185)</f>
        <v>0</v>
      </c>
      <c r="M185" s="7">
        <f>SUMIFS(ham_data!V:V,ham_data!$J:$J,'DETAY-yaslandırma'!$B185,ham_data!$E:$E,'DETAY-yaslandırma'!$A185)</f>
        <v>0</v>
      </c>
      <c r="N185" s="7">
        <f>SUMIFS(ham_data!W:W,ham_data!$J:$J,'DETAY-yaslandırma'!$B185,ham_data!$E:$E,'DETAY-yaslandırma'!$A185)</f>
        <v>0</v>
      </c>
      <c r="O185" s="7">
        <f>SUMIFS(ham_data!X:X,ham_data!$J:$J,'DETAY-yaslandırma'!$B185,ham_data!$E:$E,'DETAY-yaslandırma'!$A185)</f>
        <v>0</v>
      </c>
      <c r="P185" s="7">
        <f>SUMIFS(ham_data!Y:Y,ham_data!$J:$J,'DETAY-yaslandırma'!$B185,ham_data!$E:$E,'DETAY-yaslandırma'!$A185)</f>
        <v>0</v>
      </c>
      <c r="Q185" s="7">
        <f>SUMIFS(ham_data!Z:Z,ham_data!$J:$J,'DETAY-yaslandırma'!$B185,ham_data!$E:$E,'DETAY-yaslandırma'!$A185)</f>
        <v>0</v>
      </c>
      <c r="R185" s="7">
        <f>SUMIFS(ham_data!AA:AA,ham_data!$J:$J,'DETAY-yaslandırma'!$B185,ham_data!$E:$E,'DETAY-yaslandırma'!$A185)</f>
        <v>0</v>
      </c>
      <c r="S185" s="3">
        <f>SUMIFS(DETAY!E:E,DETAY!A:A,'DETAY-yaslandırma'!A185,DETAY!B:B,'DETAY-yaslandırma'!B185)</f>
        <v>0</v>
      </c>
      <c r="T185" s="3">
        <f t="shared" si="10"/>
        <v>0</v>
      </c>
      <c r="U185" s="11">
        <f t="shared" si="11"/>
        <v>0</v>
      </c>
    </row>
    <row r="186" spans="1:21" x14ac:dyDescent="0.35">
      <c r="A186" s="10" t="s">
        <v>339</v>
      </c>
      <c r="B186" s="2" t="s">
        <v>11</v>
      </c>
      <c r="C186" s="5">
        <f>SUMIFS(DETAY!C:C,DETAY!A:A,'DETAY-yaslandırma'!A186,DETAY!B:B,'DETAY-yaslandırma'!B186)</f>
        <v>0</v>
      </c>
      <c r="D186" s="5">
        <f>SUMIFS(ham_data!AB:AB,ham_data!$J:$J,'DETAY-yaslandırma'!$B186,ham_data!$E:$E,'DETAY-yaslandırma'!$A186)</f>
        <v>0</v>
      </c>
      <c r="E186" s="5">
        <f>SUMIFS(ham_data!AC:AC,ham_data!$J:$J,'DETAY-yaslandırma'!$B186,ham_data!$E:$E,'DETAY-yaslandırma'!$A186)</f>
        <v>0</v>
      </c>
      <c r="F186" s="5">
        <f>SUMIFS(ham_data!AD:AD,ham_data!$J:$J,'DETAY-yaslandırma'!$B186,ham_data!$E:$E,'DETAY-yaslandırma'!$A186)</f>
        <v>0</v>
      </c>
      <c r="G186" s="5">
        <f>SUMIFS(ham_data!AE:AE,ham_data!$J:$J,'DETAY-yaslandırma'!$B186,ham_data!$E:$E,'DETAY-yaslandırma'!$A186)</f>
        <v>0</v>
      </c>
      <c r="H186" s="5">
        <f>SUMIFS(ham_data!AF:AF,ham_data!$J:$J,'DETAY-yaslandırma'!$B186,ham_data!$E:$E,'DETAY-yaslandırma'!$A186)</f>
        <v>0</v>
      </c>
      <c r="I186" s="5">
        <f>SUMIFS(ham_data!AG:AG,ham_data!$J:$J,'DETAY-yaslandırma'!$B186,ham_data!$E:$E,'DETAY-yaslandırma'!$A186)</f>
        <v>0</v>
      </c>
      <c r="J186" s="5">
        <f>SUMIFS(ham_data!AH:AH,ham_data!$J:$J,'DETAY-yaslandırma'!$B186,ham_data!$E:$E,'DETAY-yaslandırma'!$A186)</f>
        <v>0</v>
      </c>
      <c r="K186" s="7">
        <f>SUMIFS(DETAY!D:D,DETAY!A:A,'DETAY-yaslandırma'!A186,DETAY!B:B,'DETAY-yaslandırma'!B186)</f>
        <v>0</v>
      </c>
      <c r="L186" s="7">
        <f>SUMIFS(ham_data!U:U,ham_data!$J:$J,'DETAY-yaslandırma'!$B186,ham_data!$E:$E,'DETAY-yaslandırma'!$A186)</f>
        <v>0</v>
      </c>
      <c r="M186" s="7">
        <f>SUMIFS(ham_data!V:V,ham_data!$J:$J,'DETAY-yaslandırma'!$B186,ham_data!$E:$E,'DETAY-yaslandırma'!$A186)</f>
        <v>0</v>
      </c>
      <c r="N186" s="7">
        <f>SUMIFS(ham_data!W:W,ham_data!$J:$J,'DETAY-yaslandırma'!$B186,ham_data!$E:$E,'DETAY-yaslandırma'!$A186)</f>
        <v>0</v>
      </c>
      <c r="O186" s="7">
        <f>SUMIFS(ham_data!X:X,ham_data!$J:$J,'DETAY-yaslandırma'!$B186,ham_data!$E:$E,'DETAY-yaslandırma'!$A186)</f>
        <v>0</v>
      </c>
      <c r="P186" s="7">
        <f>SUMIFS(ham_data!Y:Y,ham_data!$J:$J,'DETAY-yaslandırma'!$B186,ham_data!$E:$E,'DETAY-yaslandırma'!$A186)</f>
        <v>0</v>
      </c>
      <c r="Q186" s="7">
        <f>SUMIFS(ham_data!Z:Z,ham_data!$J:$J,'DETAY-yaslandırma'!$B186,ham_data!$E:$E,'DETAY-yaslandırma'!$A186)</f>
        <v>0</v>
      </c>
      <c r="R186" s="7">
        <f>SUMIFS(ham_data!AA:AA,ham_data!$J:$J,'DETAY-yaslandırma'!$B186,ham_data!$E:$E,'DETAY-yaslandırma'!$A186)</f>
        <v>0</v>
      </c>
      <c r="S186" s="3">
        <f>SUMIFS(DETAY!E:E,DETAY!A:A,'DETAY-yaslandırma'!A186,DETAY!B:B,'DETAY-yaslandırma'!B186)</f>
        <v>0</v>
      </c>
      <c r="T186" s="3">
        <f t="shared" si="10"/>
        <v>0</v>
      </c>
      <c r="U186" s="11">
        <f t="shared" si="11"/>
        <v>0</v>
      </c>
    </row>
    <row r="187" spans="1:21" x14ac:dyDescent="0.35">
      <c r="A187" s="10" t="s">
        <v>340</v>
      </c>
      <c r="B187" s="2" t="s">
        <v>11</v>
      </c>
      <c r="C187" s="5">
        <f>SUMIFS(DETAY!C:C,DETAY!A:A,'DETAY-yaslandırma'!A187,DETAY!B:B,'DETAY-yaslandırma'!B187)</f>
        <v>0</v>
      </c>
      <c r="D187" s="5">
        <f>SUMIFS(ham_data!AB:AB,ham_data!$J:$J,'DETAY-yaslandırma'!$B187,ham_data!$E:$E,'DETAY-yaslandırma'!$A187)</f>
        <v>0</v>
      </c>
      <c r="E187" s="5">
        <f>SUMIFS(ham_data!AC:AC,ham_data!$J:$J,'DETAY-yaslandırma'!$B187,ham_data!$E:$E,'DETAY-yaslandırma'!$A187)</f>
        <v>0</v>
      </c>
      <c r="F187" s="5">
        <f>SUMIFS(ham_data!AD:AD,ham_data!$J:$J,'DETAY-yaslandırma'!$B187,ham_data!$E:$E,'DETAY-yaslandırma'!$A187)</f>
        <v>0</v>
      </c>
      <c r="G187" s="5">
        <f>SUMIFS(ham_data!AE:AE,ham_data!$J:$J,'DETAY-yaslandırma'!$B187,ham_data!$E:$E,'DETAY-yaslandırma'!$A187)</f>
        <v>0</v>
      </c>
      <c r="H187" s="5">
        <f>SUMIFS(ham_data!AF:AF,ham_data!$J:$J,'DETAY-yaslandırma'!$B187,ham_data!$E:$E,'DETAY-yaslandırma'!$A187)</f>
        <v>0</v>
      </c>
      <c r="I187" s="5">
        <f>SUMIFS(ham_data!AG:AG,ham_data!$J:$J,'DETAY-yaslandırma'!$B187,ham_data!$E:$E,'DETAY-yaslandırma'!$A187)</f>
        <v>0</v>
      </c>
      <c r="J187" s="5">
        <f>SUMIFS(ham_data!AH:AH,ham_data!$J:$J,'DETAY-yaslandırma'!$B187,ham_data!$E:$E,'DETAY-yaslandırma'!$A187)</f>
        <v>0</v>
      </c>
      <c r="K187" s="7">
        <f>SUMIFS(DETAY!D:D,DETAY!A:A,'DETAY-yaslandırma'!A187,DETAY!B:B,'DETAY-yaslandırma'!B187)</f>
        <v>0</v>
      </c>
      <c r="L187" s="7">
        <f>SUMIFS(ham_data!U:U,ham_data!$J:$J,'DETAY-yaslandırma'!$B187,ham_data!$E:$E,'DETAY-yaslandırma'!$A187)</f>
        <v>0</v>
      </c>
      <c r="M187" s="7">
        <f>SUMIFS(ham_data!V:V,ham_data!$J:$J,'DETAY-yaslandırma'!$B187,ham_data!$E:$E,'DETAY-yaslandırma'!$A187)</f>
        <v>0</v>
      </c>
      <c r="N187" s="7">
        <f>SUMIFS(ham_data!W:W,ham_data!$J:$J,'DETAY-yaslandırma'!$B187,ham_data!$E:$E,'DETAY-yaslandırma'!$A187)</f>
        <v>0</v>
      </c>
      <c r="O187" s="7">
        <f>SUMIFS(ham_data!X:X,ham_data!$J:$J,'DETAY-yaslandırma'!$B187,ham_data!$E:$E,'DETAY-yaslandırma'!$A187)</f>
        <v>0</v>
      </c>
      <c r="P187" s="7">
        <f>SUMIFS(ham_data!Y:Y,ham_data!$J:$J,'DETAY-yaslandırma'!$B187,ham_data!$E:$E,'DETAY-yaslandırma'!$A187)</f>
        <v>0</v>
      </c>
      <c r="Q187" s="7">
        <f>SUMIFS(ham_data!Z:Z,ham_data!$J:$J,'DETAY-yaslandırma'!$B187,ham_data!$E:$E,'DETAY-yaslandırma'!$A187)</f>
        <v>0</v>
      </c>
      <c r="R187" s="7">
        <f>SUMIFS(ham_data!AA:AA,ham_data!$J:$J,'DETAY-yaslandırma'!$B187,ham_data!$E:$E,'DETAY-yaslandırma'!$A187)</f>
        <v>0</v>
      </c>
      <c r="S187" s="3">
        <f>SUMIFS(DETAY!E:E,DETAY!A:A,'DETAY-yaslandırma'!A187,DETAY!B:B,'DETAY-yaslandırma'!B187)</f>
        <v>0</v>
      </c>
      <c r="T187" s="3">
        <f t="shared" ref="T187" si="12">C187-SUM(D187:J187)</f>
        <v>0</v>
      </c>
      <c r="U187" s="11">
        <f t="shared" ref="U187" si="13">K187-SUM(L187:R187)</f>
        <v>0</v>
      </c>
    </row>
    <row r="188" spans="1:21" x14ac:dyDescent="0.35">
      <c r="A188" s="10" t="s">
        <v>352</v>
      </c>
      <c r="B188" s="2" t="s">
        <v>11</v>
      </c>
      <c r="C188" s="5">
        <f>SUMIFS(DETAY!C:C,DETAY!A:A,'DETAY-yaslandırma'!A188,DETAY!B:B,'DETAY-yaslandırma'!B188)</f>
        <v>0</v>
      </c>
      <c r="D188" s="5">
        <f>SUMIFS(ham_data!AB:AB,ham_data!$J:$J,'DETAY-yaslandırma'!$B188,ham_data!$E:$E,'DETAY-yaslandırma'!$A188)</f>
        <v>0</v>
      </c>
      <c r="E188" s="5">
        <f>SUMIFS(ham_data!AC:AC,ham_data!$J:$J,'DETAY-yaslandırma'!$B188,ham_data!$E:$E,'DETAY-yaslandırma'!$A188)</f>
        <v>0</v>
      </c>
      <c r="F188" s="5">
        <f>SUMIFS(ham_data!AD:AD,ham_data!$J:$J,'DETAY-yaslandırma'!$B188,ham_data!$E:$E,'DETAY-yaslandırma'!$A188)</f>
        <v>0</v>
      </c>
      <c r="G188" s="5">
        <f>SUMIFS(ham_data!AE:AE,ham_data!$J:$J,'DETAY-yaslandırma'!$B188,ham_data!$E:$E,'DETAY-yaslandırma'!$A188)</f>
        <v>0</v>
      </c>
      <c r="H188" s="5">
        <f>SUMIFS(ham_data!AF:AF,ham_data!$J:$J,'DETAY-yaslandırma'!$B188,ham_data!$E:$E,'DETAY-yaslandırma'!$A188)</f>
        <v>0</v>
      </c>
      <c r="I188" s="5">
        <f>SUMIFS(ham_data!AG:AG,ham_data!$J:$J,'DETAY-yaslandırma'!$B188,ham_data!$E:$E,'DETAY-yaslandırma'!$A188)</f>
        <v>0</v>
      </c>
      <c r="J188" s="5">
        <f>SUMIFS(ham_data!AH:AH,ham_data!$J:$J,'DETAY-yaslandırma'!$B188,ham_data!$E:$E,'DETAY-yaslandırma'!$A188)</f>
        <v>0</v>
      </c>
      <c r="K188" s="7">
        <f>SUMIFS(DETAY!D:D,DETAY!A:A,'DETAY-yaslandırma'!A188,DETAY!B:B,'DETAY-yaslandırma'!B188)</f>
        <v>0</v>
      </c>
      <c r="L188" s="7">
        <f>SUMIFS(ham_data!U:U,ham_data!$J:$J,'DETAY-yaslandırma'!$B188,ham_data!$E:$E,'DETAY-yaslandırma'!$A188)</f>
        <v>0</v>
      </c>
      <c r="M188" s="7">
        <f>SUMIFS(ham_data!V:V,ham_data!$J:$J,'DETAY-yaslandırma'!$B188,ham_data!$E:$E,'DETAY-yaslandırma'!$A188)</f>
        <v>0</v>
      </c>
      <c r="N188" s="7">
        <f>SUMIFS(ham_data!W:W,ham_data!$J:$J,'DETAY-yaslandırma'!$B188,ham_data!$E:$E,'DETAY-yaslandırma'!$A188)</f>
        <v>0</v>
      </c>
      <c r="O188" s="7">
        <f>SUMIFS(ham_data!X:X,ham_data!$J:$J,'DETAY-yaslandırma'!$B188,ham_data!$E:$E,'DETAY-yaslandırma'!$A188)</f>
        <v>0</v>
      </c>
      <c r="P188" s="7">
        <f>SUMIFS(ham_data!Y:Y,ham_data!$J:$J,'DETAY-yaslandırma'!$B188,ham_data!$E:$E,'DETAY-yaslandırma'!$A188)</f>
        <v>0</v>
      </c>
      <c r="Q188" s="7">
        <f>SUMIFS(ham_data!Z:Z,ham_data!$J:$J,'DETAY-yaslandırma'!$B188,ham_data!$E:$E,'DETAY-yaslandırma'!$A188)</f>
        <v>0</v>
      </c>
      <c r="R188" s="7">
        <f>SUMIFS(ham_data!AA:AA,ham_data!$J:$J,'DETAY-yaslandırma'!$B188,ham_data!$E:$E,'DETAY-yaslandırma'!$A188)</f>
        <v>0</v>
      </c>
      <c r="S188" s="3">
        <f>SUMIFS(DETAY!E:E,DETAY!A:A,'DETAY-yaslandırma'!A188,DETAY!B:B,'DETAY-yaslandırma'!B188)</f>
        <v>0</v>
      </c>
      <c r="T188" s="3">
        <f t="shared" ref="T188:T195" si="14">C188-SUM(D188:J188)</f>
        <v>0</v>
      </c>
      <c r="U188" s="11">
        <f t="shared" ref="U188:U195" si="15">K188-SUM(L188:R188)</f>
        <v>0</v>
      </c>
    </row>
    <row r="189" spans="1:21" x14ac:dyDescent="0.35">
      <c r="A189" s="10" t="s">
        <v>341</v>
      </c>
      <c r="B189" s="2" t="s">
        <v>11</v>
      </c>
      <c r="C189" s="5">
        <f>SUMIFS(DETAY!C:C,DETAY!A:A,'DETAY-yaslandırma'!A189,DETAY!B:B,'DETAY-yaslandırma'!B189)</f>
        <v>0</v>
      </c>
      <c r="D189" s="5">
        <f>SUMIFS(ham_data!AB:AB,ham_data!$J:$J,'DETAY-yaslandırma'!$B189,ham_data!$E:$E,'DETAY-yaslandırma'!$A189)</f>
        <v>0</v>
      </c>
      <c r="E189" s="5">
        <f>SUMIFS(ham_data!AC:AC,ham_data!$J:$J,'DETAY-yaslandırma'!$B189,ham_data!$E:$E,'DETAY-yaslandırma'!$A189)</f>
        <v>0</v>
      </c>
      <c r="F189" s="5">
        <f>SUMIFS(ham_data!AD:AD,ham_data!$J:$J,'DETAY-yaslandırma'!$B189,ham_data!$E:$E,'DETAY-yaslandırma'!$A189)</f>
        <v>0</v>
      </c>
      <c r="G189" s="5">
        <f>SUMIFS(ham_data!AE:AE,ham_data!$J:$J,'DETAY-yaslandırma'!$B189,ham_data!$E:$E,'DETAY-yaslandırma'!$A189)</f>
        <v>0</v>
      </c>
      <c r="H189" s="5">
        <f>SUMIFS(ham_data!AF:AF,ham_data!$J:$J,'DETAY-yaslandırma'!$B189,ham_data!$E:$E,'DETAY-yaslandırma'!$A189)</f>
        <v>0</v>
      </c>
      <c r="I189" s="5">
        <f>SUMIFS(ham_data!AG:AG,ham_data!$J:$J,'DETAY-yaslandırma'!$B189,ham_data!$E:$E,'DETAY-yaslandırma'!$A189)</f>
        <v>0</v>
      </c>
      <c r="J189" s="5">
        <f>SUMIFS(ham_data!AH:AH,ham_data!$J:$J,'DETAY-yaslandırma'!$B189,ham_data!$E:$E,'DETAY-yaslandırma'!$A189)</f>
        <v>0</v>
      </c>
      <c r="K189" s="7">
        <f>SUMIFS(DETAY!D:D,DETAY!A:A,'DETAY-yaslandırma'!A189,DETAY!B:B,'DETAY-yaslandırma'!B189)</f>
        <v>0</v>
      </c>
      <c r="L189" s="7">
        <f>SUMIFS(ham_data!U:U,ham_data!$J:$J,'DETAY-yaslandırma'!$B189,ham_data!$E:$E,'DETAY-yaslandırma'!$A189)</f>
        <v>0</v>
      </c>
      <c r="M189" s="7">
        <f>SUMIFS(ham_data!V:V,ham_data!$J:$J,'DETAY-yaslandırma'!$B189,ham_data!$E:$E,'DETAY-yaslandırma'!$A189)</f>
        <v>0</v>
      </c>
      <c r="N189" s="7">
        <f>SUMIFS(ham_data!W:W,ham_data!$J:$J,'DETAY-yaslandırma'!$B189,ham_data!$E:$E,'DETAY-yaslandırma'!$A189)</f>
        <v>0</v>
      </c>
      <c r="O189" s="7">
        <f>SUMIFS(ham_data!X:X,ham_data!$J:$J,'DETAY-yaslandırma'!$B189,ham_data!$E:$E,'DETAY-yaslandırma'!$A189)</f>
        <v>0</v>
      </c>
      <c r="P189" s="7">
        <f>SUMIFS(ham_data!Y:Y,ham_data!$J:$J,'DETAY-yaslandırma'!$B189,ham_data!$E:$E,'DETAY-yaslandırma'!$A189)</f>
        <v>0</v>
      </c>
      <c r="Q189" s="7">
        <f>SUMIFS(ham_data!Z:Z,ham_data!$J:$J,'DETAY-yaslandırma'!$B189,ham_data!$E:$E,'DETAY-yaslandırma'!$A189)</f>
        <v>0</v>
      </c>
      <c r="R189" s="7">
        <f>SUMIFS(ham_data!AA:AA,ham_data!$J:$J,'DETAY-yaslandırma'!$B189,ham_data!$E:$E,'DETAY-yaslandırma'!$A189)</f>
        <v>0</v>
      </c>
      <c r="S189" s="3">
        <f>SUMIFS(DETAY!E:E,DETAY!A:A,'DETAY-yaslandırma'!A189,DETAY!B:B,'DETAY-yaslandırma'!B189)</f>
        <v>0</v>
      </c>
      <c r="T189" s="3">
        <f t="shared" si="14"/>
        <v>0</v>
      </c>
      <c r="U189" s="11">
        <f t="shared" si="15"/>
        <v>0</v>
      </c>
    </row>
    <row r="190" spans="1:21" x14ac:dyDescent="0.35">
      <c r="A190" s="10" t="s">
        <v>354</v>
      </c>
      <c r="B190" s="2" t="s">
        <v>11</v>
      </c>
      <c r="C190" s="5">
        <f>SUMIFS(DETAY!C:C,DETAY!A:A,'DETAY-yaslandırma'!A190,DETAY!B:B,'DETAY-yaslandırma'!B190)</f>
        <v>0</v>
      </c>
      <c r="D190" s="5">
        <f>SUMIFS(ham_data!AB:AB,ham_data!$J:$J,'DETAY-yaslandırma'!$B190,ham_data!$E:$E,'DETAY-yaslandırma'!$A190)</f>
        <v>0</v>
      </c>
      <c r="E190" s="5">
        <f>SUMIFS(ham_data!AC:AC,ham_data!$J:$J,'DETAY-yaslandırma'!$B190,ham_data!$E:$E,'DETAY-yaslandırma'!$A190)</f>
        <v>0</v>
      </c>
      <c r="F190" s="5">
        <f>SUMIFS(ham_data!AD:AD,ham_data!$J:$J,'DETAY-yaslandırma'!$B190,ham_data!$E:$E,'DETAY-yaslandırma'!$A190)</f>
        <v>0</v>
      </c>
      <c r="G190" s="5">
        <f>SUMIFS(ham_data!AE:AE,ham_data!$J:$J,'DETAY-yaslandırma'!$B190,ham_data!$E:$E,'DETAY-yaslandırma'!$A190)</f>
        <v>0</v>
      </c>
      <c r="H190" s="5">
        <f>SUMIFS(ham_data!AF:AF,ham_data!$J:$J,'DETAY-yaslandırma'!$B190,ham_data!$E:$E,'DETAY-yaslandırma'!$A190)</f>
        <v>0</v>
      </c>
      <c r="I190" s="5">
        <f>SUMIFS(ham_data!AG:AG,ham_data!$J:$J,'DETAY-yaslandırma'!$B190,ham_data!$E:$E,'DETAY-yaslandırma'!$A190)</f>
        <v>0</v>
      </c>
      <c r="J190" s="5">
        <f>SUMIFS(ham_data!AH:AH,ham_data!$J:$J,'DETAY-yaslandırma'!$B190,ham_data!$E:$E,'DETAY-yaslandırma'!$A190)</f>
        <v>0</v>
      </c>
      <c r="K190" s="7">
        <f>SUMIFS(DETAY!D:D,DETAY!A:A,'DETAY-yaslandırma'!A190,DETAY!B:B,'DETAY-yaslandırma'!B190)</f>
        <v>6027693.3499999996</v>
      </c>
      <c r="L190" s="7">
        <f>SUMIFS(ham_data!U:U,ham_data!$J:$J,'DETAY-yaslandırma'!$B190,ham_data!$E:$E,'DETAY-yaslandırma'!$A190)</f>
        <v>3145742.56</v>
      </c>
      <c r="M190" s="7">
        <f>SUMIFS(ham_data!V:V,ham_data!$J:$J,'DETAY-yaslandırma'!$B190,ham_data!$E:$E,'DETAY-yaslandırma'!$A190)</f>
        <v>0</v>
      </c>
      <c r="N190" s="7">
        <f>SUMIFS(ham_data!W:W,ham_data!$J:$J,'DETAY-yaslandırma'!$B190,ham_data!$E:$E,'DETAY-yaslandırma'!$A190)</f>
        <v>2881950.79</v>
      </c>
      <c r="O190" s="7">
        <f>SUMIFS(ham_data!X:X,ham_data!$J:$J,'DETAY-yaslandırma'!$B190,ham_data!$E:$E,'DETAY-yaslandırma'!$A190)</f>
        <v>0</v>
      </c>
      <c r="P190" s="7">
        <f>SUMIFS(ham_data!Y:Y,ham_data!$J:$J,'DETAY-yaslandırma'!$B190,ham_data!$E:$E,'DETAY-yaslandırma'!$A190)</f>
        <v>0</v>
      </c>
      <c r="Q190" s="7">
        <f>SUMIFS(ham_data!Z:Z,ham_data!$J:$J,'DETAY-yaslandırma'!$B190,ham_data!$E:$E,'DETAY-yaslandırma'!$A190)</f>
        <v>0</v>
      </c>
      <c r="R190" s="7">
        <f>SUMIFS(ham_data!AA:AA,ham_data!$J:$J,'DETAY-yaslandırma'!$B190,ham_data!$E:$E,'DETAY-yaslandırma'!$A190)</f>
        <v>0</v>
      </c>
      <c r="S190" s="3">
        <f>SUMIFS(DETAY!E:E,DETAY!A:A,'DETAY-yaslandırma'!A190,DETAY!B:B,'DETAY-yaslandırma'!B190)</f>
        <v>6027693.3499999996</v>
      </c>
      <c r="T190" s="3">
        <f t="shared" si="14"/>
        <v>0</v>
      </c>
      <c r="U190" s="11">
        <f t="shared" si="15"/>
        <v>0</v>
      </c>
    </row>
    <row r="191" spans="1:21" x14ac:dyDescent="0.35">
      <c r="A191" s="10" t="s">
        <v>350</v>
      </c>
      <c r="B191" s="2" t="s">
        <v>11</v>
      </c>
      <c r="C191" s="5">
        <f>SUMIFS(DETAY!C:C,DETAY!A:A,'DETAY-yaslandırma'!A191,DETAY!B:B,'DETAY-yaslandırma'!B191)</f>
        <v>0</v>
      </c>
      <c r="D191" s="5">
        <f>SUMIFS(ham_data!AB:AB,ham_data!$J:$J,'DETAY-yaslandırma'!$B191,ham_data!$E:$E,'DETAY-yaslandırma'!$A191)</f>
        <v>0</v>
      </c>
      <c r="E191" s="5">
        <f>SUMIFS(ham_data!AC:AC,ham_data!$J:$J,'DETAY-yaslandırma'!$B191,ham_data!$E:$E,'DETAY-yaslandırma'!$A191)</f>
        <v>0</v>
      </c>
      <c r="F191" s="5">
        <f>SUMIFS(ham_data!AD:AD,ham_data!$J:$J,'DETAY-yaslandırma'!$B191,ham_data!$E:$E,'DETAY-yaslandırma'!$A191)</f>
        <v>0</v>
      </c>
      <c r="G191" s="5">
        <f>SUMIFS(ham_data!AE:AE,ham_data!$J:$J,'DETAY-yaslandırma'!$B191,ham_data!$E:$E,'DETAY-yaslandırma'!$A191)</f>
        <v>0</v>
      </c>
      <c r="H191" s="5">
        <f>SUMIFS(ham_data!AF:AF,ham_data!$J:$J,'DETAY-yaslandırma'!$B191,ham_data!$E:$E,'DETAY-yaslandırma'!$A191)</f>
        <v>0</v>
      </c>
      <c r="I191" s="5">
        <f>SUMIFS(ham_data!AG:AG,ham_data!$J:$J,'DETAY-yaslandırma'!$B191,ham_data!$E:$E,'DETAY-yaslandırma'!$A191)</f>
        <v>0</v>
      </c>
      <c r="J191" s="5">
        <f>SUMIFS(ham_data!AH:AH,ham_data!$J:$J,'DETAY-yaslandırma'!$B191,ham_data!$E:$E,'DETAY-yaslandırma'!$A191)</f>
        <v>0</v>
      </c>
      <c r="K191" s="7">
        <f>SUMIFS(DETAY!D:D,DETAY!A:A,'DETAY-yaslandırma'!A191,DETAY!B:B,'DETAY-yaslandırma'!B191)</f>
        <v>0</v>
      </c>
      <c r="L191" s="7">
        <f>SUMIFS(ham_data!U:U,ham_data!$J:$J,'DETAY-yaslandırma'!$B191,ham_data!$E:$E,'DETAY-yaslandırma'!$A191)</f>
        <v>0</v>
      </c>
      <c r="M191" s="7">
        <f>SUMIFS(ham_data!V:V,ham_data!$J:$J,'DETAY-yaslandırma'!$B191,ham_data!$E:$E,'DETAY-yaslandırma'!$A191)</f>
        <v>0</v>
      </c>
      <c r="N191" s="7">
        <f>SUMIFS(ham_data!W:W,ham_data!$J:$J,'DETAY-yaslandırma'!$B191,ham_data!$E:$E,'DETAY-yaslandırma'!$A191)</f>
        <v>0</v>
      </c>
      <c r="O191" s="7">
        <f>SUMIFS(ham_data!X:X,ham_data!$J:$J,'DETAY-yaslandırma'!$B191,ham_data!$E:$E,'DETAY-yaslandırma'!$A191)</f>
        <v>0</v>
      </c>
      <c r="P191" s="7">
        <f>SUMIFS(ham_data!Y:Y,ham_data!$J:$J,'DETAY-yaslandırma'!$B191,ham_data!$E:$E,'DETAY-yaslandırma'!$A191)</f>
        <v>0</v>
      </c>
      <c r="Q191" s="7">
        <f>SUMIFS(ham_data!Z:Z,ham_data!$J:$J,'DETAY-yaslandırma'!$B191,ham_data!$E:$E,'DETAY-yaslandırma'!$A191)</f>
        <v>0</v>
      </c>
      <c r="R191" s="7">
        <f>SUMIFS(ham_data!AA:AA,ham_data!$J:$J,'DETAY-yaslandırma'!$B191,ham_data!$E:$E,'DETAY-yaslandırma'!$A191)</f>
        <v>0</v>
      </c>
      <c r="S191" s="3">
        <f>SUMIFS(DETAY!E:E,DETAY!A:A,'DETAY-yaslandırma'!A191,DETAY!B:B,'DETAY-yaslandırma'!B191)</f>
        <v>0</v>
      </c>
      <c r="T191" s="3">
        <f t="shared" si="14"/>
        <v>0</v>
      </c>
      <c r="U191" s="11">
        <f t="shared" si="15"/>
        <v>0</v>
      </c>
    </row>
    <row r="192" spans="1:21" x14ac:dyDescent="0.35">
      <c r="A192" s="10" t="s">
        <v>355</v>
      </c>
      <c r="B192" s="2" t="s">
        <v>11</v>
      </c>
      <c r="C192" s="5">
        <f>SUMIFS(DETAY!C:C,DETAY!A:A,'DETAY-yaslandırma'!A192,DETAY!B:B,'DETAY-yaslandırma'!B192)</f>
        <v>0</v>
      </c>
      <c r="D192" s="5">
        <f>SUMIFS(ham_data!AB:AB,ham_data!$J:$J,'DETAY-yaslandırma'!$B192,ham_data!$E:$E,'DETAY-yaslandırma'!$A192)</f>
        <v>0</v>
      </c>
      <c r="E192" s="5">
        <f>SUMIFS(ham_data!AC:AC,ham_data!$J:$J,'DETAY-yaslandırma'!$B192,ham_data!$E:$E,'DETAY-yaslandırma'!$A192)</f>
        <v>0</v>
      </c>
      <c r="F192" s="5">
        <f>SUMIFS(ham_data!AD:AD,ham_data!$J:$J,'DETAY-yaslandırma'!$B192,ham_data!$E:$E,'DETAY-yaslandırma'!$A192)</f>
        <v>0</v>
      </c>
      <c r="G192" s="5">
        <f>SUMIFS(ham_data!AE:AE,ham_data!$J:$J,'DETAY-yaslandırma'!$B192,ham_data!$E:$E,'DETAY-yaslandırma'!$A192)</f>
        <v>0</v>
      </c>
      <c r="H192" s="5">
        <f>SUMIFS(ham_data!AF:AF,ham_data!$J:$J,'DETAY-yaslandırma'!$B192,ham_data!$E:$E,'DETAY-yaslandırma'!$A192)</f>
        <v>0</v>
      </c>
      <c r="I192" s="5">
        <f>SUMIFS(ham_data!AG:AG,ham_data!$J:$J,'DETAY-yaslandırma'!$B192,ham_data!$E:$E,'DETAY-yaslandırma'!$A192)</f>
        <v>0</v>
      </c>
      <c r="J192" s="5">
        <f>SUMIFS(ham_data!AH:AH,ham_data!$J:$J,'DETAY-yaslandırma'!$B192,ham_data!$E:$E,'DETAY-yaslandırma'!$A192)</f>
        <v>0</v>
      </c>
      <c r="K192" s="7">
        <f>SUMIFS(DETAY!D:D,DETAY!A:A,'DETAY-yaslandırma'!A192,DETAY!B:B,'DETAY-yaslandırma'!B192)</f>
        <v>0</v>
      </c>
      <c r="L192" s="7">
        <f>SUMIFS(ham_data!U:U,ham_data!$J:$J,'DETAY-yaslandırma'!$B192,ham_data!$E:$E,'DETAY-yaslandırma'!$A192)</f>
        <v>0</v>
      </c>
      <c r="M192" s="7">
        <f>SUMIFS(ham_data!V:V,ham_data!$J:$J,'DETAY-yaslandırma'!$B192,ham_data!$E:$E,'DETAY-yaslandırma'!$A192)</f>
        <v>0</v>
      </c>
      <c r="N192" s="7">
        <f>SUMIFS(ham_data!W:W,ham_data!$J:$J,'DETAY-yaslandırma'!$B192,ham_data!$E:$E,'DETAY-yaslandırma'!$A192)</f>
        <v>0</v>
      </c>
      <c r="O192" s="7">
        <f>SUMIFS(ham_data!X:X,ham_data!$J:$J,'DETAY-yaslandırma'!$B192,ham_data!$E:$E,'DETAY-yaslandırma'!$A192)</f>
        <v>0</v>
      </c>
      <c r="P192" s="7">
        <f>SUMIFS(ham_data!Y:Y,ham_data!$J:$J,'DETAY-yaslandırma'!$B192,ham_data!$E:$E,'DETAY-yaslandırma'!$A192)</f>
        <v>0</v>
      </c>
      <c r="Q192" s="7">
        <f>SUMIFS(ham_data!Z:Z,ham_data!$J:$J,'DETAY-yaslandırma'!$B192,ham_data!$E:$E,'DETAY-yaslandırma'!$A192)</f>
        <v>0</v>
      </c>
      <c r="R192" s="7">
        <f>SUMIFS(ham_data!AA:AA,ham_data!$J:$J,'DETAY-yaslandırma'!$B192,ham_data!$E:$E,'DETAY-yaslandırma'!$A192)</f>
        <v>0</v>
      </c>
      <c r="S192" s="3">
        <f>SUMIFS(DETAY!E:E,DETAY!A:A,'DETAY-yaslandırma'!A192,DETAY!B:B,'DETAY-yaslandırma'!B192)</f>
        <v>0</v>
      </c>
      <c r="T192" s="3">
        <f t="shared" si="14"/>
        <v>0</v>
      </c>
      <c r="U192" s="11">
        <f t="shared" si="15"/>
        <v>0</v>
      </c>
    </row>
    <row r="193" spans="1:21" x14ac:dyDescent="0.35">
      <c r="A193" s="10" t="s">
        <v>347</v>
      </c>
      <c r="B193" s="2" t="s">
        <v>11</v>
      </c>
      <c r="C193" s="5">
        <f>SUMIFS(DETAY!C:C,DETAY!A:A,'DETAY-yaslandırma'!A193,DETAY!B:B,'DETAY-yaslandırma'!B193)</f>
        <v>0</v>
      </c>
      <c r="D193" s="5">
        <f>SUMIFS(ham_data!AB:AB,ham_data!$J:$J,'DETAY-yaslandırma'!$B193,ham_data!$E:$E,'DETAY-yaslandırma'!$A193)</f>
        <v>0</v>
      </c>
      <c r="E193" s="5">
        <f>SUMIFS(ham_data!AC:AC,ham_data!$J:$J,'DETAY-yaslandırma'!$B193,ham_data!$E:$E,'DETAY-yaslandırma'!$A193)</f>
        <v>0</v>
      </c>
      <c r="F193" s="5">
        <f>SUMIFS(ham_data!AD:AD,ham_data!$J:$J,'DETAY-yaslandırma'!$B193,ham_data!$E:$E,'DETAY-yaslandırma'!$A193)</f>
        <v>0</v>
      </c>
      <c r="G193" s="5">
        <f>SUMIFS(ham_data!AE:AE,ham_data!$J:$J,'DETAY-yaslandırma'!$B193,ham_data!$E:$E,'DETAY-yaslandırma'!$A193)</f>
        <v>0</v>
      </c>
      <c r="H193" s="5">
        <f>SUMIFS(ham_data!AF:AF,ham_data!$J:$J,'DETAY-yaslandırma'!$B193,ham_data!$E:$E,'DETAY-yaslandırma'!$A193)</f>
        <v>0</v>
      </c>
      <c r="I193" s="5">
        <f>SUMIFS(ham_data!AG:AG,ham_data!$J:$J,'DETAY-yaslandırma'!$B193,ham_data!$E:$E,'DETAY-yaslandırma'!$A193)</f>
        <v>0</v>
      </c>
      <c r="J193" s="5">
        <f>SUMIFS(ham_data!AH:AH,ham_data!$J:$J,'DETAY-yaslandırma'!$B193,ham_data!$E:$E,'DETAY-yaslandırma'!$A193)</f>
        <v>0</v>
      </c>
      <c r="K193" s="7">
        <f>SUMIFS(DETAY!D:D,DETAY!A:A,'DETAY-yaslandırma'!A193,DETAY!B:B,'DETAY-yaslandırma'!B193)</f>
        <v>4775658.09</v>
      </c>
      <c r="L193" s="7">
        <f>SUMIFS(ham_data!U:U,ham_data!$J:$J,'DETAY-yaslandırma'!$B193,ham_data!$E:$E,'DETAY-yaslandırma'!$A193)</f>
        <v>1933645.28</v>
      </c>
      <c r="M193" s="7">
        <f>SUMIFS(ham_data!V:V,ham_data!$J:$J,'DETAY-yaslandırma'!$B193,ham_data!$E:$E,'DETAY-yaslandırma'!$A193)</f>
        <v>0</v>
      </c>
      <c r="N193" s="7">
        <f>SUMIFS(ham_data!W:W,ham_data!$J:$J,'DETAY-yaslandırma'!$B193,ham_data!$E:$E,'DETAY-yaslandırma'!$A193)</f>
        <v>2842012.81</v>
      </c>
      <c r="O193" s="7">
        <f>SUMIFS(ham_data!X:X,ham_data!$J:$J,'DETAY-yaslandırma'!$B193,ham_data!$E:$E,'DETAY-yaslandırma'!$A193)</f>
        <v>0</v>
      </c>
      <c r="P193" s="7">
        <f>SUMIFS(ham_data!Y:Y,ham_data!$J:$J,'DETAY-yaslandırma'!$B193,ham_data!$E:$E,'DETAY-yaslandırma'!$A193)</f>
        <v>0</v>
      </c>
      <c r="Q193" s="7">
        <f>SUMIFS(ham_data!Z:Z,ham_data!$J:$J,'DETAY-yaslandırma'!$B193,ham_data!$E:$E,'DETAY-yaslandırma'!$A193)</f>
        <v>0</v>
      </c>
      <c r="R193" s="7">
        <f>SUMIFS(ham_data!AA:AA,ham_data!$J:$J,'DETAY-yaslandırma'!$B193,ham_data!$E:$E,'DETAY-yaslandırma'!$A193)</f>
        <v>0</v>
      </c>
      <c r="S193" s="3">
        <f>SUMIFS(DETAY!E:E,DETAY!A:A,'DETAY-yaslandırma'!A193,DETAY!B:B,'DETAY-yaslandırma'!B193)</f>
        <v>4775658.09</v>
      </c>
      <c r="T193" s="3">
        <f t="shared" si="14"/>
        <v>0</v>
      </c>
      <c r="U193" s="11">
        <f t="shared" si="15"/>
        <v>0</v>
      </c>
    </row>
    <row r="194" spans="1:21" x14ac:dyDescent="0.35">
      <c r="A194" s="10" t="s">
        <v>349</v>
      </c>
      <c r="B194" s="2" t="s">
        <v>11</v>
      </c>
      <c r="C194" s="5">
        <f>SUMIFS(DETAY!C:C,DETAY!A:A,'DETAY-yaslandırma'!A194,DETAY!B:B,'DETAY-yaslandırma'!B194)</f>
        <v>132375.12</v>
      </c>
      <c r="D194" s="5">
        <f>SUMIFS(ham_data!AB:AB,ham_data!$J:$J,'DETAY-yaslandırma'!$B194,ham_data!$E:$E,'DETAY-yaslandırma'!$A194)</f>
        <v>132375.12</v>
      </c>
      <c r="E194" s="5">
        <f>SUMIFS(ham_data!AC:AC,ham_data!$J:$J,'DETAY-yaslandırma'!$B194,ham_data!$E:$E,'DETAY-yaslandırma'!$A194)</f>
        <v>0</v>
      </c>
      <c r="F194" s="5">
        <f>SUMIFS(ham_data!AD:AD,ham_data!$J:$J,'DETAY-yaslandırma'!$B194,ham_data!$E:$E,'DETAY-yaslandırma'!$A194)</f>
        <v>0</v>
      </c>
      <c r="G194" s="5">
        <f>SUMIFS(ham_data!AE:AE,ham_data!$J:$J,'DETAY-yaslandırma'!$B194,ham_data!$E:$E,'DETAY-yaslandırma'!$A194)</f>
        <v>0</v>
      </c>
      <c r="H194" s="5">
        <f>SUMIFS(ham_data!AF:AF,ham_data!$J:$J,'DETAY-yaslandırma'!$B194,ham_data!$E:$E,'DETAY-yaslandırma'!$A194)</f>
        <v>0</v>
      </c>
      <c r="I194" s="5">
        <f>SUMIFS(ham_data!AG:AG,ham_data!$J:$J,'DETAY-yaslandırma'!$B194,ham_data!$E:$E,'DETAY-yaslandırma'!$A194)</f>
        <v>0</v>
      </c>
      <c r="J194" s="5">
        <f>SUMIFS(ham_data!AH:AH,ham_data!$J:$J,'DETAY-yaslandırma'!$B194,ham_data!$E:$E,'DETAY-yaslandırma'!$A194)</f>
        <v>0</v>
      </c>
      <c r="K194" s="7">
        <f>SUMIFS(DETAY!D:D,DETAY!A:A,'DETAY-yaslandırma'!A194,DETAY!B:B,'DETAY-yaslandırma'!B194)</f>
        <v>203213.28000000003</v>
      </c>
      <c r="L194" s="7">
        <f>SUMIFS(ham_data!U:U,ham_data!$J:$J,'DETAY-yaslandırma'!$B194,ham_data!$E:$E,'DETAY-yaslandırma'!$A194)</f>
        <v>0</v>
      </c>
      <c r="M194" s="7">
        <f>SUMIFS(ham_data!V:V,ham_data!$J:$J,'DETAY-yaslandırma'!$B194,ham_data!$E:$E,'DETAY-yaslandırma'!$A194)</f>
        <v>130205.04</v>
      </c>
      <c r="N194" s="7">
        <f>SUMIFS(ham_data!W:W,ham_data!$J:$J,'DETAY-yaslandırma'!$B194,ham_data!$E:$E,'DETAY-yaslandırma'!$A194)</f>
        <v>73008.240000000005</v>
      </c>
      <c r="O194" s="7">
        <f>SUMIFS(ham_data!X:X,ham_data!$J:$J,'DETAY-yaslandırma'!$B194,ham_data!$E:$E,'DETAY-yaslandırma'!$A194)</f>
        <v>0</v>
      </c>
      <c r="P194" s="7">
        <f>SUMIFS(ham_data!Y:Y,ham_data!$J:$J,'DETAY-yaslandırma'!$B194,ham_data!$E:$E,'DETAY-yaslandırma'!$A194)</f>
        <v>0</v>
      </c>
      <c r="Q194" s="7">
        <f>SUMIFS(ham_data!Z:Z,ham_data!$J:$J,'DETAY-yaslandırma'!$B194,ham_data!$E:$E,'DETAY-yaslandırma'!$A194)</f>
        <v>0</v>
      </c>
      <c r="R194" s="7">
        <f>SUMIFS(ham_data!AA:AA,ham_data!$J:$J,'DETAY-yaslandırma'!$B194,ham_data!$E:$E,'DETAY-yaslandırma'!$A194)</f>
        <v>0</v>
      </c>
      <c r="S194" s="3">
        <f>SUMIFS(DETAY!E:E,DETAY!A:A,'DETAY-yaslandırma'!A194,DETAY!B:B,'DETAY-yaslandırma'!B194)</f>
        <v>335588.4</v>
      </c>
      <c r="T194" s="3">
        <f t="shared" si="14"/>
        <v>0</v>
      </c>
      <c r="U194" s="11">
        <f t="shared" si="15"/>
        <v>0</v>
      </c>
    </row>
    <row r="195" spans="1:21" x14ac:dyDescent="0.35">
      <c r="A195" s="10" t="s">
        <v>344</v>
      </c>
      <c r="B195" s="2" t="s">
        <v>37</v>
      </c>
      <c r="C195" s="5">
        <f>SUMIFS(DETAY!C:C,DETAY!A:A,'DETAY-yaslandırma'!A195,DETAY!B:B,'DETAY-yaslandırma'!B195)</f>
        <v>188.47</v>
      </c>
      <c r="D195" s="5">
        <f>SUMIFS(ham_data!AB:AB,ham_data!$J:$J,'DETAY-yaslandırma'!$B195,ham_data!$E:$E,'DETAY-yaslandırma'!$A195)</f>
        <v>0</v>
      </c>
      <c r="E195" s="5">
        <f>SUMIFS(ham_data!AC:AC,ham_data!$J:$J,'DETAY-yaslandırma'!$B195,ham_data!$E:$E,'DETAY-yaslandırma'!$A195)</f>
        <v>0</v>
      </c>
      <c r="F195" s="5">
        <f>SUMIFS(ham_data!AD:AD,ham_data!$J:$J,'DETAY-yaslandırma'!$B195,ham_data!$E:$E,'DETAY-yaslandırma'!$A195)</f>
        <v>0</v>
      </c>
      <c r="G195" s="5">
        <f>SUMIFS(ham_data!AE:AE,ham_data!$J:$J,'DETAY-yaslandırma'!$B195,ham_data!$E:$E,'DETAY-yaslandırma'!$A195)</f>
        <v>0</v>
      </c>
      <c r="H195" s="5">
        <f>SUMIFS(ham_data!AF:AF,ham_data!$J:$J,'DETAY-yaslandırma'!$B195,ham_data!$E:$E,'DETAY-yaslandırma'!$A195)</f>
        <v>0</v>
      </c>
      <c r="I195" s="5">
        <f>SUMIFS(ham_data!AG:AG,ham_data!$J:$J,'DETAY-yaslandırma'!$B195,ham_data!$E:$E,'DETAY-yaslandırma'!$A195)</f>
        <v>188.47</v>
      </c>
      <c r="J195" s="5">
        <f>SUMIFS(ham_data!AH:AH,ham_data!$J:$J,'DETAY-yaslandırma'!$B195,ham_data!$E:$E,'DETAY-yaslandırma'!$A195)</f>
        <v>0</v>
      </c>
      <c r="K195" s="7">
        <f>SUMIFS(DETAY!D:D,DETAY!A:A,'DETAY-yaslandırma'!A195,DETAY!B:B,'DETAY-yaslandırma'!B195)</f>
        <v>0</v>
      </c>
      <c r="L195" s="7">
        <f>SUMIFS(ham_data!U:U,ham_data!$J:$J,'DETAY-yaslandırma'!$B195,ham_data!$E:$E,'DETAY-yaslandırma'!$A195)</f>
        <v>0</v>
      </c>
      <c r="M195" s="7">
        <f>SUMIFS(ham_data!V:V,ham_data!$J:$J,'DETAY-yaslandırma'!$B195,ham_data!$E:$E,'DETAY-yaslandırma'!$A195)</f>
        <v>0</v>
      </c>
      <c r="N195" s="7">
        <f>SUMIFS(ham_data!W:W,ham_data!$J:$J,'DETAY-yaslandırma'!$B195,ham_data!$E:$E,'DETAY-yaslandırma'!$A195)</f>
        <v>0</v>
      </c>
      <c r="O195" s="7">
        <f>SUMIFS(ham_data!X:X,ham_data!$J:$J,'DETAY-yaslandırma'!$B195,ham_data!$E:$E,'DETAY-yaslandırma'!$A195)</f>
        <v>0</v>
      </c>
      <c r="P195" s="7">
        <f>SUMIFS(ham_data!Y:Y,ham_data!$J:$J,'DETAY-yaslandırma'!$B195,ham_data!$E:$E,'DETAY-yaslandırma'!$A195)</f>
        <v>0</v>
      </c>
      <c r="Q195" s="7">
        <f>SUMIFS(ham_data!Z:Z,ham_data!$J:$J,'DETAY-yaslandırma'!$B195,ham_data!$E:$E,'DETAY-yaslandırma'!$A195)</f>
        <v>0</v>
      </c>
      <c r="R195" s="7">
        <f>SUMIFS(ham_data!AA:AA,ham_data!$J:$J,'DETAY-yaslandırma'!$B195,ham_data!$E:$E,'DETAY-yaslandırma'!$A195)</f>
        <v>0</v>
      </c>
      <c r="S195" s="3">
        <f>SUMIFS(DETAY!E:E,DETAY!A:A,'DETAY-yaslandırma'!A195,DETAY!B:B,'DETAY-yaslandırma'!B195)</f>
        <v>188.47</v>
      </c>
      <c r="T195" s="3">
        <f t="shared" si="14"/>
        <v>0</v>
      </c>
      <c r="U195" s="11">
        <f t="shared" si="15"/>
        <v>0</v>
      </c>
    </row>
    <row r="196" spans="1:21" x14ac:dyDescent="0.35">
      <c r="A196" s="10" t="s">
        <v>360</v>
      </c>
      <c r="B196" s="2" t="s">
        <v>11</v>
      </c>
      <c r="C196" s="5">
        <f>SUMIFS(DETAY!C:C,DETAY!A:A,'DETAY-yaslandırma'!A196,DETAY!B:B,'DETAY-yaslandırma'!B196)</f>
        <v>0</v>
      </c>
      <c r="D196" s="5">
        <f>SUMIFS(ham_data!AB:AB,ham_data!$J:$J,'DETAY-yaslandırma'!$B196,ham_data!$E:$E,'DETAY-yaslandırma'!$A196)</f>
        <v>0</v>
      </c>
      <c r="E196" s="5">
        <f>SUMIFS(ham_data!AC:AC,ham_data!$J:$J,'DETAY-yaslandırma'!$B196,ham_data!$E:$E,'DETAY-yaslandırma'!$A196)</f>
        <v>0</v>
      </c>
      <c r="F196" s="5">
        <f>SUMIFS(ham_data!AD:AD,ham_data!$J:$J,'DETAY-yaslandırma'!$B196,ham_data!$E:$E,'DETAY-yaslandırma'!$A196)</f>
        <v>0</v>
      </c>
      <c r="G196" s="5">
        <f>SUMIFS(ham_data!AE:AE,ham_data!$J:$J,'DETAY-yaslandırma'!$B196,ham_data!$E:$E,'DETAY-yaslandırma'!$A196)</f>
        <v>0</v>
      </c>
      <c r="H196" s="5">
        <f>SUMIFS(ham_data!AF:AF,ham_data!$J:$J,'DETAY-yaslandırma'!$B196,ham_data!$E:$E,'DETAY-yaslandırma'!$A196)</f>
        <v>0</v>
      </c>
      <c r="I196" s="5">
        <f>SUMIFS(ham_data!AG:AG,ham_data!$J:$J,'DETAY-yaslandırma'!$B196,ham_data!$E:$E,'DETAY-yaslandırma'!$A196)</f>
        <v>0</v>
      </c>
      <c r="J196" s="5">
        <f>SUMIFS(ham_data!AH:AH,ham_data!$J:$J,'DETAY-yaslandırma'!$B196,ham_data!$E:$E,'DETAY-yaslandırma'!$A196)</f>
        <v>0</v>
      </c>
      <c r="K196" s="7">
        <f>SUMIFS(DETAY!D:D,DETAY!A:A,'DETAY-yaslandırma'!A196,DETAY!B:B,'DETAY-yaslandırma'!B196)</f>
        <v>2974751.47</v>
      </c>
      <c r="L196" s="7">
        <f>SUMIFS(ham_data!U:U,ham_data!$J:$J,'DETAY-yaslandırma'!$B196,ham_data!$E:$E,'DETAY-yaslandırma'!$A196)</f>
        <v>2974751.47</v>
      </c>
      <c r="M196" s="7">
        <f>SUMIFS(ham_data!V:V,ham_data!$J:$J,'DETAY-yaslandırma'!$B196,ham_data!$E:$E,'DETAY-yaslandırma'!$A196)</f>
        <v>0</v>
      </c>
      <c r="N196" s="7">
        <f>SUMIFS(ham_data!W:W,ham_data!$J:$J,'DETAY-yaslandırma'!$B196,ham_data!$E:$E,'DETAY-yaslandırma'!$A196)</f>
        <v>0</v>
      </c>
      <c r="O196" s="7">
        <f>SUMIFS(ham_data!X:X,ham_data!$J:$J,'DETAY-yaslandırma'!$B196,ham_data!$E:$E,'DETAY-yaslandırma'!$A196)</f>
        <v>0</v>
      </c>
      <c r="P196" s="7">
        <f>SUMIFS(ham_data!Y:Y,ham_data!$J:$J,'DETAY-yaslandırma'!$B196,ham_data!$E:$E,'DETAY-yaslandırma'!$A196)</f>
        <v>0</v>
      </c>
      <c r="Q196" s="7">
        <f>SUMIFS(ham_data!Z:Z,ham_data!$J:$J,'DETAY-yaslandırma'!$B196,ham_data!$E:$E,'DETAY-yaslandırma'!$A196)</f>
        <v>0</v>
      </c>
      <c r="R196" s="7">
        <f>SUMIFS(ham_data!AA:AA,ham_data!$J:$J,'DETAY-yaslandırma'!$B196,ham_data!$E:$E,'DETAY-yaslandırma'!$A196)</f>
        <v>0</v>
      </c>
      <c r="S196" s="3">
        <f>SUMIFS(DETAY!E:E,DETAY!A:A,'DETAY-yaslandırma'!A196,DETAY!B:B,'DETAY-yaslandırma'!B196)</f>
        <v>2974751.47</v>
      </c>
      <c r="T196" s="3">
        <f t="shared" ref="T196:T198" si="16">C196-SUM(D196:J196)</f>
        <v>0</v>
      </c>
      <c r="U196" s="11">
        <f t="shared" ref="U196:U198" si="17">K196-SUM(L196:R196)</f>
        <v>0</v>
      </c>
    </row>
    <row r="197" spans="1:21" x14ac:dyDescent="0.35">
      <c r="A197" s="10" t="s">
        <v>358</v>
      </c>
      <c r="B197" s="2" t="s">
        <v>11</v>
      </c>
      <c r="C197" s="5">
        <f>SUMIFS(DETAY!C:C,DETAY!A:A,'DETAY-yaslandırma'!A197,DETAY!B:B,'DETAY-yaslandırma'!B197)</f>
        <v>0</v>
      </c>
      <c r="D197" s="5">
        <f>SUMIFS(ham_data!AB:AB,ham_data!$J:$J,'DETAY-yaslandırma'!$B197,ham_data!$E:$E,'DETAY-yaslandırma'!$A197)</f>
        <v>0</v>
      </c>
      <c r="E197" s="5">
        <f>SUMIFS(ham_data!AC:AC,ham_data!$J:$J,'DETAY-yaslandırma'!$B197,ham_data!$E:$E,'DETAY-yaslandırma'!$A197)</f>
        <v>0</v>
      </c>
      <c r="F197" s="5">
        <f>SUMIFS(ham_data!AD:AD,ham_data!$J:$J,'DETAY-yaslandırma'!$B197,ham_data!$E:$E,'DETAY-yaslandırma'!$A197)</f>
        <v>0</v>
      </c>
      <c r="G197" s="5">
        <f>SUMIFS(ham_data!AE:AE,ham_data!$J:$J,'DETAY-yaslandırma'!$B197,ham_data!$E:$E,'DETAY-yaslandırma'!$A197)</f>
        <v>0</v>
      </c>
      <c r="H197" s="5">
        <f>SUMIFS(ham_data!AF:AF,ham_data!$J:$J,'DETAY-yaslandırma'!$B197,ham_data!$E:$E,'DETAY-yaslandırma'!$A197)</f>
        <v>0</v>
      </c>
      <c r="I197" s="5">
        <f>SUMIFS(ham_data!AG:AG,ham_data!$J:$J,'DETAY-yaslandırma'!$B197,ham_data!$E:$E,'DETAY-yaslandırma'!$A197)</f>
        <v>0</v>
      </c>
      <c r="J197" s="5">
        <f>SUMIFS(ham_data!AH:AH,ham_data!$J:$J,'DETAY-yaslandırma'!$B197,ham_data!$E:$E,'DETAY-yaslandırma'!$A197)</f>
        <v>0</v>
      </c>
      <c r="K197" s="7">
        <f>SUMIFS(DETAY!D:D,DETAY!A:A,'DETAY-yaslandırma'!A197,DETAY!B:B,'DETAY-yaslandırma'!B197)</f>
        <v>0</v>
      </c>
      <c r="L197" s="7">
        <f>SUMIFS(ham_data!U:U,ham_data!$J:$J,'DETAY-yaslandırma'!$B197,ham_data!$E:$E,'DETAY-yaslandırma'!$A197)</f>
        <v>0</v>
      </c>
      <c r="M197" s="7">
        <f>SUMIFS(ham_data!V:V,ham_data!$J:$J,'DETAY-yaslandırma'!$B197,ham_data!$E:$E,'DETAY-yaslandırma'!$A197)</f>
        <v>0</v>
      </c>
      <c r="N197" s="7">
        <f>SUMIFS(ham_data!W:W,ham_data!$J:$J,'DETAY-yaslandırma'!$B197,ham_data!$E:$E,'DETAY-yaslandırma'!$A197)</f>
        <v>0</v>
      </c>
      <c r="O197" s="7">
        <f>SUMIFS(ham_data!X:X,ham_data!$J:$J,'DETAY-yaslandırma'!$B197,ham_data!$E:$E,'DETAY-yaslandırma'!$A197)</f>
        <v>0</v>
      </c>
      <c r="P197" s="7">
        <f>SUMIFS(ham_data!Y:Y,ham_data!$J:$J,'DETAY-yaslandırma'!$B197,ham_data!$E:$E,'DETAY-yaslandırma'!$A197)</f>
        <v>0</v>
      </c>
      <c r="Q197" s="7">
        <f>SUMIFS(ham_data!Z:Z,ham_data!$J:$J,'DETAY-yaslandırma'!$B197,ham_data!$E:$E,'DETAY-yaslandırma'!$A197)</f>
        <v>0</v>
      </c>
      <c r="R197" s="7">
        <f>SUMIFS(ham_data!AA:AA,ham_data!$J:$J,'DETAY-yaslandırma'!$B197,ham_data!$E:$E,'DETAY-yaslandırma'!$A197)</f>
        <v>0</v>
      </c>
      <c r="S197" s="3">
        <f>SUMIFS(DETAY!E:E,DETAY!A:A,'DETAY-yaslandırma'!A197,DETAY!B:B,'DETAY-yaslandırma'!B197)</f>
        <v>0</v>
      </c>
      <c r="T197" s="3">
        <f t="shared" si="16"/>
        <v>0</v>
      </c>
      <c r="U197" s="11">
        <f t="shared" si="17"/>
        <v>0</v>
      </c>
    </row>
    <row r="198" spans="1:21" x14ac:dyDescent="0.35">
      <c r="A198" s="10" t="s">
        <v>357</v>
      </c>
      <c r="B198" s="2" t="s">
        <v>11</v>
      </c>
      <c r="C198" s="5">
        <f>SUMIFS(DETAY!C:C,DETAY!A:A,'DETAY-yaslandırma'!A198,DETAY!B:B,'DETAY-yaslandırma'!B198)</f>
        <v>0</v>
      </c>
      <c r="D198" s="5">
        <f>SUMIFS(ham_data!AB:AB,ham_data!$J:$J,'DETAY-yaslandırma'!$B198,ham_data!$E:$E,'DETAY-yaslandırma'!$A198)</f>
        <v>0</v>
      </c>
      <c r="E198" s="5">
        <f>SUMIFS(ham_data!AC:AC,ham_data!$J:$J,'DETAY-yaslandırma'!$B198,ham_data!$E:$E,'DETAY-yaslandırma'!$A198)</f>
        <v>0</v>
      </c>
      <c r="F198" s="5">
        <f>SUMIFS(ham_data!AD:AD,ham_data!$J:$J,'DETAY-yaslandırma'!$B198,ham_data!$E:$E,'DETAY-yaslandırma'!$A198)</f>
        <v>0</v>
      </c>
      <c r="G198" s="5">
        <f>SUMIFS(ham_data!AE:AE,ham_data!$J:$J,'DETAY-yaslandırma'!$B198,ham_data!$E:$E,'DETAY-yaslandırma'!$A198)</f>
        <v>0</v>
      </c>
      <c r="H198" s="5">
        <f>SUMIFS(ham_data!AF:AF,ham_data!$J:$J,'DETAY-yaslandırma'!$B198,ham_data!$E:$E,'DETAY-yaslandırma'!$A198)</f>
        <v>0</v>
      </c>
      <c r="I198" s="5">
        <f>SUMIFS(ham_data!AG:AG,ham_data!$J:$J,'DETAY-yaslandırma'!$B198,ham_data!$E:$E,'DETAY-yaslandırma'!$A198)</f>
        <v>0</v>
      </c>
      <c r="J198" s="5">
        <f>SUMIFS(ham_data!AH:AH,ham_data!$J:$J,'DETAY-yaslandırma'!$B198,ham_data!$E:$E,'DETAY-yaslandırma'!$A198)</f>
        <v>0</v>
      </c>
      <c r="K198" s="7">
        <f>SUMIFS(DETAY!D:D,DETAY!A:A,'DETAY-yaslandırma'!A198,DETAY!B:B,'DETAY-yaslandırma'!B198)</f>
        <v>0</v>
      </c>
      <c r="L198" s="7">
        <f>SUMIFS(ham_data!U:U,ham_data!$J:$J,'DETAY-yaslandırma'!$B198,ham_data!$E:$E,'DETAY-yaslandırma'!$A198)</f>
        <v>0</v>
      </c>
      <c r="M198" s="7">
        <f>SUMIFS(ham_data!V:V,ham_data!$J:$J,'DETAY-yaslandırma'!$B198,ham_data!$E:$E,'DETAY-yaslandırma'!$A198)</f>
        <v>0</v>
      </c>
      <c r="N198" s="7">
        <f>SUMIFS(ham_data!W:W,ham_data!$J:$J,'DETAY-yaslandırma'!$B198,ham_data!$E:$E,'DETAY-yaslandırma'!$A198)</f>
        <v>0</v>
      </c>
      <c r="O198" s="7">
        <f>SUMIFS(ham_data!X:X,ham_data!$J:$J,'DETAY-yaslandırma'!$B198,ham_data!$E:$E,'DETAY-yaslandırma'!$A198)</f>
        <v>0</v>
      </c>
      <c r="P198" s="7">
        <f>SUMIFS(ham_data!Y:Y,ham_data!$J:$J,'DETAY-yaslandırma'!$B198,ham_data!$E:$E,'DETAY-yaslandırma'!$A198)</f>
        <v>0</v>
      </c>
      <c r="Q198" s="7">
        <f>SUMIFS(ham_data!Z:Z,ham_data!$J:$J,'DETAY-yaslandırma'!$B198,ham_data!$E:$E,'DETAY-yaslandırma'!$A198)</f>
        <v>0</v>
      </c>
      <c r="R198" s="7">
        <f>SUMIFS(ham_data!AA:AA,ham_data!$J:$J,'DETAY-yaslandırma'!$B198,ham_data!$E:$E,'DETAY-yaslandırma'!$A198)</f>
        <v>0</v>
      </c>
      <c r="S198" s="3">
        <f>SUMIFS(DETAY!E:E,DETAY!A:A,'DETAY-yaslandırma'!A198,DETAY!B:B,'DETAY-yaslandırma'!B198)</f>
        <v>0</v>
      </c>
      <c r="T198" s="3">
        <f t="shared" si="16"/>
        <v>0</v>
      </c>
      <c r="U198" s="11">
        <f t="shared" si="17"/>
        <v>0</v>
      </c>
    </row>
    <row r="199" spans="1:21" x14ac:dyDescent="0.35">
      <c r="A199" s="10" t="s">
        <v>361</v>
      </c>
      <c r="B199" s="2" t="s">
        <v>11</v>
      </c>
      <c r="C199" s="5">
        <f>SUMIFS(DETAY!C:C,DETAY!A:A,'DETAY-yaslandırma'!A199,DETAY!B:B,'DETAY-yaslandırma'!B199)</f>
        <v>1207159.73</v>
      </c>
      <c r="D199" s="5">
        <f>SUMIFS(ham_data!AB:AB,ham_data!$J:$J,'DETAY-yaslandırma'!$B199,ham_data!$E:$E,'DETAY-yaslandırma'!$A199)</f>
        <v>0</v>
      </c>
      <c r="E199" s="5">
        <f>SUMIFS(ham_data!AC:AC,ham_data!$J:$J,'DETAY-yaslandırma'!$B199,ham_data!$E:$E,'DETAY-yaslandırma'!$A199)</f>
        <v>1207157.73</v>
      </c>
      <c r="F199" s="5">
        <f>SUMIFS(ham_data!AD:AD,ham_data!$J:$J,'DETAY-yaslandırma'!$B199,ham_data!$E:$E,'DETAY-yaslandırma'!$A199)</f>
        <v>0</v>
      </c>
      <c r="G199" s="5">
        <f>SUMIFS(ham_data!AE:AE,ham_data!$J:$J,'DETAY-yaslandırma'!$B199,ham_data!$E:$E,'DETAY-yaslandırma'!$A199)</f>
        <v>2</v>
      </c>
      <c r="H199" s="5">
        <f>SUMIFS(ham_data!AF:AF,ham_data!$J:$J,'DETAY-yaslandırma'!$B199,ham_data!$E:$E,'DETAY-yaslandırma'!$A199)</f>
        <v>0</v>
      </c>
      <c r="I199" s="5">
        <f>SUMIFS(ham_data!AG:AG,ham_data!$J:$J,'DETAY-yaslandırma'!$B199,ham_data!$E:$E,'DETAY-yaslandırma'!$A199)</f>
        <v>0</v>
      </c>
      <c r="J199" s="5">
        <f>SUMIFS(ham_data!AH:AH,ham_data!$J:$J,'DETAY-yaslandırma'!$B199,ham_data!$E:$E,'DETAY-yaslandırma'!$A199)</f>
        <v>0</v>
      </c>
      <c r="K199" s="7">
        <f>SUMIFS(DETAY!D:D,DETAY!A:A,'DETAY-yaslandırma'!A199,DETAY!B:B,'DETAY-yaslandırma'!B199)</f>
        <v>2072099.4300000002</v>
      </c>
      <c r="L199" s="7">
        <f>SUMIFS(ham_data!U:U,ham_data!$J:$J,'DETAY-yaslandırma'!$B199,ham_data!$E:$E,'DETAY-yaslandırma'!$A199)</f>
        <v>2072099.4300000002</v>
      </c>
      <c r="M199" s="7">
        <f>SUMIFS(ham_data!V:V,ham_data!$J:$J,'DETAY-yaslandırma'!$B199,ham_data!$E:$E,'DETAY-yaslandırma'!$A199)</f>
        <v>0</v>
      </c>
      <c r="N199" s="7">
        <f>SUMIFS(ham_data!W:W,ham_data!$J:$J,'DETAY-yaslandırma'!$B199,ham_data!$E:$E,'DETAY-yaslandırma'!$A199)</f>
        <v>0</v>
      </c>
      <c r="O199" s="7">
        <f>SUMIFS(ham_data!X:X,ham_data!$J:$J,'DETAY-yaslandırma'!$B199,ham_data!$E:$E,'DETAY-yaslandırma'!$A199)</f>
        <v>0</v>
      </c>
      <c r="P199" s="7">
        <f>SUMIFS(ham_data!Y:Y,ham_data!$J:$J,'DETAY-yaslandırma'!$B199,ham_data!$E:$E,'DETAY-yaslandırma'!$A199)</f>
        <v>0</v>
      </c>
      <c r="Q199" s="7">
        <f>SUMIFS(ham_data!Z:Z,ham_data!$J:$J,'DETAY-yaslandırma'!$B199,ham_data!$E:$E,'DETAY-yaslandırma'!$A199)</f>
        <v>0</v>
      </c>
      <c r="R199" s="7">
        <f>SUMIFS(ham_data!AA:AA,ham_data!$J:$J,'DETAY-yaslandırma'!$B199,ham_data!$E:$E,'DETAY-yaslandırma'!$A199)</f>
        <v>0</v>
      </c>
      <c r="S199" s="3">
        <f>SUMIFS(DETAY!E:E,DETAY!A:A,'DETAY-yaslandırma'!A199,DETAY!B:B,'DETAY-yaslandırma'!B199)</f>
        <v>3279259.16</v>
      </c>
      <c r="T199" s="3">
        <f t="shared" ref="T199:T201" si="18">C199-SUM(D199:J199)</f>
        <v>0</v>
      </c>
      <c r="U199" s="11">
        <f t="shared" ref="U199:U201" si="19">K199-SUM(L199:R199)</f>
        <v>0</v>
      </c>
    </row>
    <row r="200" spans="1:21" x14ac:dyDescent="0.35">
      <c r="A200" s="10" t="s">
        <v>358</v>
      </c>
      <c r="B200" s="2" t="s">
        <v>37</v>
      </c>
      <c r="C200" s="5">
        <f>SUMIFS(DETAY!C:C,DETAY!A:A,'DETAY-yaslandırma'!A200,DETAY!B:B,'DETAY-yaslandırma'!B200)</f>
        <v>0</v>
      </c>
      <c r="D200" s="5">
        <f>SUMIFS(ham_data!AB:AB,ham_data!$J:$J,'DETAY-yaslandırma'!$B200,ham_data!$E:$E,'DETAY-yaslandırma'!$A200)</f>
        <v>0</v>
      </c>
      <c r="E200" s="5">
        <f>SUMIFS(ham_data!AC:AC,ham_data!$J:$J,'DETAY-yaslandırma'!$B200,ham_data!$E:$E,'DETAY-yaslandırma'!$A200)</f>
        <v>0</v>
      </c>
      <c r="F200" s="5">
        <f>SUMIFS(ham_data!AD:AD,ham_data!$J:$J,'DETAY-yaslandırma'!$B200,ham_data!$E:$E,'DETAY-yaslandırma'!$A200)</f>
        <v>0</v>
      </c>
      <c r="G200" s="5">
        <f>SUMIFS(ham_data!AE:AE,ham_data!$J:$J,'DETAY-yaslandırma'!$B200,ham_data!$E:$E,'DETAY-yaslandırma'!$A200)</f>
        <v>0</v>
      </c>
      <c r="H200" s="5">
        <f>SUMIFS(ham_data!AF:AF,ham_data!$J:$J,'DETAY-yaslandırma'!$B200,ham_data!$E:$E,'DETAY-yaslandırma'!$A200)</f>
        <v>0</v>
      </c>
      <c r="I200" s="5">
        <f>SUMIFS(ham_data!AG:AG,ham_data!$J:$J,'DETAY-yaslandırma'!$B200,ham_data!$E:$E,'DETAY-yaslandırma'!$A200)</f>
        <v>0</v>
      </c>
      <c r="J200" s="5">
        <f>SUMIFS(ham_data!AH:AH,ham_data!$J:$J,'DETAY-yaslandırma'!$B200,ham_data!$E:$E,'DETAY-yaslandırma'!$A200)</f>
        <v>0</v>
      </c>
      <c r="K200" s="7">
        <f>SUMIFS(DETAY!D:D,DETAY!A:A,'DETAY-yaslandırma'!A200,DETAY!B:B,'DETAY-yaslandırma'!B200)</f>
        <v>0</v>
      </c>
      <c r="L200" s="7">
        <f>SUMIFS(ham_data!U:U,ham_data!$J:$J,'DETAY-yaslandırma'!$B200,ham_data!$E:$E,'DETAY-yaslandırma'!$A200)</f>
        <v>0</v>
      </c>
      <c r="M200" s="7">
        <f>SUMIFS(ham_data!V:V,ham_data!$J:$J,'DETAY-yaslandırma'!$B200,ham_data!$E:$E,'DETAY-yaslandırma'!$A200)</f>
        <v>0</v>
      </c>
      <c r="N200" s="7">
        <f>SUMIFS(ham_data!W:W,ham_data!$J:$J,'DETAY-yaslandırma'!$B200,ham_data!$E:$E,'DETAY-yaslandırma'!$A200)</f>
        <v>0</v>
      </c>
      <c r="O200" s="7">
        <f>SUMIFS(ham_data!X:X,ham_data!$J:$J,'DETAY-yaslandırma'!$B200,ham_data!$E:$E,'DETAY-yaslandırma'!$A200)</f>
        <v>0</v>
      </c>
      <c r="P200" s="7">
        <f>SUMIFS(ham_data!Y:Y,ham_data!$J:$J,'DETAY-yaslandırma'!$B200,ham_data!$E:$E,'DETAY-yaslandırma'!$A200)</f>
        <v>0</v>
      </c>
      <c r="Q200" s="7">
        <f>SUMIFS(ham_data!Z:Z,ham_data!$J:$J,'DETAY-yaslandırma'!$B200,ham_data!$E:$E,'DETAY-yaslandırma'!$A200)</f>
        <v>0</v>
      </c>
      <c r="R200" s="7">
        <f>SUMIFS(ham_data!AA:AA,ham_data!$J:$J,'DETAY-yaslandırma'!$B200,ham_data!$E:$E,'DETAY-yaslandırma'!$A200)</f>
        <v>0</v>
      </c>
      <c r="S200" s="3">
        <f>SUMIFS(DETAY!E:E,DETAY!A:A,'DETAY-yaslandırma'!A200,DETAY!B:B,'DETAY-yaslandırma'!B200)</f>
        <v>0</v>
      </c>
      <c r="T200" s="3">
        <f t="shared" si="18"/>
        <v>0</v>
      </c>
      <c r="U200" s="11">
        <f t="shared" si="19"/>
        <v>0</v>
      </c>
    </row>
    <row r="201" spans="1:21" x14ac:dyDescent="0.35">
      <c r="A201" s="10" t="s">
        <v>357</v>
      </c>
      <c r="B201" s="2" t="s">
        <v>37</v>
      </c>
      <c r="C201" s="5">
        <f>SUMIFS(DETAY!C:C,DETAY!A:A,'DETAY-yaslandırma'!A201,DETAY!B:B,'DETAY-yaslandırma'!B201)</f>
        <v>0</v>
      </c>
      <c r="D201" s="5">
        <f>SUMIFS(ham_data!AB:AB,ham_data!$J:$J,'DETAY-yaslandırma'!$B201,ham_data!$E:$E,'DETAY-yaslandırma'!$A201)</f>
        <v>0</v>
      </c>
      <c r="E201" s="5">
        <f>SUMIFS(ham_data!AC:AC,ham_data!$J:$J,'DETAY-yaslandırma'!$B201,ham_data!$E:$E,'DETAY-yaslandırma'!$A201)</f>
        <v>0</v>
      </c>
      <c r="F201" s="5">
        <f>SUMIFS(ham_data!AD:AD,ham_data!$J:$J,'DETAY-yaslandırma'!$B201,ham_data!$E:$E,'DETAY-yaslandırma'!$A201)</f>
        <v>0</v>
      </c>
      <c r="G201" s="5">
        <f>SUMIFS(ham_data!AE:AE,ham_data!$J:$J,'DETAY-yaslandırma'!$B201,ham_data!$E:$E,'DETAY-yaslandırma'!$A201)</f>
        <v>0</v>
      </c>
      <c r="H201" s="5">
        <f>SUMIFS(ham_data!AF:AF,ham_data!$J:$J,'DETAY-yaslandırma'!$B201,ham_data!$E:$E,'DETAY-yaslandırma'!$A201)</f>
        <v>0</v>
      </c>
      <c r="I201" s="5">
        <f>SUMIFS(ham_data!AG:AG,ham_data!$J:$J,'DETAY-yaslandırma'!$B201,ham_data!$E:$E,'DETAY-yaslandırma'!$A201)</f>
        <v>0</v>
      </c>
      <c r="J201" s="5">
        <f>SUMIFS(ham_data!AH:AH,ham_data!$J:$J,'DETAY-yaslandırma'!$B201,ham_data!$E:$E,'DETAY-yaslandırma'!$A201)</f>
        <v>0</v>
      </c>
      <c r="K201" s="7">
        <f>SUMIFS(DETAY!D:D,DETAY!A:A,'DETAY-yaslandırma'!A201,DETAY!B:B,'DETAY-yaslandırma'!B201)</f>
        <v>0</v>
      </c>
      <c r="L201" s="7">
        <f>SUMIFS(ham_data!U:U,ham_data!$J:$J,'DETAY-yaslandırma'!$B201,ham_data!$E:$E,'DETAY-yaslandırma'!$A201)</f>
        <v>0</v>
      </c>
      <c r="M201" s="7">
        <f>SUMIFS(ham_data!V:V,ham_data!$J:$J,'DETAY-yaslandırma'!$B201,ham_data!$E:$E,'DETAY-yaslandırma'!$A201)</f>
        <v>0</v>
      </c>
      <c r="N201" s="7">
        <f>SUMIFS(ham_data!W:W,ham_data!$J:$J,'DETAY-yaslandırma'!$B201,ham_data!$E:$E,'DETAY-yaslandırma'!$A201)</f>
        <v>0</v>
      </c>
      <c r="O201" s="7">
        <f>SUMIFS(ham_data!X:X,ham_data!$J:$J,'DETAY-yaslandırma'!$B201,ham_data!$E:$E,'DETAY-yaslandırma'!$A201)</f>
        <v>0</v>
      </c>
      <c r="P201" s="7">
        <f>SUMIFS(ham_data!Y:Y,ham_data!$J:$J,'DETAY-yaslandırma'!$B201,ham_data!$E:$E,'DETAY-yaslandırma'!$A201)</f>
        <v>0</v>
      </c>
      <c r="Q201" s="7">
        <f>SUMIFS(ham_data!Z:Z,ham_data!$J:$J,'DETAY-yaslandırma'!$B201,ham_data!$E:$E,'DETAY-yaslandırma'!$A201)</f>
        <v>0</v>
      </c>
      <c r="R201" s="7">
        <f>SUMIFS(ham_data!AA:AA,ham_data!$J:$J,'DETAY-yaslandırma'!$B201,ham_data!$E:$E,'DETAY-yaslandırma'!$A201)</f>
        <v>0</v>
      </c>
      <c r="S201" s="3">
        <f>SUMIFS(DETAY!E:E,DETAY!A:A,'DETAY-yaslandırma'!A201,DETAY!B:B,'DETAY-yaslandırma'!B201)</f>
        <v>0</v>
      </c>
      <c r="T201" s="3">
        <f t="shared" si="18"/>
        <v>0</v>
      </c>
      <c r="U201" s="11">
        <f t="shared" si="19"/>
        <v>0</v>
      </c>
    </row>
    <row r="202" spans="1:21" x14ac:dyDescent="0.35">
      <c r="A202" s="10" t="s">
        <v>362</v>
      </c>
      <c r="B202" s="2" t="s">
        <v>11</v>
      </c>
      <c r="C202" s="5">
        <f>SUMIFS(DETAY!C:C,DETAY!A:A,'DETAY-yaslandırma'!A202,DETAY!B:B,'DETAY-yaslandırma'!B202)</f>
        <v>0</v>
      </c>
      <c r="D202" s="5">
        <f>SUMIFS(ham_data!AB:AB,ham_data!$J:$J,'DETAY-yaslandırma'!$B202,ham_data!$E:$E,'DETAY-yaslandırma'!$A202)</f>
        <v>0</v>
      </c>
      <c r="E202" s="5">
        <f>SUMIFS(ham_data!AC:AC,ham_data!$J:$J,'DETAY-yaslandırma'!$B202,ham_data!$E:$E,'DETAY-yaslandırma'!$A202)</f>
        <v>0</v>
      </c>
      <c r="F202" s="5">
        <f>SUMIFS(ham_data!AD:AD,ham_data!$J:$J,'DETAY-yaslandırma'!$B202,ham_data!$E:$E,'DETAY-yaslandırma'!$A202)</f>
        <v>0</v>
      </c>
      <c r="G202" s="5">
        <f>SUMIFS(ham_data!AE:AE,ham_data!$J:$J,'DETAY-yaslandırma'!$B202,ham_data!$E:$E,'DETAY-yaslandırma'!$A202)</f>
        <v>0</v>
      </c>
      <c r="H202" s="5">
        <f>SUMIFS(ham_data!AF:AF,ham_data!$J:$J,'DETAY-yaslandırma'!$B202,ham_data!$E:$E,'DETAY-yaslandırma'!$A202)</f>
        <v>0</v>
      </c>
      <c r="I202" s="5">
        <f>SUMIFS(ham_data!AG:AG,ham_data!$J:$J,'DETAY-yaslandırma'!$B202,ham_data!$E:$E,'DETAY-yaslandırma'!$A202)</f>
        <v>0</v>
      </c>
      <c r="J202" s="5">
        <f>SUMIFS(ham_data!AH:AH,ham_data!$J:$J,'DETAY-yaslandırma'!$B202,ham_data!$E:$E,'DETAY-yaslandırma'!$A202)</f>
        <v>0</v>
      </c>
      <c r="K202" s="7">
        <f>SUMIFS(DETAY!D:D,DETAY!A:A,'DETAY-yaslandırma'!A202,DETAY!B:B,'DETAY-yaslandırma'!B202)</f>
        <v>0</v>
      </c>
      <c r="L202" s="7">
        <f>SUMIFS(ham_data!U:U,ham_data!$J:$J,'DETAY-yaslandırma'!$B202,ham_data!$E:$E,'DETAY-yaslandırma'!$A202)</f>
        <v>0</v>
      </c>
      <c r="M202" s="7">
        <f>SUMIFS(ham_data!V:V,ham_data!$J:$J,'DETAY-yaslandırma'!$B202,ham_data!$E:$E,'DETAY-yaslandırma'!$A202)</f>
        <v>0</v>
      </c>
      <c r="N202" s="7">
        <f>SUMIFS(ham_data!W:W,ham_data!$J:$J,'DETAY-yaslandırma'!$B202,ham_data!$E:$E,'DETAY-yaslandırma'!$A202)</f>
        <v>0</v>
      </c>
      <c r="O202" s="7">
        <f>SUMIFS(ham_data!X:X,ham_data!$J:$J,'DETAY-yaslandırma'!$B202,ham_data!$E:$E,'DETAY-yaslandırma'!$A202)</f>
        <v>0</v>
      </c>
      <c r="P202" s="7">
        <f>SUMIFS(ham_data!Y:Y,ham_data!$J:$J,'DETAY-yaslandırma'!$B202,ham_data!$E:$E,'DETAY-yaslandırma'!$A202)</f>
        <v>0</v>
      </c>
      <c r="Q202" s="7">
        <f>SUMIFS(ham_data!Z:Z,ham_data!$J:$J,'DETAY-yaslandırma'!$B202,ham_data!$E:$E,'DETAY-yaslandırma'!$A202)</f>
        <v>0</v>
      </c>
      <c r="R202" s="7">
        <f>SUMIFS(ham_data!AA:AA,ham_data!$J:$J,'DETAY-yaslandırma'!$B202,ham_data!$E:$E,'DETAY-yaslandırma'!$A202)</f>
        <v>0</v>
      </c>
      <c r="S202" s="3">
        <f>SUMIFS(DETAY!E:E,DETAY!A:A,'DETAY-yaslandırma'!A202,DETAY!B:B,'DETAY-yaslandırma'!B202)</f>
        <v>0</v>
      </c>
      <c r="T202" s="3">
        <f t="shared" ref="T202:T204" si="20">C202-SUM(D202:J202)</f>
        <v>0</v>
      </c>
      <c r="U202" s="11">
        <f t="shared" ref="U202:U204" si="21">K202-SUM(L202:R202)</f>
        <v>0</v>
      </c>
    </row>
    <row r="203" spans="1:21" x14ac:dyDescent="0.35">
      <c r="A203" s="10" t="s">
        <v>364</v>
      </c>
      <c r="B203" s="2" t="s">
        <v>37</v>
      </c>
      <c r="C203" s="5">
        <f>SUMIFS(DETAY!C:C,DETAY!A:A,'DETAY-yaslandırma'!A203,DETAY!B:B,'DETAY-yaslandırma'!B203)</f>
        <v>22</v>
      </c>
      <c r="D203" s="5">
        <f>SUMIFS(ham_data!AB:AB,ham_data!$J:$J,'DETAY-yaslandırma'!$B203,ham_data!$E:$E,'DETAY-yaslandırma'!$A203)</f>
        <v>22</v>
      </c>
      <c r="E203" s="5">
        <f>SUMIFS(ham_data!AC:AC,ham_data!$J:$J,'DETAY-yaslandırma'!$B203,ham_data!$E:$E,'DETAY-yaslandırma'!$A203)</f>
        <v>0</v>
      </c>
      <c r="F203" s="5">
        <f>SUMIFS(ham_data!AD:AD,ham_data!$J:$J,'DETAY-yaslandırma'!$B203,ham_data!$E:$E,'DETAY-yaslandırma'!$A203)</f>
        <v>0</v>
      </c>
      <c r="G203" s="5">
        <f>SUMIFS(ham_data!AE:AE,ham_data!$J:$J,'DETAY-yaslandırma'!$B203,ham_data!$E:$E,'DETAY-yaslandırma'!$A203)</f>
        <v>0</v>
      </c>
      <c r="H203" s="5">
        <f>SUMIFS(ham_data!AF:AF,ham_data!$J:$J,'DETAY-yaslandırma'!$B203,ham_data!$E:$E,'DETAY-yaslandırma'!$A203)</f>
        <v>0</v>
      </c>
      <c r="I203" s="5">
        <f>SUMIFS(ham_data!AG:AG,ham_data!$J:$J,'DETAY-yaslandırma'!$B203,ham_data!$E:$E,'DETAY-yaslandırma'!$A203)</f>
        <v>0</v>
      </c>
      <c r="J203" s="5">
        <f>SUMIFS(ham_data!AH:AH,ham_data!$J:$J,'DETAY-yaslandırma'!$B203,ham_data!$E:$E,'DETAY-yaslandırma'!$A203)</f>
        <v>0</v>
      </c>
      <c r="K203" s="7">
        <f>SUMIFS(DETAY!D:D,DETAY!A:A,'DETAY-yaslandırma'!A203,DETAY!B:B,'DETAY-yaslandırma'!B203)</f>
        <v>0</v>
      </c>
      <c r="L203" s="7">
        <f>SUMIFS(ham_data!U:U,ham_data!$J:$J,'DETAY-yaslandırma'!$B203,ham_data!$E:$E,'DETAY-yaslandırma'!$A203)</f>
        <v>0</v>
      </c>
      <c r="M203" s="7">
        <f>SUMIFS(ham_data!V:V,ham_data!$J:$J,'DETAY-yaslandırma'!$B203,ham_data!$E:$E,'DETAY-yaslandırma'!$A203)</f>
        <v>0</v>
      </c>
      <c r="N203" s="7">
        <f>SUMIFS(ham_data!W:W,ham_data!$J:$J,'DETAY-yaslandırma'!$B203,ham_data!$E:$E,'DETAY-yaslandırma'!$A203)</f>
        <v>0</v>
      </c>
      <c r="O203" s="7">
        <f>SUMIFS(ham_data!X:X,ham_data!$J:$J,'DETAY-yaslandırma'!$B203,ham_data!$E:$E,'DETAY-yaslandırma'!$A203)</f>
        <v>0</v>
      </c>
      <c r="P203" s="7">
        <f>SUMIFS(ham_data!Y:Y,ham_data!$J:$J,'DETAY-yaslandırma'!$B203,ham_data!$E:$E,'DETAY-yaslandırma'!$A203)</f>
        <v>0</v>
      </c>
      <c r="Q203" s="7">
        <f>SUMIFS(ham_data!Z:Z,ham_data!$J:$J,'DETAY-yaslandırma'!$B203,ham_data!$E:$E,'DETAY-yaslandırma'!$A203)</f>
        <v>0</v>
      </c>
      <c r="R203" s="7">
        <f>SUMIFS(ham_data!AA:AA,ham_data!$J:$J,'DETAY-yaslandırma'!$B203,ham_data!$E:$E,'DETAY-yaslandırma'!$A203)</f>
        <v>0</v>
      </c>
      <c r="S203" s="3">
        <f>SUMIFS(DETAY!E:E,DETAY!A:A,'DETAY-yaslandırma'!A203,DETAY!B:B,'DETAY-yaslandırma'!B203)</f>
        <v>22</v>
      </c>
      <c r="T203" s="3">
        <f t="shared" si="20"/>
        <v>0</v>
      </c>
      <c r="U203" s="11">
        <f t="shared" si="21"/>
        <v>0</v>
      </c>
    </row>
    <row r="204" spans="1:21" x14ac:dyDescent="0.35">
      <c r="A204" s="10" t="s">
        <v>363</v>
      </c>
      <c r="B204" s="2" t="s">
        <v>11</v>
      </c>
      <c r="C204" s="5">
        <f>SUMIFS(DETAY!C:C,DETAY!A:A,'DETAY-yaslandırma'!A204,DETAY!B:B,'DETAY-yaslandırma'!B204)</f>
        <v>0</v>
      </c>
      <c r="D204" s="5">
        <f>SUMIFS(ham_data!AB:AB,ham_data!$J:$J,'DETAY-yaslandırma'!$B204,ham_data!$E:$E,'DETAY-yaslandırma'!$A204)</f>
        <v>0</v>
      </c>
      <c r="E204" s="5">
        <f>SUMIFS(ham_data!AC:AC,ham_data!$J:$J,'DETAY-yaslandırma'!$B204,ham_data!$E:$E,'DETAY-yaslandırma'!$A204)</f>
        <v>0</v>
      </c>
      <c r="F204" s="5">
        <f>SUMIFS(ham_data!AD:AD,ham_data!$J:$J,'DETAY-yaslandırma'!$B204,ham_data!$E:$E,'DETAY-yaslandırma'!$A204)</f>
        <v>0</v>
      </c>
      <c r="G204" s="5">
        <f>SUMIFS(ham_data!AE:AE,ham_data!$J:$J,'DETAY-yaslandırma'!$B204,ham_data!$E:$E,'DETAY-yaslandırma'!$A204)</f>
        <v>0</v>
      </c>
      <c r="H204" s="5">
        <f>SUMIFS(ham_data!AF:AF,ham_data!$J:$J,'DETAY-yaslandırma'!$B204,ham_data!$E:$E,'DETAY-yaslandırma'!$A204)</f>
        <v>0</v>
      </c>
      <c r="I204" s="5">
        <f>SUMIFS(ham_data!AG:AG,ham_data!$J:$J,'DETAY-yaslandırma'!$B204,ham_data!$E:$E,'DETAY-yaslandırma'!$A204)</f>
        <v>0</v>
      </c>
      <c r="J204" s="5">
        <f>SUMIFS(ham_data!AH:AH,ham_data!$J:$J,'DETAY-yaslandırma'!$B204,ham_data!$E:$E,'DETAY-yaslandırma'!$A204)</f>
        <v>0</v>
      </c>
      <c r="K204" s="7">
        <f>SUMIFS(DETAY!D:D,DETAY!A:A,'DETAY-yaslandırma'!A204,DETAY!B:B,'DETAY-yaslandırma'!B204)</f>
        <v>0</v>
      </c>
      <c r="L204" s="7">
        <f>SUMIFS(ham_data!U:U,ham_data!$J:$J,'DETAY-yaslandırma'!$B204,ham_data!$E:$E,'DETAY-yaslandırma'!$A204)</f>
        <v>0</v>
      </c>
      <c r="M204" s="7">
        <f>SUMIFS(ham_data!V:V,ham_data!$J:$J,'DETAY-yaslandırma'!$B204,ham_data!$E:$E,'DETAY-yaslandırma'!$A204)</f>
        <v>0</v>
      </c>
      <c r="N204" s="7">
        <f>SUMIFS(ham_data!W:W,ham_data!$J:$J,'DETAY-yaslandırma'!$B204,ham_data!$E:$E,'DETAY-yaslandırma'!$A204)</f>
        <v>0</v>
      </c>
      <c r="O204" s="7">
        <f>SUMIFS(ham_data!X:X,ham_data!$J:$J,'DETAY-yaslandırma'!$B204,ham_data!$E:$E,'DETAY-yaslandırma'!$A204)</f>
        <v>0</v>
      </c>
      <c r="P204" s="7">
        <f>SUMIFS(ham_data!Y:Y,ham_data!$J:$J,'DETAY-yaslandırma'!$B204,ham_data!$E:$E,'DETAY-yaslandırma'!$A204)</f>
        <v>0</v>
      </c>
      <c r="Q204" s="7">
        <f>SUMIFS(ham_data!Z:Z,ham_data!$J:$J,'DETAY-yaslandırma'!$B204,ham_data!$E:$E,'DETAY-yaslandırma'!$A204)</f>
        <v>0</v>
      </c>
      <c r="R204" s="7">
        <f>SUMIFS(ham_data!AA:AA,ham_data!$J:$J,'DETAY-yaslandırma'!$B204,ham_data!$E:$E,'DETAY-yaslandırma'!$A204)</f>
        <v>0</v>
      </c>
      <c r="S204" s="3">
        <f>SUMIFS(DETAY!E:E,DETAY!A:A,'DETAY-yaslandırma'!A204,DETAY!B:B,'DETAY-yaslandırma'!B204)</f>
        <v>0</v>
      </c>
      <c r="T204" s="3">
        <f t="shared" si="20"/>
        <v>0</v>
      </c>
      <c r="U204" s="11">
        <f t="shared" si="21"/>
        <v>0</v>
      </c>
    </row>
    <row r="205" spans="1:21" x14ac:dyDescent="0.35">
      <c r="A205" s="10" t="s">
        <v>365</v>
      </c>
      <c r="B205" s="2" t="s">
        <v>11</v>
      </c>
      <c r="C205" s="5">
        <f>SUMIFS(DETAY!C:C,DETAY!A:A,'DETAY-yaslandırma'!A205,DETAY!B:B,'DETAY-yaslandırma'!B205)</f>
        <v>2379897.27</v>
      </c>
      <c r="D205" s="5">
        <f>SUMIFS(ham_data!AB:AB,ham_data!$J:$J,'DETAY-yaslandırma'!$B205,ham_data!$E:$E,'DETAY-yaslandırma'!$A205)</f>
        <v>1104505.18</v>
      </c>
      <c r="E205" s="5">
        <f>SUMIFS(ham_data!AC:AC,ham_data!$J:$J,'DETAY-yaslandırma'!$B205,ham_data!$E:$E,'DETAY-yaslandırma'!$A205)</f>
        <v>1051035.5900000001</v>
      </c>
      <c r="F205" s="5">
        <f>SUMIFS(ham_data!AD:AD,ham_data!$J:$J,'DETAY-yaslandırma'!$B205,ham_data!$E:$E,'DETAY-yaslandırma'!$A205)</f>
        <v>224356.5</v>
      </c>
      <c r="G205" s="5">
        <f>SUMIFS(ham_data!AE:AE,ham_data!$J:$J,'DETAY-yaslandırma'!$B205,ham_data!$E:$E,'DETAY-yaslandırma'!$A205)</f>
        <v>0</v>
      </c>
      <c r="H205" s="5">
        <f>SUMIFS(ham_data!AF:AF,ham_data!$J:$J,'DETAY-yaslandırma'!$B205,ham_data!$E:$E,'DETAY-yaslandırma'!$A205)</f>
        <v>0</v>
      </c>
      <c r="I205" s="5">
        <f>SUMIFS(ham_data!AG:AG,ham_data!$J:$J,'DETAY-yaslandırma'!$B205,ham_data!$E:$E,'DETAY-yaslandırma'!$A205)</f>
        <v>0</v>
      </c>
      <c r="J205" s="5">
        <f>SUMIFS(ham_data!AH:AH,ham_data!$J:$J,'DETAY-yaslandırma'!$B205,ham_data!$E:$E,'DETAY-yaslandırma'!$A205)</f>
        <v>0</v>
      </c>
      <c r="K205" s="7">
        <f>SUMIFS(DETAY!D:D,DETAY!A:A,'DETAY-yaslandırma'!A205,DETAY!B:B,'DETAY-yaslandırma'!B205)</f>
        <v>2128065.87</v>
      </c>
      <c r="L205" s="7">
        <f>SUMIFS(ham_data!U:U,ham_data!$J:$J,'DETAY-yaslandırma'!$B205,ham_data!$E:$E,'DETAY-yaslandırma'!$A205)</f>
        <v>572317.30000000005</v>
      </c>
      <c r="M205" s="7">
        <f>SUMIFS(ham_data!V:V,ham_data!$J:$J,'DETAY-yaslandırma'!$B205,ham_data!$E:$E,'DETAY-yaslandırma'!$A205)</f>
        <v>1555748.57</v>
      </c>
      <c r="N205" s="7">
        <f>SUMIFS(ham_data!W:W,ham_data!$J:$J,'DETAY-yaslandırma'!$B205,ham_data!$E:$E,'DETAY-yaslandırma'!$A205)</f>
        <v>0</v>
      </c>
      <c r="O205" s="7">
        <f>SUMIFS(ham_data!X:X,ham_data!$J:$J,'DETAY-yaslandırma'!$B205,ham_data!$E:$E,'DETAY-yaslandırma'!$A205)</f>
        <v>0</v>
      </c>
      <c r="P205" s="7">
        <f>SUMIFS(ham_data!Y:Y,ham_data!$J:$J,'DETAY-yaslandırma'!$B205,ham_data!$E:$E,'DETAY-yaslandırma'!$A205)</f>
        <v>0</v>
      </c>
      <c r="Q205" s="7">
        <f>SUMIFS(ham_data!Z:Z,ham_data!$J:$J,'DETAY-yaslandırma'!$B205,ham_data!$E:$E,'DETAY-yaslandırma'!$A205)</f>
        <v>0</v>
      </c>
      <c r="R205" s="7">
        <f>SUMIFS(ham_data!AA:AA,ham_data!$J:$J,'DETAY-yaslandırma'!$B205,ham_data!$E:$E,'DETAY-yaslandırma'!$A205)</f>
        <v>0</v>
      </c>
      <c r="S205" s="3">
        <f>SUMIFS(DETAY!E:E,DETAY!A:A,'DETAY-yaslandırma'!A205,DETAY!B:B,'DETAY-yaslandırma'!B205)</f>
        <v>4507963.1400000006</v>
      </c>
      <c r="T205" s="3">
        <f t="shared" ref="T205:T207" si="22">C205-SUM(D205:J205)</f>
        <v>0</v>
      </c>
      <c r="U205" s="11">
        <f t="shared" ref="U205:U207" si="23">K205-SUM(L205:R205)</f>
        <v>0</v>
      </c>
    </row>
    <row r="206" spans="1:21" x14ac:dyDescent="0.35">
      <c r="A206" s="10" t="s">
        <v>145</v>
      </c>
      <c r="B206" s="2" t="s">
        <v>11</v>
      </c>
      <c r="C206" s="5">
        <f>SUMIFS(DETAY!C:C,DETAY!A:A,'DETAY-yaslandırma'!A206,DETAY!B:B,'DETAY-yaslandırma'!B206)</f>
        <v>0</v>
      </c>
      <c r="D206" s="5">
        <f>SUMIFS(ham_data!AB:AB,ham_data!$J:$J,'DETAY-yaslandırma'!$B206,ham_data!$E:$E,'DETAY-yaslandırma'!$A206)</f>
        <v>0</v>
      </c>
      <c r="E206" s="5">
        <f>SUMIFS(ham_data!AC:AC,ham_data!$J:$J,'DETAY-yaslandırma'!$B206,ham_data!$E:$E,'DETAY-yaslandırma'!$A206)</f>
        <v>0</v>
      </c>
      <c r="F206" s="5">
        <f>SUMIFS(ham_data!AD:AD,ham_data!$J:$J,'DETAY-yaslandırma'!$B206,ham_data!$E:$E,'DETAY-yaslandırma'!$A206)</f>
        <v>0</v>
      </c>
      <c r="G206" s="5">
        <f>SUMIFS(ham_data!AE:AE,ham_data!$J:$J,'DETAY-yaslandırma'!$B206,ham_data!$E:$E,'DETAY-yaslandırma'!$A206)</f>
        <v>0</v>
      </c>
      <c r="H206" s="5">
        <f>SUMIFS(ham_data!AF:AF,ham_data!$J:$J,'DETAY-yaslandırma'!$B206,ham_data!$E:$E,'DETAY-yaslandırma'!$A206)</f>
        <v>0</v>
      </c>
      <c r="I206" s="5">
        <f>SUMIFS(ham_data!AG:AG,ham_data!$J:$J,'DETAY-yaslandırma'!$B206,ham_data!$E:$E,'DETAY-yaslandırma'!$A206)</f>
        <v>0</v>
      </c>
      <c r="J206" s="5">
        <f>SUMIFS(ham_data!AH:AH,ham_data!$J:$J,'DETAY-yaslandırma'!$B206,ham_data!$E:$E,'DETAY-yaslandırma'!$A206)</f>
        <v>0</v>
      </c>
      <c r="K206" s="7">
        <f>SUMIFS(DETAY!D:D,DETAY!A:A,'DETAY-yaslandırma'!A206,DETAY!B:B,'DETAY-yaslandırma'!B206)</f>
        <v>255507.76</v>
      </c>
      <c r="L206" s="7">
        <f>SUMIFS(ham_data!U:U,ham_data!$J:$J,'DETAY-yaslandırma'!$B206,ham_data!$E:$E,'DETAY-yaslandırma'!$A206)</f>
        <v>255507.76</v>
      </c>
      <c r="M206" s="7">
        <f>SUMIFS(ham_data!V:V,ham_data!$J:$J,'DETAY-yaslandırma'!$B206,ham_data!$E:$E,'DETAY-yaslandırma'!$A206)</f>
        <v>0</v>
      </c>
      <c r="N206" s="7">
        <f>SUMIFS(ham_data!W:W,ham_data!$J:$J,'DETAY-yaslandırma'!$B206,ham_data!$E:$E,'DETAY-yaslandırma'!$A206)</f>
        <v>0</v>
      </c>
      <c r="O206" s="7">
        <f>SUMIFS(ham_data!X:X,ham_data!$J:$J,'DETAY-yaslandırma'!$B206,ham_data!$E:$E,'DETAY-yaslandırma'!$A206)</f>
        <v>0</v>
      </c>
      <c r="P206" s="7">
        <f>SUMIFS(ham_data!Y:Y,ham_data!$J:$J,'DETAY-yaslandırma'!$B206,ham_data!$E:$E,'DETAY-yaslandırma'!$A206)</f>
        <v>0</v>
      </c>
      <c r="Q206" s="7">
        <f>SUMIFS(ham_data!Z:Z,ham_data!$J:$J,'DETAY-yaslandırma'!$B206,ham_data!$E:$E,'DETAY-yaslandırma'!$A206)</f>
        <v>0</v>
      </c>
      <c r="R206" s="7">
        <f>SUMIFS(ham_data!AA:AA,ham_data!$J:$J,'DETAY-yaslandırma'!$B206,ham_data!$E:$E,'DETAY-yaslandırma'!$A206)</f>
        <v>0</v>
      </c>
      <c r="S206" s="3">
        <f>SUMIFS(DETAY!E:E,DETAY!A:A,'DETAY-yaslandırma'!A206,DETAY!B:B,'DETAY-yaslandırma'!B206)</f>
        <v>255507.76</v>
      </c>
      <c r="T206" s="3">
        <f t="shared" si="22"/>
        <v>0</v>
      </c>
      <c r="U206" s="11">
        <f t="shared" si="23"/>
        <v>0</v>
      </c>
    </row>
    <row r="207" spans="1:21" x14ac:dyDescent="0.35">
      <c r="A207" s="10" t="s">
        <v>366</v>
      </c>
      <c r="B207" s="2" t="s">
        <v>11</v>
      </c>
      <c r="C207" s="5">
        <f>SUMIFS(DETAY!C:C,DETAY!A:A,'DETAY-yaslandırma'!A207,DETAY!B:B,'DETAY-yaslandırma'!B207)</f>
        <v>11933.33</v>
      </c>
      <c r="D207" s="5">
        <f>SUMIFS(ham_data!AB:AB,ham_data!$J:$J,'DETAY-yaslandırma'!$B207,ham_data!$E:$E,'DETAY-yaslandırma'!$A207)</f>
        <v>11933.33</v>
      </c>
      <c r="E207" s="5">
        <f>SUMIFS(ham_data!AC:AC,ham_data!$J:$J,'DETAY-yaslandırma'!$B207,ham_data!$E:$E,'DETAY-yaslandırma'!$A207)</f>
        <v>0</v>
      </c>
      <c r="F207" s="5">
        <f>SUMIFS(ham_data!AD:AD,ham_data!$J:$J,'DETAY-yaslandırma'!$B207,ham_data!$E:$E,'DETAY-yaslandırma'!$A207)</f>
        <v>0</v>
      </c>
      <c r="G207" s="5">
        <f>SUMIFS(ham_data!AE:AE,ham_data!$J:$J,'DETAY-yaslandırma'!$B207,ham_data!$E:$E,'DETAY-yaslandırma'!$A207)</f>
        <v>0</v>
      </c>
      <c r="H207" s="5">
        <f>SUMIFS(ham_data!AF:AF,ham_data!$J:$J,'DETAY-yaslandırma'!$B207,ham_data!$E:$E,'DETAY-yaslandırma'!$A207)</f>
        <v>0</v>
      </c>
      <c r="I207" s="5">
        <f>SUMIFS(ham_data!AG:AG,ham_data!$J:$J,'DETAY-yaslandırma'!$B207,ham_data!$E:$E,'DETAY-yaslandırma'!$A207)</f>
        <v>0</v>
      </c>
      <c r="J207" s="5">
        <f>SUMIFS(ham_data!AH:AH,ham_data!$J:$J,'DETAY-yaslandırma'!$B207,ham_data!$E:$E,'DETAY-yaslandırma'!$A207)</f>
        <v>0</v>
      </c>
      <c r="K207" s="7">
        <f>SUMIFS(DETAY!D:D,DETAY!A:A,'DETAY-yaslandırma'!A207,DETAY!B:B,'DETAY-yaslandırma'!B207)</f>
        <v>0</v>
      </c>
      <c r="L207" s="7">
        <f>SUMIFS(ham_data!U:U,ham_data!$J:$J,'DETAY-yaslandırma'!$B207,ham_data!$E:$E,'DETAY-yaslandırma'!$A207)</f>
        <v>0</v>
      </c>
      <c r="M207" s="7">
        <f>SUMIFS(ham_data!V:V,ham_data!$J:$J,'DETAY-yaslandırma'!$B207,ham_data!$E:$E,'DETAY-yaslandırma'!$A207)</f>
        <v>0</v>
      </c>
      <c r="N207" s="7">
        <f>SUMIFS(ham_data!W:W,ham_data!$J:$J,'DETAY-yaslandırma'!$B207,ham_data!$E:$E,'DETAY-yaslandırma'!$A207)</f>
        <v>0</v>
      </c>
      <c r="O207" s="7">
        <f>SUMIFS(ham_data!X:X,ham_data!$J:$J,'DETAY-yaslandırma'!$B207,ham_data!$E:$E,'DETAY-yaslandırma'!$A207)</f>
        <v>0</v>
      </c>
      <c r="P207" s="7">
        <f>SUMIFS(ham_data!Y:Y,ham_data!$J:$J,'DETAY-yaslandırma'!$B207,ham_data!$E:$E,'DETAY-yaslandırma'!$A207)</f>
        <v>0</v>
      </c>
      <c r="Q207" s="7">
        <f>SUMIFS(ham_data!Z:Z,ham_data!$J:$J,'DETAY-yaslandırma'!$B207,ham_data!$E:$E,'DETAY-yaslandırma'!$A207)</f>
        <v>0</v>
      </c>
      <c r="R207" s="7">
        <f>SUMIFS(ham_data!AA:AA,ham_data!$J:$J,'DETAY-yaslandırma'!$B207,ham_data!$E:$E,'DETAY-yaslandırma'!$A207)</f>
        <v>0</v>
      </c>
      <c r="S207" s="3">
        <f>SUMIFS(DETAY!E:E,DETAY!A:A,'DETAY-yaslandırma'!A207,DETAY!B:B,'DETAY-yaslandırma'!B207)</f>
        <v>11933.33</v>
      </c>
      <c r="T207" s="3">
        <f t="shared" si="22"/>
        <v>0</v>
      </c>
      <c r="U207" s="11">
        <f t="shared" si="23"/>
        <v>0</v>
      </c>
    </row>
    <row r="208" spans="1:21" x14ac:dyDescent="0.35">
      <c r="A208" s="10" t="s">
        <v>373</v>
      </c>
      <c r="B208" s="2" t="s">
        <v>11</v>
      </c>
      <c r="C208" s="5">
        <f>SUMIFS(DETAY!C:C,DETAY!A:A,'DETAY-yaslandırma'!A208,DETAY!B:B,'DETAY-yaslandırma'!B208)</f>
        <v>0</v>
      </c>
      <c r="D208" s="5">
        <f>SUMIFS(ham_data!AB:AB,ham_data!$J:$J,'DETAY-yaslandırma'!$B208,ham_data!$E:$E,'DETAY-yaslandırma'!$A208)</f>
        <v>0</v>
      </c>
      <c r="E208" s="5">
        <f>SUMIFS(ham_data!AC:AC,ham_data!$J:$J,'DETAY-yaslandırma'!$B208,ham_data!$E:$E,'DETAY-yaslandırma'!$A208)</f>
        <v>0</v>
      </c>
      <c r="F208" s="5">
        <f>SUMIFS(ham_data!AD:AD,ham_data!$J:$J,'DETAY-yaslandırma'!$B208,ham_data!$E:$E,'DETAY-yaslandırma'!$A208)</f>
        <v>0</v>
      </c>
      <c r="G208" s="5">
        <f>SUMIFS(ham_data!AE:AE,ham_data!$J:$J,'DETAY-yaslandırma'!$B208,ham_data!$E:$E,'DETAY-yaslandırma'!$A208)</f>
        <v>0</v>
      </c>
      <c r="H208" s="5">
        <f>SUMIFS(ham_data!AF:AF,ham_data!$J:$J,'DETAY-yaslandırma'!$B208,ham_data!$E:$E,'DETAY-yaslandırma'!$A208)</f>
        <v>0</v>
      </c>
      <c r="I208" s="5">
        <f>SUMIFS(ham_data!AG:AG,ham_data!$J:$J,'DETAY-yaslandırma'!$B208,ham_data!$E:$E,'DETAY-yaslandırma'!$A208)</f>
        <v>0</v>
      </c>
      <c r="J208" s="5">
        <f>SUMIFS(ham_data!AH:AH,ham_data!$J:$J,'DETAY-yaslandırma'!$B208,ham_data!$E:$E,'DETAY-yaslandırma'!$A208)</f>
        <v>0</v>
      </c>
      <c r="K208" s="7">
        <f>SUMIFS(DETAY!D:D,DETAY!A:A,'DETAY-yaslandırma'!A208,DETAY!B:B,'DETAY-yaslandırma'!B208)</f>
        <v>0</v>
      </c>
      <c r="L208" s="7">
        <f>SUMIFS(ham_data!U:U,ham_data!$J:$J,'DETAY-yaslandırma'!$B208,ham_data!$E:$E,'DETAY-yaslandırma'!$A208)</f>
        <v>0</v>
      </c>
      <c r="M208" s="7">
        <f>SUMIFS(ham_data!V:V,ham_data!$J:$J,'DETAY-yaslandırma'!$B208,ham_data!$E:$E,'DETAY-yaslandırma'!$A208)</f>
        <v>0</v>
      </c>
      <c r="N208" s="7">
        <f>SUMIFS(ham_data!W:W,ham_data!$J:$J,'DETAY-yaslandırma'!$B208,ham_data!$E:$E,'DETAY-yaslandırma'!$A208)</f>
        <v>0</v>
      </c>
      <c r="O208" s="7">
        <f>SUMIFS(ham_data!X:X,ham_data!$J:$J,'DETAY-yaslandırma'!$B208,ham_data!$E:$E,'DETAY-yaslandırma'!$A208)</f>
        <v>0</v>
      </c>
      <c r="P208" s="7">
        <f>SUMIFS(ham_data!Y:Y,ham_data!$J:$J,'DETAY-yaslandırma'!$B208,ham_data!$E:$E,'DETAY-yaslandırma'!$A208)</f>
        <v>0</v>
      </c>
      <c r="Q208" s="7">
        <f>SUMIFS(ham_data!Z:Z,ham_data!$J:$J,'DETAY-yaslandırma'!$B208,ham_data!$E:$E,'DETAY-yaslandırma'!$A208)</f>
        <v>0</v>
      </c>
      <c r="R208" s="7">
        <f>SUMIFS(ham_data!AA:AA,ham_data!$J:$J,'DETAY-yaslandırma'!$B208,ham_data!$E:$E,'DETAY-yaslandırma'!$A208)</f>
        <v>0</v>
      </c>
      <c r="S208" s="3">
        <f>SUMIFS(DETAY!E:E,DETAY!A:A,'DETAY-yaslandırma'!A208,DETAY!B:B,'DETAY-yaslandırma'!B208)</f>
        <v>0</v>
      </c>
      <c r="T208" s="3">
        <f t="shared" ref="T208:T214" si="24">C208-SUM(D208:J208)</f>
        <v>0</v>
      </c>
      <c r="U208" s="11">
        <f t="shared" ref="U208:U214" si="25">K208-SUM(L208:R208)</f>
        <v>0</v>
      </c>
    </row>
    <row r="209" spans="1:21" x14ac:dyDescent="0.35">
      <c r="A209" s="10" t="s">
        <v>372</v>
      </c>
      <c r="B209" s="2" t="s">
        <v>11</v>
      </c>
      <c r="C209" s="5">
        <f>SUMIFS(DETAY!C:C,DETAY!A:A,'DETAY-yaslandırma'!A209,DETAY!B:B,'DETAY-yaslandırma'!B209)</f>
        <v>0.22</v>
      </c>
      <c r="D209" s="5">
        <f>SUMIFS(ham_data!AB:AB,ham_data!$J:$J,'DETAY-yaslandırma'!$B209,ham_data!$E:$E,'DETAY-yaslandırma'!$A209)</f>
        <v>0.22</v>
      </c>
      <c r="E209" s="5">
        <f>SUMIFS(ham_data!AC:AC,ham_data!$J:$J,'DETAY-yaslandırma'!$B209,ham_data!$E:$E,'DETAY-yaslandırma'!$A209)</f>
        <v>0</v>
      </c>
      <c r="F209" s="5">
        <f>SUMIFS(ham_data!AD:AD,ham_data!$J:$J,'DETAY-yaslandırma'!$B209,ham_data!$E:$E,'DETAY-yaslandırma'!$A209)</f>
        <v>0</v>
      </c>
      <c r="G209" s="5">
        <f>SUMIFS(ham_data!AE:AE,ham_data!$J:$J,'DETAY-yaslandırma'!$B209,ham_data!$E:$E,'DETAY-yaslandırma'!$A209)</f>
        <v>0</v>
      </c>
      <c r="H209" s="5">
        <f>SUMIFS(ham_data!AF:AF,ham_data!$J:$J,'DETAY-yaslandırma'!$B209,ham_data!$E:$E,'DETAY-yaslandırma'!$A209)</f>
        <v>0</v>
      </c>
      <c r="I209" s="5">
        <f>SUMIFS(ham_data!AG:AG,ham_data!$J:$J,'DETAY-yaslandırma'!$B209,ham_data!$E:$E,'DETAY-yaslandırma'!$A209)</f>
        <v>0</v>
      </c>
      <c r="J209" s="5">
        <f>SUMIFS(ham_data!AH:AH,ham_data!$J:$J,'DETAY-yaslandırma'!$B209,ham_data!$E:$E,'DETAY-yaslandırma'!$A209)</f>
        <v>0</v>
      </c>
      <c r="K209" s="7">
        <f>SUMIFS(DETAY!D:D,DETAY!A:A,'DETAY-yaslandırma'!A209,DETAY!B:B,'DETAY-yaslandırma'!B209)</f>
        <v>0</v>
      </c>
      <c r="L209" s="7">
        <f>SUMIFS(ham_data!U:U,ham_data!$J:$J,'DETAY-yaslandırma'!$B209,ham_data!$E:$E,'DETAY-yaslandırma'!$A209)</f>
        <v>0</v>
      </c>
      <c r="M209" s="7">
        <f>SUMIFS(ham_data!V:V,ham_data!$J:$J,'DETAY-yaslandırma'!$B209,ham_data!$E:$E,'DETAY-yaslandırma'!$A209)</f>
        <v>0</v>
      </c>
      <c r="N209" s="7">
        <f>SUMIFS(ham_data!W:W,ham_data!$J:$J,'DETAY-yaslandırma'!$B209,ham_data!$E:$E,'DETAY-yaslandırma'!$A209)</f>
        <v>0</v>
      </c>
      <c r="O209" s="7">
        <f>SUMIFS(ham_data!X:X,ham_data!$J:$J,'DETAY-yaslandırma'!$B209,ham_data!$E:$E,'DETAY-yaslandırma'!$A209)</f>
        <v>0</v>
      </c>
      <c r="P209" s="7">
        <f>SUMIFS(ham_data!Y:Y,ham_data!$J:$J,'DETAY-yaslandırma'!$B209,ham_data!$E:$E,'DETAY-yaslandırma'!$A209)</f>
        <v>0</v>
      </c>
      <c r="Q209" s="7">
        <f>SUMIFS(ham_data!Z:Z,ham_data!$J:$J,'DETAY-yaslandırma'!$B209,ham_data!$E:$E,'DETAY-yaslandırma'!$A209)</f>
        <v>0</v>
      </c>
      <c r="R209" s="7">
        <f>SUMIFS(ham_data!AA:AA,ham_data!$J:$J,'DETAY-yaslandırma'!$B209,ham_data!$E:$E,'DETAY-yaslandırma'!$A209)</f>
        <v>0</v>
      </c>
      <c r="S209" s="3">
        <f>SUMIFS(DETAY!E:E,DETAY!A:A,'DETAY-yaslandırma'!A209,DETAY!B:B,'DETAY-yaslandırma'!B209)</f>
        <v>0.22</v>
      </c>
      <c r="T209" s="3">
        <f t="shared" si="24"/>
        <v>0</v>
      </c>
      <c r="U209" s="11">
        <f t="shared" si="25"/>
        <v>0</v>
      </c>
    </row>
    <row r="210" spans="1:21" x14ac:dyDescent="0.35">
      <c r="A210" s="10" t="s">
        <v>367</v>
      </c>
      <c r="B210" s="2" t="s">
        <v>11</v>
      </c>
      <c r="C210" s="5">
        <f>SUMIFS(DETAY!C:C,DETAY!A:A,'DETAY-yaslandırma'!A210,DETAY!B:B,'DETAY-yaslandırma'!B210)</f>
        <v>0.03</v>
      </c>
      <c r="D210" s="5">
        <f>SUMIFS(ham_data!AB:AB,ham_data!$J:$J,'DETAY-yaslandırma'!$B210,ham_data!$E:$E,'DETAY-yaslandırma'!$A210)</f>
        <v>0.03</v>
      </c>
      <c r="E210" s="5">
        <f>SUMIFS(ham_data!AC:AC,ham_data!$J:$J,'DETAY-yaslandırma'!$B210,ham_data!$E:$E,'DETAY-yaslandırma'!$A210)</f>
        <v>0</v>
      </c>
      <c r="F210" s="5">
        <f>SUMIFS(ham_data!AD:AD,ham_data!$J:$J,'DETAY-yaslandırma'!$B210,ham_data!$E:$E,'DETAY-yaslandırma'!$A210)</f>
        <v>0</v>
      </c>
      <c r="G210" s="5">
        <f>SUMIFS(ham_data!AE:AE,ham_data!$J:$J,'DETAY-yaslandırma'!$B210,ham_data!$E:$E,'DETAY-yaslandırma'!$A210)</f>
        <v>0</v>
      </c>
      <c r="H210" s="5">
        <f>SUMIFS(ham_data!AF:AF,ham_data!$J:$J,'DETAY-yaslandırma'!$B210,ham_data!$E:$E,'DETAY-yaslandırma'!$A210)</f>
        <v>0</v>
      </c>
      <c r="I210" s="5">
        <f>SUMIFS(ham_data!AG:AG,ham_data!$J:$J,'DETAY-yaslandırma'!$B210,ham_data!$E:$E,'DETAY-yaslandırma'!$A210)</f>
        <v>0</v>
      </c>
      <c r="J210" s="5">
        <f>SUMIFS(ham_data!AH:AH,ham_data!$J:$J,'DETAY-yaslandırma'!$B210,ham_data!$E:$E,'DETAY-yaslandırma'!$A210)</f>
        <v>0</v>
      </c>
      <c r="K210" s="7">
        <f>SUMIFS(DETAY!D:D,DETAY!A:A,'DETAY-yaslandırma'!A210,DETAY!B:B,'DETAY-yaslandırma'!B210)</f>
        <v>0</v>
      </c>
      <c r="L210" s="7">
        <f>SUMIFS(ham_data!U:U,ham_data!$J:$J,'DETAY-yaslandırma'!$B210,ham_data!$E:$E,'DETAY-yaslandırma'!$A210)</f>
        <v>0</v>
      </c>
      <c r="M210" s="7">
        <f>SUMIFS(ham_data!V:V,ham_data!$J:$J,'DETAY-yaslandırma'!$B210,ham_data!$E:$E,'DETAY-yaslandırma'!$A210)</f>
        <v>0</v>
      </c>
      <c r="N210" s="7">
        <f>SUMIFS(ham_data!W:W,ham_data!$J:$J,'DETAY-yaslandırma'!$B210,ham_data!$E:$E,'DETAY-yaslandırma'!$A210)</f>
        <v>0</v>
      </c>
      <c r="O210" s="7">
        <f>SUMIFS(ham_data!X:X,ham_data!$J:$J,'DETAY-yaslandırma'!$B210,ham_data!$E:$E,'DETAY-yaslandırma'!$A210)</f>
        <v>0</v>
      </c>
      <c r="P210" s="7">
        <f>SUMIFS(ham_data!Y:Y,ham_data!$J:$J,'DETAY-yaslandırma'!$B210,ham_data!$E:$E,'DETAY-yaslandırma'!$A210)</f>
        <v>0</v>
      </c>
      <c r="Q210" s="7">
        <f>SUMIFS(ham_data!Z:Z,ham_data!$J:$J,'DETAY-yaslandırma'!$B210,ham_data!$E:$E,'DETAY-yaslandırma'!$A210)</f>
        <v>0</v>
      </c>
      <c r="R210" s="7">
        <f>SUMIFS(ham_data!AA:AA,ham_data!$J:$J,'DETAY-yaslandırma'!$B210,ham_data!$E:$E,'DETAY-yaslandırma'!$A210)</f>
        <v>0</v>
      </c>
      <c r="S210" s="3">
        <f>SUMIFS(DETAY!E:E,DETAY!A:A,'DETAY-yaslandırma'!A210,DETAY!B:B,'DETAY-yaslandırma'!B210)</f>
        <v>0.03</v>
      </c>
      <c r="T210" s="3">
        <f t="shared" si="24"/>
        <v>0</v>
      </c>
      <c r="U210" s="11">
        <f t="shared" si="25"/>
        <v>0</v>
      </c>
    </row>
    <row r="211" spans="1:21" x14ac:dyDescent="0.35">
      <c r="A211" s="10" t="s">
        <v>375</v>
      </c>
      <c r="B211" s="2" t="s">
        <v>11</v>
      </c>
      <c r="C211" s="5">
        <f>SUMIFS(DETAY!C:C,DETAY!A:A,'DETAY-yaslandırma'!A211,DETAY!B:B,'DETAY-yaslandırma'!B211)</f>
        <v>0</v>
      </c>
      <c r="D211" s="5">
        <f>SUMIFS(ham_data!AB:AB,ham_data!$J:$J,'DETAY-yaslandırma'!$B211,ham_data!$E:$E,'DETAY-yaslandırma'!$A211)</f>
        <v>0</v>
      </c>
      <c r="E211" s="5">
        <f>SUMIFS(ham_data!AC:AC,ham_data!$J:$J,'DETAY-yaslandırma'!$B211,ham_data!$E:$E,'DETAY-yaslandırma'!$A211)</f>
        <v>0</v>
      </c>
      <c r="F211" s="5">
        <f>SUMIFS(ham_data!AD:AD,ham_data!$J:$J,'DETAY-yaslandırma'!$B211,ham_data!$E:$E,'DETAY-yaslandırma'!$A211)</f>
        <v>0</v>
      </c>
      <c r="G211" s="5">
        <f>SUMIFS(ham_data!AE:AE,ham_data!$J:$J,'DETAY-yaslandırma'!$B211,ham_data!$E:$E,'DETAY-yaslandırma'!$A211)</f>
        <v>0</v>
      </c>
      <c r="H211" s="5">
        <f>SUMIFS(ham_data!AF:AF,ham_data!$J:$J,'DETAY-yaslandırma'!$B211,ham_data!$E:$E,'DETAY-yaslandırma'!$A211)</f>
        <v>0</v>
      </c>
      <c r="I211" s="5">
        <f>SUMIFS(ham_data!AG:AG,ham_data!$J:$J,'DETAY-yaslandırma'!$B211,ham_data!$E:$E,'DETAY-yaslandırma'!$A211)</f>
        <v>0</v>
      </c>
      <c r="J211" s="5">
        <f>SUMIFS(ham_data!AH:AH,ham_data!$J:$J,'DETAY-yaslandırma'!$B211,ham_data!$E:$E,'DETAY-yaslandırma'!$A211)</f>
        <v>0</v>
      </c>
      <c r="K211" s="7">
        <f>SUMIFS(DETAY!D:D,DETAY!A:A,'DETAY-yaslandırma'!A211,DETAY!B:B,'DETAY-yaslandırma'!B211)</f>
        <v>0</v>
      </c>
      <c r="L211" s="7">
        <f>SUMIFS(ham_data!U:U,ham_data!$J:$J,'DETAY-yaslandırma'!$B211,ham_data!$E:$E,'DETAY-yaslandırma'!$A211)</f>
        <v>0</v>
      </c>
      <c r="M211" s="7">
        <f>SUMIFS(ham_data!V:V,ham_data!$J:$J,'DETAY-yaslandırma'!$B211,ham_data!$E:$E,'DETAY-yaslandırma'!$A211)</f>
        <v>0</v>
      </c>
      <c r="N211" s="7">
        <f>SUMIFS(ham_data!W:W,ham_data!$J:$J,'DETAY-yaslandırma'!$B211,ham_data!$E:$E,'DETAY-yaslandırma'!$A211)</f>
        <v>0</v>
      </c>
      <c r="O211" s="7">
        <f>SUMIFS(ham_data!X:X,ham_data!$J:$J,'DETAY-yaslandırma'!$B211,ham_data!$E:$E,'DETAY-yaslandırma'!$A211)</f>
        <v>0</v>
      </c>
      <c r="P211" s="7">
        <f>SUMIFS(ham_data!Y:Y,ham_data!$J:$J,'DETAY-yaslandırma'!$B211,ham_data!$E:$E,'DETAY-yaslandırma'!$A211)</f>
        <v>0</v>
      </c>
      <c r="Q211" s="7">
        <f>SUMIFS(ham_data!Z:Z,ham_data!$J:$J,'DETAY-yaslandırma'!$B211,ham_data!$E:$E,'DETAY-yaslandırma'!$A211)</f>
        <v>0</v>
      </c>
      <c r="R211" s="7">
        <f>SUMIFS(ham_data!AA:AA,ham_data!$J:$J,'DETAY-yaslandırma'!$B211,ham_data!$E:$E,'DETAY-yaslandırma'!$A211)</f>
        <v>0</v>
      </c>
      <c r="S211" s="3">
        <f>SUMIFS(DETAY!E:E,DETAY!A:A,'DETAY-yaslandırma'!A211,DETAY!B:B,'DETAY-yaslandırma'!B211)</f>
        <v>0</v>
      </c>
      <c r="T211" s="3">
        <f t="shared" si="24"/>
        <v>0</v>
      </c>
      <c r="U211" s="11">
        <f t="shared" si="25"/>
        <v>0</v>
      </c>
    </row>
    <row r="212" spans="1:21" x14ac:dyDescent="0.35">
      <c r="A212" s="10" t="s">
        <v>376</v>
      </c>
      <c r="B212" s="2" t="s">
        <v>11</v>
      </c>
      <c r="C212" s="5">
        <f>SUMIFS(DETAY!C:C,DETAY!A:A,'DETAY-yaslandırma'!A212,DETAY!B:B,'DETAY-yaslandırma'!B212)</f>
        <v>0</v>
      </c>
      <c r="D212" s="5">
        <f>SUMIFS(ham_data!AB:AB,ham_data!$J:$J,'DETAY-yaslandırma'!$B212,ham_data!$E:$E,'DETAY-yaslandırma'!$A212)</f>
        <v>0</v>
      </c>
      <c r="E212" s="5">
        <f>SUMIFS(ham_data!AC:AC,ham_data!$J:$J,'DETAY-yaslandırma'!$B212,ham_data!$E:$E,'DETAY-yaslandırma'!$A212)</f>
        <v>0</v>
      </c>
      <c r="F212" s="5">
        <f>SUMIFS(ham_data!AD:AD,ham_data!$J:$J,'DETAY-yaslandırma'!$B212,ham_data!$E:$E,'DETAY-yaslandırma'!$A212)</f>
        <v>0</v>
      </c>
      <c r="G212" s="5">
        <f>SUMIFS(ham_data!AE:AE,ham_data!$J:$J,'DETAY-yaslandırma'!$B212,ham_data!$E:$E,'DETAY-yaslandırma'!$A212)</f>
        <v>0</v>
      </c>
      <c r="H212" s="5">
        <f>SUMIFS(ham_data!AF:AF,ham_data!$J:$J,'DETAY-yaslandırma'!$B212,ham_data!$E:$E,'DETAY-yaslandırma'!$A212)</f>
        <v>0</v>
      </c>
      <c r="I212" s="5">
        <f>SUMIFS(ham_data!AG:AG,ham_data!$J:$J,'DETAY-yaslandırma'!$B212,ham_data!$E:$E,'DETAY-yaslandırma'!$A212)</f>
        <v>0</v>
      </c>
      <c r="J212" s="5">
        <f>SUMIFS(ham_data!AH:AH,ham_data!$J:$J,'DETAY-yaslandırma'!$B212,ham_data!$E:$E,'DETAY-yaslandırma'!$A212)</f>
        <v>0</v>
      </c>
      <c r="K212" s="7">
        <f>SUMIFS(DETAY!D:D,DETAY!A:A,'DETAY-yaslandırma'!A212,DETAY!B:B,'DETAY-yaslandırma'!B212)</f>
        <v>0</v>
      </c>
      <c r="L212" s="7">
        <f>SUMIFS(ham_data!U:U,ham_data!$J:$J,'DETAY-yaslandırma'!$B212,ham_data!$E:$E,'DETAY-yaslandırma'!$A212)</f>
        <v>0</v>
      </c>
      <c r="M212" s="7">
        <f>SUMIFS(ham_data!V:V,ham_data!$J:$J,'DETAY-yaslandırma'!$B212,ham_data!$E:$E,'DETAY-yaslandırma'!$A212)</f>
        <v>0</v>
      </c>
      <c r="N212" s="7">
        <f>SUMIFS(ham_data!W:W,ham_data!$J:$J,'DETAY-yaslandırma'!$B212,ham_data!$E:$E,'DETAY-yaslandırma'!$A212)</f>
        <v>0</v>
      </c>
      <c r="O212" s="7">
        <f>SUMIFS(ham_data!X:X,ham_data!$J:$J,'DETAY-yaslandırma'!$B212,ham_data!$E:$E,'DETAY-yaslandırma'!$A212)</f>
        <v>0</v>
      </c>
      <c r="P212" s="7">
        <f>SUMIFS(ham_data!Y:Y,ham_data!$J:$J,'DETAY-yaslandırma'!$B212,ham_data!$E:$E,'DETAY-yaslandırma'!$A212)</f>
        <v>0</v>
      </c>
      <c r="Q212" s="7">
        <f>SUMIFS(ham_data!Z:Z,ham_data!$J:$J,'DETAY-yaslandırma'!$B212,ham_data!$E:$E,'DETAY-yaslandırma'!$A212)</f>
        <v>0</v>
      </c>
      <c r="R212" s="7">
        <f>SUMIFS(ham_data!AA:AA,ham_data!$J:$J,'DETAY-yaslandırma'!$B212,ham_data!$E:$E,'DETAY-yaslandırma'!$A212)</f>
        <v>0</v>
      </c>
      <c r="S212" s="3">
        <f>SUMIFS(DETAY!E:E,DETAY!A:A,'DETAY-yaslandırma'!A212,DETAY!B:B,'DETAY-yaslandırma'!B212)</f>
        <v>0</v>
      </c>
      <c r="T212" s="3">
        <f t="shared" si="24"/>
        <v>0</v>
      </c>
      <c r="U212" s="11">
        <f t="shared" si="25"/>
        <v>0</v>
      </c>
    </row>
    <row r="213" spans="1:21" x14ac:dyDescent="0.35">
      <c r="A213" s="10" t="s">
        <v>371</v>
      </c>
      <c r="B213" s="2" t="s">
        <v>11</v>
      </c>
      <c r="C213" s="5">
        <f>SUMIFS(DETAY!C:C,DETAY!A:A,'DETAY-yaslandırma'!A213,DETAY!B:B,'DETAY-yaslandırma'!B213)</f>
        <v>2530453.37</v>
      </c>
      <c r="D213" s="5">
        <f>SUMIFS(ham_data!AB:AB,ham_data!$J:$J,'DETAY-yaslandırma'!$B213,ham_data!$E:$E,'DETAY-yaslandırma'!$A213)</f>
        <v>2530453.37</v>
      </c>
      <c r="E213" s="5">
        <f>SUMIFS(ham_data!AC:AC,ham_data!$J:$J,'DETAY-yaslandırma'!$B213,ham_data!$E:$E,'DETAY-yaslandırma'!$A213)</f>
        <v>0</v>
      </c>
      <c r="F213" s="5">
        <f>SUMIFS(ham_data!AD:AD,ham_data!$J:$J,'DETAY-yaslandırma'!$B213,ham_data!$E:$E,'DETAY-yaslandırma'!$A213)</f>
        <v>0</v>
      </c>
      <c r="G213" s="5">
        <f>SUMIFS(ham_data!AE:AE,ham_data!$J:$J,'DETAY-yaslandırma'!$B213,ham_data!$E:$E,'DETAY-yaslandırma'!$A213)</f>
        <v>0</v>
      </c>
      <c r="H213" s="5">
        <f>SUMIFS(ham_data!AF:AF,ham_data!$J:$J,'DETAY-yaslandırma'!$B213,ham_data!$E:$E,'DETAY-yaslandırma'!$A213)</f>
        <v>0</v>
      </c>
      <c r="I213" s="5">
        <f>SUMIFS(ham_data!AG:AG,ham_data!$J:$J,'DETAY-yaslandırma'!$B213,ham_data!$E:$E,'DETAY-yaslandırma'!$A213)</f>
        <v>0</v>
      </c>
      <c r="J213" s="5">
        <f>SUMIFS(ham_data!AH:AH,ham_data!$J:$J,'DETAY-yaslandırma'!$B213,ham_data!$E:$E,'DETAY-yaslandırma'!$A213)</f>
        <v>0</v>
      </c>
      <c r="K213" s="7">
        <f>SUMIFS(DETAY!D:D,DETAY!A:A,'DETAY-yaslandırma'!A213,DETAY!B:B,'DETAY-yaslandırma'!B213)</f>
        <v>2557162.94</v>
      </c>
      <c r="L213" s="7">
        <f>SUMIFS(ham_data!U:U,ham_data!$J:$J,'DETAY-yaslandırma'!$B213,ham_data!$E:$E,'DETAY-yaslandırma'!$A213)</f>
        <v>0</v>
      </c>
      <c r="M213" s="7">
        <f>SUMIFS(ham_data!V:V,ham_data!$J:$J,'DETAY-yaslandırma'!$B213,ham_data!$E:$E,'DETAY-yaslandırma'!$A213)</f>
        <v>2557162.94</v>
      </c>
      <c r="N213" s="7">
        <f>SUMIFS(ham_data!W:W,ham_data!$J:$J,'DETAY-yaslandırma'!$B213,ham_data!$E:$E,'DETAY-yaslandırma'!$A213)</f>
        <v>0</v>
      </c>
      <c r="O213" s="7">
        <f>SUMIFS(ham_data!X:X,ham_data!$J:$J,'DETAY-yaslandırma'!$B213,ham_data!$E:$E,'DETAY-yaslandırma'!$A213)</f>
        <v>0</v>
      </c>
      <c r="P213" s="7">
        <f>SUMIFS(ham_data!Y:Y,ham_data!$J:$J,'DETAY-yaslandırma'!$B213,ham_data!$E:$E,'DETAY-yaslandırma'!$A213)</f>
        <v>0</v>
      </c>
      <c r="Q213" s="7">
        <f>SUMIFS(ham_data!Z:Z,ham_data!$J:$J,'DETAY-yaslandırma'!$B213,ham_data!$E:$E,'DETAY-yaslandırma'!$A213)</f>
        <v>0</v>
      </c>
      <c r="R213" s="7">
        <f>SUMIFS(ham_data!AA:AA,ham_data!$J:$J,'DETAY-yaslandırma'!$B213,ham_data!$E:$E,'DETAY-yaslandırma'!$A213)</f>
        <v>0</v>
      </c>
      <c r="S213" s="3">
        <f>SUMIFS(DETAY!E:E,DETAY!A:A,'DETAY-yaslandırma'!A213,DETAY!B:B,'DETAY-yaslandırma'!B213)</f>
        <v>5087616.3100000005</v>
      </c>
      <c r="T213" s="3">
        <f t="shared" si="24"/>
        <v>0</v>
      </c>
      <c r="U213" s="11">
        <f t="shared" si="25"/>
        <v>0</v>
      </c>
    </row>
    <row r="214" spans="1:21" x14ac:dyDescent="0.35">
      <c r="A214" s="10" t="s">
        <v>377</v>
      </c>
      <c r="B214" s="2" t="s">
        <v>11</v>
      </c>
      <c r="C214" s="5">
        <f>SUMIFS(DETAY!C:C,DETAY!A:A,'DETAY-yaslandırma'!A214,DETAY!B:B,'DETAY-yaslandırma'!B214)</f>
        <v>0</v>
      </c>
      <c r="D214" s="5">
        <f>SUMIFS(ham_data!AB:AB,ham_data!$J:$J,'DETAY-yaslandırma'!$B214,ham_data!$E:$E,'DETAY-yaslandırma'!$A214)</f>
        <v>0</v>
      </c>
      <c r="E214" s="5">
        <f>SUMIFS(ham_data!AC:AC,ham_data!$J:$J,'DETAY-yaslandırma'!$B214,ham_data!$E:$E,'DETAY-yaslandırma'!$A214)</f>
        <v>0</v>
      </c>
      <c r="F214" s="5">
        <f>SUMIFS(ham_data!AD:AD,ham_data!$J:$J,'DETAY-yaslandırma'!$B214,ham_data!$E:$E,'DETAY-yaslandırma'!$A214)</f>
        <v>0</v>
      </c>
      <c r="G214" s="5">
        <f>SUMIFS(ham_data!AE:AE,ham_data!$J:$J,'DETAY-yaslandırma'!$B214,ham_data!$E:$E,'DETAY-yaslandırma'!$A214)</f>
        <v>0</v>
      </c>
      <c r="H214" s="5">
        <f>SUMIFS(ham_data!AF:AF,ham_data!$J:$J,'DETAY-yaslandırma'!$B214,ham_data!$E:$E,'DETAY-yaslandırma'!$A214)</f>
        <v>0</v>
      </c>
      <c r="I214" s="5">
        <f>SUMIFS(ham_data!AG:AG,ham_data!$J:$J,'DETAY-yaslandırma'!$B214,ham_data!$E:$E,'DETAY-yaslandırma'!$A214)</f>
        <v>0</v>
      </c>
      <c r="J214" s="5">
        <f>SUMIFS(ham_data!AH:AH,ham_data!$J:$J,'DETAY-yaslandırma'!$B214,ham_data!$E:$E,'DETAY-yaslandırma'!$A214)</f>
        <v>0</v>
      </c>
      <c r="K214" s="7">
        <f>SUMIFS(DETAY!D:D,DETAY!A:A,'DETAY-yaslandırma'!A214,DETAY!B:B,'DETAY-yaslandırma'!B214)</f>
        <v>0</v>
      </c>
      <c r="L214" s="7">
        <f>SUMIFS(ham_data!U:U,ham_data!$J:$J,'DETAY-yaslandırma'!$B214,ham_data!$E:$E,'DETAY-yaslandırma'!$A214)</f>
        <v>0</v>
      </c>
      <c r="M214" s="7">
        <f>SUMIFS(ham_data!V:V,ham_data!$J:$J,'DETAY-yaslandırma'!$B214,ham_data!$E:$E,'DETAY-yaslandırma'!$A214)</f>
        <v>0</v>
      </c>
      <c r="N214" s="7">
        <f>SUMIFS(ham_data!W:W,ham_data!$J:$J,'DETAY-yaslandırma'!$B214,ham_data!$E:$E,'DETAY-yaslandırma'!$A214)</f>
        <v>0</v>
      </c>
      <c r="O214" s="7">
        <f>SUMIFS(ham_data!X:X,ham_data!$J:$J,'DETAY-yaslandırma'!$B214,ham_data!$E:$E,'DETAY-yaslandırma'!$A214)</f>
        <v>0</v>
      </c>
      <c r="P214" s="7">
        <f>SUMIFS(ham_data!Y:Y,ham_data!$J:$J,'DETAY-yaslandırma'!$B214,ham_data!$E:$E,'DETAY-yaslandırma'!$A214)</f>
        <v>0</v>
      </c>
      <c r="Q214" s="7">
        <f>SUMIFS(ham_data!Z:Z,ham_data!$J:$J,'DETAY-yaslandırma'!$B214,ham_data!$E:$E,'DETAY-yaslandırma'!$A214)</f>
        <v>0</v>
      </c>
      <c r="R214" s="7">
        <f>SUMIFS(ham_data!AA:AA,ham_data!$J:$J,'DETAY-yaslandırma'!$B214,ham_data!$E:$E,'DETAY-yaslandırma'!$A214)</f>
        <v>0</v>
      </c>
      <c r="S214" s="3">
        <f>SUMIFS(DETAY!E:E,DETAY!A:A,'DETAY-yaslandırma'!A214,DETAY!B:B,'DETAY-yaslandırma'!B214)</f>
        <v>0</v>
      </c>
      <c r="T214" s="3">
        <f t="shared" si="24"/>
        <v>0</v>
      </c>
      <c r="U214" s="11">
        <f t="shared" si="25"/>
        <v>0</v>
      </c>
    </row>
    <row r="215" spans="1:21" x14ac:dyDescent="0.35">
      <c r="A215" s="10" t="s">
        <v>384</v>
      </c>
      <c r="B215" s="2" t="s">
        <v>11</v>
      </c>
      <c r="C215" s="5">
        <f>SUMIFS(DETAY!C:C,DETAY!A:A,'DETAY-yaslandırma'!A215,DETAY!B:B,'DETAY-yaslandırma'!B215)</f>
        <v>0.04</v>
      </c>
      <c r="D215" s="5">
        <f>SUMIFS(ham_data!AB:AB,ham_data!$J:$J,'DETAY-yaslandırma'!$B215,ham_data!$E:$E,'DETAY-yaslandırma'!$A215)</f>
        <v>0.04</v>
      </c>
      <c r="E215" s="5">
        <f>SUMIFS(ham_data!AC:AC,ham_data!$J:$J,'DETAY-yaslandırma'!$B215,ham_data!$E:$E,'DETAY-yaslandırma'!$A215)</f>
        <v>0</v>
      </c>
      <c r="F215" s="5">
        <f>SUMIFS(ham_data!AD:AD,ham_data!$J:$J,'DETAY-yaslandırma'!$B215,ham_data!$E:$E,'DETAY-yaslandırma'!$A215)</f>
        <v>0</v>
      </c>
      <c r="G215" s="5">
        <f>SUMIFS(ham_data!AE:AE,ham_data!$J:$J,'DETAY-yaslandırma'!$B215,ham_data!$E:$E,'DETAY-yaslandırma'!$A215)</f>
        <v>0</v>
      </c>
      <c r="H215" s="5">
        <f>SUMIFS(ham_data!AF:AF,ham_data!$J:$J,'DETAY-yaslandırma'!$B215,ham_data!$E:$E,'DETAY-yaslandırma'!$A215)</f>
        <v>0</v>
      </c>
      <c r="I215" s="5">
        <f>SUMIFS(ham_data!AG:AG,ham_data!$J:$J,'DETAY-yaslandırma'!$B215,ham_data!$E:$E,'DETAY-yaslandırma'!$A215)</f>
        <v>0</v>
      </c>
      <c r="J215" s="5">
        <f>SUMIFS(ham_data!AH:AH,ham_data!$J:$J,'DETAY-yaslandırma'!$B215,ham_data!$E:$E,'DETAY-yaslandırma'!$A215)</f>
        <v>0</v>
      </c>
      <c r="K215" s="7">
        <f>SUMIFS(DETAY!D:D,DETAY!A:A,'DETAY-yaslandırma'!A215,DETAY!B:B,'DETAY-yaslandırma'!B215)</f>
        <v>0</v>
      </c>
      <c r="L215" s="7">
        <f>SUMIFS(ham_data!U:U,ham_data!$J:$J,'DETAY-yaslandırma'!$B215,ham_data!$E:$E,'DETAY-yaslandırma'!$A215)</f>
        <v>0</v>
      </c>
      <c r="M215" s="7">
        <f>SUMIFS(ham_data!V:V,ham_data!$J:$J,'DETAY-yaslandırma'!$B215,ham_data!$E:$E,'DETAY-yaslandırma'!$A215)</f>
        <v>0</v>
      </c>
      <c r="N215" s="7">
        <f>SUMIFS(ham_data!W:W,ham_data!$J:$J,'DETAY-yaslandırma'!$B215,ham_data!$E:$E,'DETAY-yaslandırma'!$A215)</f>
        <v>0</v>
      </c>
      <c r="O215" s="7">
        <f>SUMIFS(ham_data!X:X,ham_data!$J:$J,'DETAY-yaslandırma'!$B215,ham_data!$E:$E,'DETAY-yaslandırma'!$A215)</f>
        <v>0</v>
      </c>
      <c r="P215" s="7">
        <f>SUMIFS(ham_data!Y:Y,ham_data!$J:$J,'DETAY-yaslandırma'!$B215,ham_data!$E:$E,'DETAY-yaslandırma'!$A215)</f>
        <v>0</v>
      </c>
      <c r="Q215" s="7">
        <f>SUMIFS(ham_data!Z:Z,ham_data!$J:$J,'DETAY-yaslandırma'!$B215,ham_data!$E:$E,'DETAY-yaslandırma'!$A215)</f>
        <v>0</v>
      </c>
      <c r="R215" s="7">
        <f>SUMIFS(ham_data!AA:AA,ham_data!$J:$J,'DETAY-yaslandırma'!$B215,ham_data!$E:$E,'DETAY-yaslandırma'!$A215)</f>
        <v>0</v>
      </c>
      <c r="S215" s="3">
        <f>SUMIFS(DETAY!E:E,DETAY!A:A,'DETAY-yaslandırma'!A215,DETAY!B:B,'DETAY-yaslandırma'!B215)</f>
        <v>0.04</v>
      </c>
      <c r="T215" s="3">
        <f t="shared" ref="T215:T218" si="26">C215-SUM(D215:J215)</f>
        <v>0</v>
      </c>
      <c r="U215" s="11">
        <f t="shared" ref="U215:U218" si="27">K215-SUM(L215:R215)</f>
        <v>0</v>
      </c>
    </row>
    <row r="216" spans="1:21" x14ac:dyDescent="0.35">
      <c r="A216" s="10" t="s">
        <v>381</v>
      </c>
      <c r="B216" s="2" t="s">
        <v>19</v>
      </c>
      <c r="C216" s="5">
        <f>SUMIFS(DETAY!C:C,DETAY!A:A,'DETAY-yaslandırma'!A216,DETAY!B:B,'DETAY-yaslandırma'!B216)</f>
        <v>0</v>
      </c>
      <c r="D216" s="5">
        <f>SUMIFS(ham_data!AB:AB,ham_data!$J:$J,'DETAY-yaslandırma'!$B216,ham_data!$E:$E,'DETAY-yaslandırma'!$A216)</f>
        <v>0</v>
      </c>
      <c r="E216" s="5">
        <f>SUMIFS(ham_data!AC:AC,ham_data!$J:$J,'DETAY-yaslandırma'!$B216,ham_data!$E:$E,'DETAY-yaslandırma'!$A216)</f>
        <v>0</v>
      </c>
      <c r="F216" s="5">
        <f>SUMIFS(ham_data!AD:AD,ham_data!$J:$J,'DETAY-yaslandırma'!$B216,ham_data!$E:$E,'DETAY-yaslandırma'!$A216)</f>
        <v>0</v>
      </c>
      <c r="G216" s="5">
        <f>SUMIFS(ham_data!AE:AE,ham_data!$J:$J,'DETAY-yaslandırma'!$B216,ham_data!$E:$E,'DETAY-yaslandırma'!$A216)</f>
        <v>0</v>
      </c>
      <c r="H216" s="5">
        <f>SUMIFS(ham_data!AF:AF,ham_data!$J:$J,'DETAY-yaslandırma'!$B216,ham_data!$E:$E,'DETAY-yaslandırma'!$A216)</f>
        <v>0</v>
      </c>
      <c r="I216" s="5">
        <f>SUMIFS(ham_data!AG:AG,ham_data!$J:$J,'DETAY-yaslandırma'!$B216,ham_data!$E:$E,'DETAY-yaslandırma'!$A216)</f>
        <v>0</v>
      </c>
      <c r="J216" s="5">
        <f>SUMIFS(ham_data!AH:AH,ham_data!$J:$J,'DETAY-yaslandırma'!$B216,ham_data!$E:$E,'DETAY-yaslandırma'!$A216)</f>
        <v>0</v>
      </c>
      <c r="K216" s="7">
        <f>SUMIFS(DETAY!D:D,DETAY!A:A,'DETAY-yaslandırma'!A216,DETAY!B:B,'DETAY-yaslandırma'!B216)</f>
        <v>0</v>
      </c>
      <c r="L216" s="7">
        <f>SUMIFS(ham_data!U:U,ham_data!$J:$J,'DETAY-yaslandırma'!$B216,ham_data!$E:$E,'DETAY-yaslandırma'!$A216)</f>
        <v>0</v>
      </c>
      <c r="M216" s="7">
        <f>SUMIFS(ham_data!V:V,ham_data!$J:$J,'DETAY-yaslandırma'!$B216,ham_data!$E:$E,'DETAY-yaslandırma'!$A216)</f>
        <v>0</v>
      </c>
      <c r="N216" s="7">
        <f>SUMIFS(ham_data!W:W,ham_data!$J:$J,'DETAY-yaslandırma'!$B216,ham_data!$E:$E,'DETAY-yaslandırma'!$A216)</f>
        <v>0</v>
      </c>
      <c r="O216" s="7">
        <f>SUMIFS(ham_data!X:X,ham_data!$J:$J,'DETAY-yaslandırma'!$B216,ham_data!$E:$E,'DETAY-yaslandırma'!$A216)</f>
        <v>0</v>
      </c>
      <c r="P216" s="7">
        <f>SUMIFS(ham_data!Y:Y,ham_data!$J:$J,'DETAY-yaslandırma'!$B216,ham_data!$E:$E,'DETAY-yaslandırma'!$A216)</f>
        <v>0</v>
      </c>
      <c r="Q216" s="7">
        <f>SUMIFS(ham_data!Z:Z,ham_data!$J:$J,'DETAY-yaslandırma'!$B216,ham_data!$E:$E,'DETAY-yaslandırma'!$A216)</f>
        <v>0</v>
      </c>
      <c r="R216" s="7">
        <f>SUMIFS(ham_data!AA:AA,ham_data!$J:$J,'DETAY-yaslandırma'!$B216,ham_data!$E:$E,'DETAY-yaslandırma'!$A216)</f>
        <v>0</v>
      </c>
      <c r="S216" s="3">
        <f>SUMIFS(DETAY!E:E,DETAY!A:A,'DETAY-yaslandırma'!A216,DETAY!B:B,'DETAY-yaslandırma'!B216)</f>
        <v>0</v>
      </c>
      <c r="T216" s="3">
        <f t="shared" si="26"/>
        <v>0</v>
      </c>
      <c r="U216" s="11">
        <f t="shared" si="27"/>
        <v>0</v>
      </c>
    </row>
    <row r="217" spans="1:21" x14ac:dyDescent="0.35">
      <c r="A217" s="10" t="s">
        <v>379</v>
      </c>
      <c r="B217" s="2" t="s">
        <v>11</v>
      </c>
      <c r="C217" s="5">
        <f>SUMIFS(DETAY!C:C,DETAY!A:A,'DETAY-yaslandırma'!A217,DETAY!B:B,'DETAY-yaslandırma'!B217)</f>
        <v>0</v>
      </c>
      <c r="D217" s="5">
        <f>SUMIFS(ham_data!AB:AB,ham_data!$J:$J,'DETAY-yaslandırma'!$B217,ham_data!$E:$E,'DETAY-yaslandırma'!$A217)</f>
        <v>0</v>
      </c>
      <c r="E217" s="5">
        <f>SUMIFS(ham_data!AC:AC,ham_data!$J:$J,'DETAY-yaslandırma'!$B217,ham_data!$E:$E,'DETAY-yaslandırma'!$A217)</f>
        <v>0</v>
      </c>
      <c r="F217" s="5">
        <f>SUMIFS(ham_data!AD:AD,ham_data!$J:$J,'DETAY-yaslandırma'!$B217,ham_data!$E:$E,'DETAY-yaslandırma'!$A217)</f>
        <v>0</v>
      </c>
      <c r="G217" s="5">
        <f>SUMIFS(ham_data!AE:AE,ham_data!$J:$J,'DETAY-yaslandırma'!$B217,ham_data!$E:$E,'DETAY-yaslandırma'!$A217)</f>
        <v>0</v>
      </c>
      <c r="H217" s="5">
        <f>SUMIFS(ham_data!AF:AF,ham_data!$J:$J,'DETAY-yaslandırma'!$B217,ham_data!$E:$E,'DETAY-yaslandırma'!$A217)</f>
        <v>0</v>
      </c>
      <c r="I217" s="5">
        <f>SUMIFS(ham_data!AG:AG,ham_data!$J:$J,'DETAY-yaslandırma'!$B217,ham_data!$E:$E,'DETAY-yaslandırma'!$A217)</f>
        <v>0</v>
      </c>
      <c r="J217" s="5">
        <f>SUMIFS(ham_data!AH:AH,ham_data!$J:$J,'DETAY-yaslandırma'!$B217,ham_data!$E:$E,'DETAY-yaslandırma'!$A217)</f>
        <v>0</v>
      </c>
      <c r="K217" s="7">
        <f>SUMIFS(DETAY!D:D,DETAY!A:A,'DETAY-yaslandırma'!A217,DETAY!B:B,'DETAY-yaslandırma'!B217)</f>
        <v>0</v>
      </c>
      <c r="L217" s="7">
        <f>SUMIFS(ham_data!U:U,ham_data!$J:$J,'DETAY-yaslandırma'!$B217,ham_data!$E:$E,'DETAY-yaslandırma'!$A217)</f>
        <v>0</v>
      </c>
      <c r="M217" s="7">
        <f>SUMIFS(ham_data!V:V,ham_data!$J:$J,'DETAY-yaslandırma'!$B217,ham_data!$E:$E,'DETAY-yaslandırma'!$A217)</f>
        <v>0</v>
      </c>
      <c r="N217" s="7">
        <f>SUMIFS(ham_data!W:W,ham_data!$J:$J,'DETAY-yaslandırma'!$B217,ham_data!$E:$E,'DETAY-yaslandırma'!$A217)</f>
        <v>0</v>
      </c>
      <c r="O217" s="7">
        <f>SUMIFS(ham_data!X:X,ham_data!$J:$J,'DETAY-yaslandırma'!$B217,ham_data!$E:$E,'DETAY-yaslandırma'!$A217)</f>
        <v>0</v>
      </c>
      <c r="P217" s="7">
        <f>SUMIFS(ham_data!Y:Y,ham_data!$J:$J,'DETAY-yaslandırma'!$B217,ham_data!$E:$E,'DETAY-yaslandırma'!$A217)</f>
        <v>0</v>
      </c>
      <c r="Q217" s="7">
        <f>SUMIFS(ham_data!Z:Z,ham_data!$J:$J,'DETAY-yaslandırma'!$B217,ham_data!$E:$E,'DETAY-yaslandırma'!$A217)</f>
        <v>0</v>
      </c>
      <c r="R217" s="7">
        <f>SUMIFS(ham_data!AA:AA,ham_data!$J:$J,'DETAY-yaslandırma'!$B217,ham_data!$E:$E,'DETAY-yaslandırma'!$A217)</f>
        <v>0</v>
      </c>
      <c r="S217" s="3">
        <f>SUMIFS(DETAY!E:E,DETAY!A:A,'DETAY-yaslandırma'!A217,DETAY!B:B,'DETAY-yaslandırma'!B217)</f>
        <v>0</v>
      </c>
      <c r="T217" s="3">
        <f t="shared" si="26"/>
        <v>0</v>
      </c>
      <c r="U217" s="11">
        <f t="shared" si="27"/>
        <v>0</v>
      </c>
    </row>
    <row r="218" spans="1:21" x14ac:dyDescent="0.35">
      <c r="A218" s="10" t="s">
        <v>383</v>
      </c>
      <c r="B218" s="2" t="s">
        <v>11</v>
      </c>
      <c r="C218" s="5">
        <f>SUMIFS(DETAY!C:C,DETAY!A:A,'DETAY-yaslandırma'!A218,DETAY!B:B,'DETAY-yaslandırma'!B218)</f>
        <v>0</v>
      </c>
      <c r="D218" s="5">
        <f>SUMIFS(ham_data!AB:AB,ham_data!$J:$J,'DETAY-yaslandırma'!$B218,ham_data!$E:$E,'DETAY-yaslandırma'!$A218)</f>
        <v>0</v>
      </c>
      <c r="E218" s="5">
        <f>SUMIFS(ham_data!AC:AC,ham_data!$J:$J,'DETAY-yaslandırma'!$B218,ham_data!$E:$E,'DETAY-yaslandırma'!$A218)</f>
        <v>0</v>
      </c>
      <c r="F218" s="5">
        <f>SUMIFS(ham_data!AD:AD,ham_data!$J:$J,'DETAY-yaslandırma'!$B218,ham_data!$E:$E,'DETAY-yaslandırma'!$A218)</f>
        <v>0</v>
      </c>
      <c r="G218" s="5">
        <f>SUMIFS(ham_data!AE:AE,ham_data!$J:$J,'DETAY-yaslandırma'!$B218,ham_data!$E:$E,'DETAY-yaslandırma'!$A218)</f>
        <v>0</v>
      </c>
      <c r="H218" s="5">
        <f>SUMIFS(ham_data!AF:AF,ham_data!$J:$J,'DETAY-yaslandırma'!$B218,ham_data!$E:$E,'DETAY-yaslandırma'!$A218)</f>
        <v>0</v>
      </c>
      <c r="I218" s="5">
        <f>SUMIFS(ham_data!AG:AG,ham_data!$J:$J,'DETAY-yaslandırma'!$B218,ham_data!$E:$E,'DETAY-yaslandırma'!$A218)</f>
        <v>0</v>
      </c>
      <c r="J218" s="5">
        <f>SUMIFS(ham_data!AH:AH,ham_data!$J:$J,'DETAY-yaslandırma'!$B218,ham_data!$E:$E,'DETAY-yaslandırma'!$A218)</f>
        <v>0</v>
      </c>
      <c r="K218" s="7">
        <f>SUMIFS(DETAY!D:D,DETAY!A:A,'DETAY-yaslandırma'!A218,DETAY!B:B,'DETAY-yaslandırma'!B218)</f>
        <v>0</v>
      </c>
      <c r="L218" s="7">
        <f>SUMIFS(ham_data!U:U,ham_data!$J:$J,'DETAY-yaslandırma'!$B218,ham_data!$E:$E,'DETAY-yaslandırma'!$A218)</f>
        <v>0</v>
      </c>
      <c r="M218" s="7">
        <f>SUMIFS(ham_data!V:V,ham_data!$J:$J,'DETAY-yaslandırma'!$B218,ham_data!$E:$E,'DETAY-yaslandırma'!$A218)</f>
        <v>0</v>
      </c>
      <c r="N218" s="7">
        <f>SUMIFS(ham_data!W:W,ham_data!$J:$J,'DETAY-yaslandırma'!$B218,ham_data!$E:$E,'DETAY-yaslandırma'!$A218)</f>
        <v>0</v>
      </c>
      <c r="O218" s="7">
        <f>SUMIFS(ham_data!X:X,ham_data!$J:$J,'DETAY-yaslandırma'!$B218,ham_data!$E:$E,'DETAY-yaslandırma'!$A218)</f>
        <v>0</v>
      </c>
      <c r="P218" s="7">
        <f>SUMIFS(ham_data!Y:Y,ham_data!$J:$J,'DETAY-yaslandırma'!$B218,ham_data!$E:$E,'DETAY-yaslandırma'!$A218)</f>
        <v>0</v>
      </c>
      <c r="Q218" s="7">
        <f>SUMIFS(ham_data!Z:Z,ham_data!$J:$J,'DETAY-yaslandırma'!$B218,ham_data!$E:$E,'DETAY-yaslandırma'!$A218)</f>
        <v>0</v>
      </c>
      <c r="R218" s="7">
        <f>SUMIFS(ham_data!AA:AA,ham_data!$J:$J,'DETAY-yaslandırma'!$B218,ham_data!$E:$E,'DETAY-yaslandırma'!$A218)</f>
        <v>0</v>
      </c>
      <c r="S218" s="3">
        <f>SUMIFS(DETAY!E:E,DETAY!A:A,'DETAY-yaslandırma'!A218,DETAY!B:B,'DETAY-yaslandırma'!B218)</f>
        <v>0</v>
      </c>
      <c r="T218" s="3">
        <f t="shared" si="26"/>
        <v>0</v>
      </c>
      <c r="U218" s="11">
        <f t="shared" si="27"/>
        <v>0</v>
      </c>
    </row>
    <row r="219" spans="1:21" x14ac:dyDescent="0.35">
      <c r="A219" s="10" t="s">
        <v>385</v>
      </c>
      <c r="B219" s="2" t="s">
        <v>37</v>
      </c>
      <c r="C219" s="5">
        <f>SUMIFS(DETAY!C:C,DETAY!A:A,'DETAY-yaslandırma'!A219,DETAY!B:B,'DETAY-yaslandırma'!B219)</f>
        <v>0</v>
      </c>
      <c r="D219" s="5">
        <f>SUMIFS(ham_data!AB:AB,ham_data!$J:$J,'DETAY-yaslandırma'!$B219,ham_data!$E:$E,'DETAY-yaslandırma'!$A219)</f>
        <v>0</v>
      </c>
      <c r="E219" s="5">
        <f>SUMIFS(ham_data!AC:AC,ham_data!$J:$J,'DETAY-yaslandırma'!$B219,ham_data!$E:$E,'DETAY-yaslandırma'!$A219)</f>
        <v>0</v>
      </c>
      <c r="F219" s="5">
        <f>SUMIFS(ham_data!AD:AD,ham_data!$J:$J,'DETAY-yaslandırma'!$B219,ham_data!$E:$E,'DETAY-yaslandırma'!$A219)</f>
        <v>0</v>
      </c>
      <c r="G219" s="5">
        <f>SUMIFS(ham_data!AE:AE,ham_data!$J:$J,'DETAY-yaslandırma'!$B219,ham_data!$E:$E,'DETAY-yaslandırma'!$A219)</f>
        <v>0</v>
      </c>
      <c r="H219" s="5">
        <f>SUMIFS(ham_data!AF:AF,ham_data!$J:$J,'DETAY-yaslandırma'!$B219,ham_data!$E:$E,'DETAY-yaslandırma'!$A219)</f>
        <v>0</v>
      </c>
      <c r="I219" s="5">
        <f>SUMIFS(ham_data!AG:AG,ham_data!$J:$J,'DETAY-yaslandırma'!$B219,ham_data!$E:$E,'DETAY-yaslandırma'!$A219)</f>
        <v>0</v>
      </c>
      <c r="J219" s="5">
        <f>SUMIFS(ham_data!AH:AH,ham_data!$J:$J,'DETAY-yaslandırma'!$B219,ham_data!$E:$E,'DETAY-yaslandırma'!$A219)</f>
        <v>0</v>
      </c>
      <c r="K219" s="7">
        <f>SUMIFS(DETAY!D:D,DETAY!A:A,'DETAY-yaslandırma'!A219,DETAY!B:B,'DETAY-yaslandırma'!B219)</f>
        <v>1550</v>
      </c>
      <c r="L219" s="7">
        <f>SUMIFS(ham_data!U:U,ham_data!$J:$J,'DETAY-yaslandırma'!$B219,ham_data!$E:$E,'DETAY-yaslandırma'!$A219)</f>
        <v>1550</v>
      </c>
      <c r="M219" s="7">
        <f>SUMIFS(ham_data!V:V,ham_data!$J:$J,'DETAY-yaslandırma'!$B219,ham_data!$E:$E,'DETAY-yaslandırma'!$A219)</f>
        <v>0</v>
      </c>
      <c r="N219" s="7">
        <f>SUMIFS(ham_data!W:W,ham_data!$J:$J,'DETAY-yaslandırma'!$B219,ham_data!$E:$E,'DETAY-yaslandırma'!$A219)</f>
        <v>0</v>
      </c>
      <c r="O219" s="7">
        <f>SUMIFS(ham_data!X:X,ham_data!$J:$J,'DETAY-yaslandırma'!$B219,ham_data!$E:$E,'DETAY-yaslandırma'!$A219)</f>
        <v>0</v>
      </c>
      <c r="P219" s="7">
        <f>SUMIFS(ham_data!Y:Y,ham_data!$J:$J,'DETAY-yaslandırma'!$B219,ham_data!$E:$E,'DETAY-yaslandırma'!$A219)</f>
        <v>0</v>
      </c>
      <c r="Q219" s="7">
        <f>SUMIFS(ham_data!Z:Z,ham_data!$J:$J,'DETAY-yaslandırma'!$B219,ham_data!$E:$E,'DETAY-yaslandırma'!$A219)</f>
        <v>0</v>
      </c>
      <c r="R219" s="7">
        <f>SUMIFS(ham_data!AA:AA,ham_data!$J:$J,'DETAY-yaslandırma'!$B219,ham_data!$E:$E,'DETAY-yaslandırma'!$A219)</f>
        <v>0</v>
      </c>
      <c r="S219" s="3">
        <f>SUMIFS(DETAY!E:E,DETAY!A:A,'DETAY-yaslandırma'!A219,DETAY!B:B,'DETAY-yaslandırma'!B219)</f>
        <v>1550</v>
      </c>
      <c r="T219" s="3">
        <f t="shared" ref="T219" si="28">C219-SUM(D219:J219)</f>
        <v>0</v>
      </c>
      <c r="U219" s="11">
        <f t="shared" ref="U219" si="29">K219-SUM(L219:R219)</f>
        <v>0</v>
      </c>
    </row>
    <row r="220" spans="1:21" x14ac:dyDescent="0.35">
      <c r="A220" s="10" t="s">
        <v>390</v>
      </c>
      <c r="B220" s="2" t="s">
        <v>11</v>
      </c>
      <c r="C220" s="5">
        <f>SUMIFS(DETAY!C:C,DETAY!A:A,'DETAY-yaslandırma'!A220,DETAY!B:B,'DETAY-yaslandırma'!B220)</f>
        <v>0</v>
      </c>
      <c r="D220" s="5">
        <f>SUMIFS(ham_data!AB:AB,ham_data!$J:$J,'DETAY-yaslandırma'!$B220,ham_data!$E:$E,'DETAY-yaslandırma'!$A220)</f>
        <v>0</v>
      </c>
      <c r="E220" s="5">
        <f>SUMIFS(ham_data!AC:AC,ham_data!$J:$J,'DETAY-yaslandırma'!$B220,ham_data!$E:$E,'DETAY-yaslandırma'!$A220)</f>
        <v>0</v>
      </c>
      <c r="F220" s="5">
        <f>SUMIFS(ham_data!AD:AD,ham_data!$J:$J,'DETAY-yaslandırma'!$B220,ham_data!$E:$E,'DETAY-yaslandırma'!$A220)</f>
        <v>0</v>
      </c>
      <c r="G220" s="5">
        <f>SUMIFS(ham_data!AE:AE,ham_data!$J:$J,'DETAY-yaslandırma'!$B220,ham_data!$E:$E,'DETAY-yaslandırma'!$A220)</f>
        <v>0</v>
      </c>
      <c r="H220" s="5">
        <f>SUMIFS(ham_data!AF:AF,ham_data!$J:$J,'DETAY-yaslandırma'!$B220,ham_data!$E:$E,'DETAY-yaslandırma'!$A220)</f>
        <v>0</v>
      </c>
      <c r="I220" s="5">
        <f>SUMIFS(ham_data!AG:AG,ham_data!$J:$J,'DETAY-yaslandırma'!$B220,ham_data!$E:$E,'DETAY-yaslandırma'!$A220)</f>
        <v>0</v>
      </c>
      <c r="J220" s="5">
        <f>SUMIFS(ham_data!AH:AH,ham_data!$J:$J,'DETAY-yaslandırma'!$B220,ham_data!$E:$E,'DETAY-yaslandırma'!$A220)</f>
        <v>0</v>
      </c>
      <c r="K220" s="7">
        <f>SUMIFS(DETAY!D:D,DETAY!A:A,'DETAY-yaslandırma'!A220,DETAY!B:B,'DETAY-yaslandırma'!B220)</f>
        <v>0</v>
      </c>
      <c r="L220" s="7">
        <f>SUMIFS(ham_data!U:U,ham_data!$J:$J,'DETAY-yaslandırma'!$B220,ham_data!$E:$E,'DETAY-yaslandırma'!$A220)</f>
        <v>0</v>
      </c>
      <c r="M220" s="7">
        <f>SUMIFS(ham_data!V:V,ham_data!$J:$J,'DETAY-yaslandırma'!$B220,ham_data!$E:$E,'DETAY-yaslandırma'!$A220)</f>
        <v>0</v>
      </c>
      <c r="N220" s="7">
        <f>SUMIFS(ham_data!W:W,ham_data!$J:$J,'DETAY-yaslandırma'!$B220,ham_data!$E:$E,'DETAY-yaslandırma'!$A220)</f>
        <v>0</v>
      </c>
      <c r="O220" s="7">
        <f>SUMIFS(ham_data!X:X,ham_data!$J:$J,'DETAY-yaslandırma'!$B220,ham_data!$E:$E,'DETAY-yaslandırma'!$A220)</f>
        <v>0</v>
      </c>
      <c r="P220" s="7">
        <f>SUMIFS(ham_data!Y:Y,ham_data!$J:$J,'DETAY-yaslandırma'!$B220,ham_data!$E:$E,'DETAY-yaslandırma'!$A220)</f>
        <v>0</v>
      </c>
      <c r="Q220" s="7">
        <f>SUMIFS(ham_data!Z:Z,ham_data!$J:$J,'DETAY-yaslandırma'!$B220,ham_data!$E:$E,'DETAY-yaslandırma'!$A220)</f>
        <v>0</v>
      </c>
      <c r="R220" s="7">
        <f>SUMIFS(ham_data!AA:AA,ham_data!$J:$J,'DETAY-yaslandırma'!$B220,ham_data!$E:$E,'DETAY-yaslandırma'!$A220)</f>
        <v>0</v>
      </c>
      <c r="S220" s="3">
        <f>SUMIFS(DETAY!E:E,DETAY!A:A,'DETAY-yaslandırma'!A220,DETAY!B:B,'DETAY-yaslandırma'!B220)</f>
        <v>0</v>
      </c>
      <c r="T220" s="3">
        <f t="shared" ref="T220:T222" si="30">C220-SUM(D220:J220)</f>
        <v>0</v>
      </c>
      <c r="U220" s="11">
        <f t="shared" ref="U220:U222" si="31">K220-SUM(L220:R220)</f>
        <v>0</v>
      </c>
    </row>
    <row r="221" spans="1:21" x14ac:dyDescent="0.35">
      <c r="A221" s="10" t="s">
        <v>391</v>
      </c>
      <c r="B221" s="2" t="s">
        <v>11</v>
      </c>
      <c r="C221" s="5">
        <f>SUMIFS(DETAY!C:C,DETAY!A:A,'DETAY-yaslandırma'!A221,DETAY!B:B,'DETAY-yaslandırma'!B221)</f>
        <v>0</v>
      </c>
      <c r="D221" s="5">
        <f>SUMIFS(ham_data!AB:AB,ham_data!$J:$J,'DETAY-yaslandırma'!$B221,ham_data!$E:$E,'DETAY-yaslandırma'!$A221)</f>
        <v>0</v>
      </c>
      <c r="E221" s="5">
        <f>SUMIFS(ham_data!AC:AC,ham_data!$J:$J,'DETAY-yaslandırma'!$B221,ham_data!$E:$E,'DETAY-yaslandırma'!$A221)</f>
        <v>0</v>
      </c>
      <c r="F221" s="5">
        <f>SUMIFS(ham_data!AD:AD,ham_data!$J:$J,'DETAY-yaslandırma'!$B221,ham_data!$E:$E,'DETAY-yaslandırma'!$A221)</f>
        <v>0</v>
      </c>
      <c r="G221" s="5">
        <f>SUMIFS(ham_data!AE:AE,ham_data!$J:$J,'DETAY-yaslandırma'!$B221,ham_data!$E:$E,'DETAY-yaslandırma'!$A221)</f>
        <v>0</v>
      </c>
      <c r="H221" s="5">
        <f>SUMIFS(ham_data!AF:AF,ham_data!$J:$J,'DETAY-yaslandırma'!$B221,ham_data!$E:$E,'DETAY-yaslandırma'!$A221)</f>
        <v>0</v>
      </c>
      <c r="I221" s="5">
        <f>SUMIFS(ham_data!AG:AG,ham_data!$J:$J,'DETAY-yaslandırma'!$B221,ham_data!$E:$E,'DETAY-yaslandırma'!$A221)</f>
        <v>0</v>
      </c>
      <c r="J221" s="5">
        <f>SUMIFS(ham_data!AH:AH,ham_data!$J:$J,'DETAY-yaslandırma'!$B221,ham_data!$E:$E,'DETAY-yaslandırma'!$A221)</f>
        <v>0</v>
      </c>
      <c r="K221" s="7">
        <f>SUMIFS(DETAY!D:D,DETAY!A:A,'DETAY-yaslandırma'!A221,DETAY!B:B,'DETAY-yaslandırma'!B221)</f>
        <v>0</v>
      </c>
      <c r="L221" s="7">
        <f>SUMIFS(ham_data!U:U,ham_data!$J:$J,'DETAY-yaslandırma'!$B221,ham_data!$E:$E,'DETAY-yaslandırma'!$A221)</f>
        <v>0</v>
      </c>
      <c r="M221" s="7">
        <f>SUMIFS(ham_data!V:V,ham_data!$J:$J,'DETAY-yaslandırma'!$B221,ham_data!$E:$E,'DETAY-yaslandırma'!$A221)</f>
        <v>0</v>
      </c>
      <c r="N221" s="7">
        <f>SUMIFS(ham_data!W:W,ham_data!$J:$J,'DETAY-yaslandırma'!$B221,ham_data!$E:$E,'DETAY-yaslandırma'!$A221)</f>
        <v>0</v>
      </c>
      <c r="O221" s="7">
        <f>SUMIFS(ham_data!X:X,ham_data!$J:$J,'DETAY-yaslandırma'!$B221,ham_data!$E:$E,'DETAY-yaslandırma'!$A221)</f>
        <v>0</v>
      </c>
      <c r="P221" s="7">
        <f>SUMIFS(ham_data!Y:Y,ham_data!$J:$J,'DETAY-yaslandırma'!$B221,ham_data!$E:$E,'DETAY-yaslandırma'!$A221)</f>
        <v>0</v>
      </c>
      <c r="Q221" s="7">
        <f>SUMIFS(ham_data!Z:Z,ham_data!$J:$J,'DETAY-yaslandırma'!$B221,ham_data!$E:$E,'DETAY-yaslandırma'!$A221)</f>
        <v>0</v>
      </c>
      <c r="R221" s="7">
        <f>SUMIFS(ham_data!AA:AA,ham_data!$J:$J,'DETAY-yaslandırma'!$B221,ham_data!$E:$E,'DETAY-yaslandırma'!$A221)</f>
        <v>0</v>
      </c>
      <c r="S221" s="3">
        <f>SUMIFS(DETAY!E:E,DETAY!A:A,'DETAY-yaslandırma'!A221,DETAY!B:B,'DETAY-yaslandırma'!B221)</f>
        <v>0</v>
      </c>
      <c r="T221" s="3">
        <f t="shared" si="30"/>
        <v>0</v>
      </c>
      <c r="U221" s="11">
        <f t="shared" si="31"/>
        <v>0</v>
      </c>
    </row>
    <row r="222" spans="1:21" x14ac:dyDescent="0.35">
      <c r="A222" s="10" t="s">
        <v>394</v>
      </c>
      <c r="B222" s="2" t="s">
        <v>11</v>
      </c>
      <c r="C222" s="5">
        <f>SUMIFS(DETAY!C:C,DETAY!A:A,'DETAY-yaslandırma'!A222,DETAY!B:B,'DETAY-yaslandırma'!B222)</f>
        <v>250313.77</v>
      </c>
      <c r="D222" s="5">
        <f>SUMIFS(ham_data!AB:AB,ham_data!$J:$J,'DETAY-yaslandırma'!$B222,ham_data!$E:$E,'DETAY-yaslandırma'!$A222)</f>
        <v>250313.77</v>
      </c>
      <c r="E222" s="5">
        <f>SUMIFS(ham_data!AC:AC,ham_data!$J:$J,'DETAY-yaslandırma'!$B222,ham_data!$E:$E,'DETAY-yaslandırma'!$A222)</f>
        <v>0</v>
      </c>
      <c r="F222" s="5">
        <f>SUMIFS(ham_data!AD:AD,ham_data!$J:$J,'DETAY-yaslandırma'!$B222,ham_data!$E:$E,'DETAY-yaslandırma'!$A222)</f>
        <v>0</v>
      </c>
      <c r="G222" s="5">
        <f>SUMIFS(ham_data!AE:AE,ham_data!$J:$J,'DETAY-yaslandırma'!$B222,ham_data!$E:$E,'DETAY-yaslandırma'!$A222)</f>
        <v>0</v>
      </c>
      <c r="H222" s="5">
        <f>SUMIFS(ham_data!AF:AF,ham_data!$J:$J,'DETAY-yaslandırma'!$B222,ham_data!$E:$E,'DETAY-yaslandırma'!$A222)</f>
        <v>0</v>
      </c>
      <c r="I222" s="5">
        <f>SUMIFS(ham_data!AG:AG,ham_data!$J:$J,'DETAY-yaslandırma'!$B222,ham_data!$E:$E,'DETAY-yaslandırma'!$A222)</f>
        <v>0</v>
      </c>
      <c r="J222" s="5">
        <f>SUMIFS(ham_data!AH:AH,ham_data!$J:$J,'DETAY-yaslandırma'!$B222,ham_data!$E:$E,'DETAY-yaslandırma'!$A222)</f>
        <v>0</v>
      </c>
      <c r="K222" s="7">
        <f>SUMIFS(DETAY!D:D,DETAY!A:A,'DETAY-yaslandırma'!A222,DETAY!B:B,'DETAY-yaslandırma'!B222)</f>
        <v>0</v>
      </c>
      <c r="L222" s="7">
        <f>SUMIFS(ham_data!U:U,ham_data!$J:$J,'DETAY-yaslandırma'!$B222,ham_data!$E:$E,'DETAY-yaslandırma'!$A222)</f>
        <v>0</v>
      </c>
      <c r="M222" s="7">
        <f>SUMIFS(ham_data!V:V,ham_data!$J:$J,'DETAY-yaslandırma'!$B222,ham_data!$E:$E,'DETAY-yaslandırma'!$A222)</f>
        <v>0</v>
      </c>
      <c r="N222" s="7">
        <f>SUMIFS(ham_data!W:W,ham_data!$J:$J,'DETAY-yaslandırma'!$B222,ham_data!$E:$E,'DETAY-yaslandırma'!$A222)</f>
        <v>0</v>
      </c>
      <c r="O222" s="7">
        <f>SUMIFS(ham_data!X:X,ham_data!$J:$J,'DETAY-yaslandırma'!$B222,ham_data!$E:$E,'DETAY-yaslandırma'!$A222)</f>
        <v>0</v>
      </c>
      <c r="P222" s="7">
        <f>SUMIFS(ham_data!Y:Y,ham_data!$J:$J,'DETAY-yaslandırma'!$B222,ham_data!$E:$E,'DETAY-yaslandırma'!$A222)</f>
        <v>0</v>
      </c>
      <c r="Q222" s="7">
        <f>SUMIFS(ham_data!Z:Z,ham_data!$J:$J,'DETAY-yaslandırma'!$B222,ham_data!$E:$E,'DETAY-yaslandırma'!$A222)</f>
        <v>0</v>
      </c>
      <c r="R222" s="7">
        <f>SUMIFS(ham_data!AA:AA,ham_data!$J:$J,'DETAY-yaslandırma'!$B222,ham_data!$E:$E,'DETAY-yaslandırma'!$A222)</f>
        <v>0</v>
      </c>
      <c r="S222" s="3">
        <f>SUMIFS(DETAY!E:E,DETAY!A:A,'DETAY-yaslandırma'!A222,DETAY!B:B,'DETAY-yaslandırma'!B222)</f>
        <v>250313.77</v>
      </c>
      <c r="T222" s="3">
        <f t="shared" si="30"/>
        <v>0</v>
      </c>
      <c r="U222" s="11">
        <f t="shared" si="31"/>
        <v>0</v>
      </c>
    </row>
    <row r="223" spans="1:21" x14ac:dyDescent="0.35">
      <c r="A223" s="10" t="s">
        <v>396</v>
      </c>
      <c r="B223" s="2" t="s">
        <v>11</v>
      </c>
      <c r="C223" s="5">
        <f>SUMIFS(DETAY!C:C,DETAY!A:A,'DETAY-yaslandırma'!A223,DETAY!B:B,'DETAY-yaslandırma'!B223)</f>
        <v>0</v>
      </c>
      <c r="D223" s="5">
        <f>SUMIFS(ham_data!AB:AB,ham_data!$J:$J,'DETAY-yaslandırma'!$B223,ham_data!$E:$E,'DETAY-yaslandırma'!$A223)</f>
        <v>0</v>
      </c>
      <c r="E223" s="5">
        <f>SUMIFS(ham_data!AC:AC,ham_data!$J:$J,'DETAY-yaslandırma'!$B223,ham_data!$E:$E,'DETAY-yaslandırma'!$A223)</f>
        <v>0</v>
      </c>
      <c r="F223" s="5">
        <f>SUMIFS(ham_data!AD:AD,ham_data!$J:$J,'DETAY-yaslandırma'!$B223,ham_data!$E:$E,'DETAY-yaslandırma'!$A223)</f>
        <v>0</v>
      </c>
      <c r="G223" s="5">
        <f>SUMIFS(ham_data!AE:AE,ham_data!$J:$J,'DETAY-yaslandırma'!$B223,ham_data!$E:$E,'DETAY-yaslandırma'!$A223)</f>
        <v>0</v>
      </c>
      <c r="H223" s="5">
        <f>SUMIFS(ham_data!AF:AF,ham_data!$J:$J,'DETAY-yaslandırma'!$B223,ham_data!$E:$E,'DETAY-yaslandırma'!$A223)</f>
        <v>0</v>
      </c>
      <c r="I223" s="5">
        <f>SUMIFS(ham_data!AG:AG,ham_data!$J:$J,'DETAY-yaslandırma'!$B223,ham_data!$E:$E,'DETAY-yaslandırma'!$A223)</f>
        <v>0</v>
      </c>
      <c r="J223" s="5">
        <f>SUMIFS(ham_data!AH:AH,ham_data!$J:$J,'DETAY-yaslandırma'!$B223,ham_data!$E:$E,'DETAY-yaslandırma'!$A223)</f>
        <v>0</v>
      </c>
      <c r="K223" s="7">
        <f>SUMIFS(DETAY!D:D,DETAY!A:A,'DETAY-yaslandırma'!A223,DETAY!B:B,'DETAY-yaslandırma'!B223)</f>
        <v>0</v>
      </c>
      <c r="L223" s="7">
        <f>SUMIFS(ham_data!U:U,ham_data!$J:$J,'DETAY-yaslandırma'!$B223,ham_data!$E:$E,'DETAY-yaslandırma'!$A223)</f>
        <v>0</v>
      </c>
      <c r="M223" s="7">
        <f>SUMIFS(ham_data!V:V,ham_data!$J:$J,'DETAY-yaslandırma'!$B223,ham_data!$E:$E,'DETAY-yaslandırma'!$A223)</f>
        <v>0</v>
      </c>
      <c r="N223" s="7">
        <f>SUMIFS(ham_data!W:W,ham_data!$J:$J,'DETAY-yaslandırma'!$B223,ham_data!$E:$E,'DETAY-yaslandırma'!$A223)</f>
        <v>0</v>
      </c>
      <c r="O223" s="7">
        <f>SUMIFS(ham_data!X:X,ham_data!$J:$J,'DETAY-yaslandırma'!$B223,ham_data!$E:$E,'DETAY-yaslandırma'!$A223)</f>
        <v>0</v>
      </c>
      <c r="P223" s="7">
        <f>SUMIFS(ham_data!Y:Y,ham_data!$J:$J,'DETAY-yaslandırma'!$B223,ham_data!$E:$E,'DETAY-yaslandırma'!$A223)</f>
        <v>0</v>
      </c>
      <c r="Q223" s="7">
        <f>SUMIFS(ham_data!Z:Z,ham_data!$J:$J,'DETAY-yaslandırma'!$B223,ham_data!$E:$E,'DETAY-yaslandırma'!$A223)</f>
        <v>0</v>
      </c>
      <c r="R223" s="7">
        <f>SUMIFS(ham_data!AA:AA,ham_data!$J:$J,'DETAY-yaslandırma'!$B223,ham_data!$E:$E,'DETAY-yaslandırma'!$A223)</f>
        <v>0</v>
      </c>
      <c r="S223" s="3">
        <f>SUMIFS(DETAY!E:E,DETAY!A:A,'DETAY-yaslandırma'!A223,DETAY!B:B,'DETAY-yaslandırma'!B223)</f>
        <v>0</v>
      </c>
      <c r="T223" s="3">
        <f t="shared" ref="T223" si="32">C223-SUM(D223:J223)</f>
        <v>0</v>
      </c>
      <c r="U223" s="11">
        <f t="shared" ref="U223" si="33">K223-SUM(L223:R223)</f>
        <v>0</v>
      </c>
    </row>
    <row r="224" spans="1:21" x14ac:dyDescent="0.35">
      <c r="A224" s="10" t="s">
        <v>405</v>
      </c>
      <c r="B224" s="2" t="s">
        <v>11</v>
      </c>
      <c r="C224" s="5">
        <f>SUMIFS(DETAY!C:C,DETAY!A:A,'DETAY-yaslandırma'!A224,DETAY!B:B,'DETAY-yaslandırma'!B224)</f>
        <v>0</v>
      </c>
      <c r="D224" s="5">
        <f>SUMIFS(ham_data!AB:AB,ham_data!$J:$J,'DETAY-yaslandırma'!$B224,ham_data!$E:$E,'DETAY-yaslandırma'!$A224)</f>
        <v>0</v>
      </c>
      <c r="E224" s="5">
        <f>SUMIFS(ham_data!AC:AC,ham_data!$J:$J,'DETAY-yaslandırma'!$B224,ham_data!$E:$E,'DETAY-yaslandırma'!$A224)</f>
        <v>0</v>
      </c>
      <c r="F224" s="5">
        <f>SUMIFS(ham_data!AD:AD,ham_data!$J:$J,'DETAY-yaslandırma'!$B224,ham_data!$E:$E,'DETAY-yaslandırma'!$A224)</f>
        <v>0</v>
      </c>
      <c r="G224" s="5">
        <f>SUMIFS(ham_data!AE:AE,ham_data!$J:$J,'DETAY-yaslandırma'!$B224,ham_data!$E:$E,'DETAY-yaslandırma'!$A224)</f>
        <v>0</v>
      </c>
      <c r="H224" s="5">
        <f>SUMIFS(ham_data!AF:AF,ham_data!$J:$J,'DETAY-yaslandırma'!$B224,ham_data!$E:$E,'DETAY-yaslandırma'!$A224)</f>
        <v>0</v>
      </c>
      <c r="I224" s="5">
        <f>SUMIFS(ham_data!AG:AG,ham_data!$J:$J,'DETAY-yaslandırma'!$B224,ham_data!$E:$E,'DETAY-yaslandırma'!$A224)</f>
        <v>0</v>
      </c>
      <c r="J224" s="5">
        <f>SUMIFS(ham_data!AH:AH,ham_data!$J:$J,'DETAY-yaslandırma'!$B224,ham_data!$E:$E,'DETAY-yaslandırma'!$A224)</f>
        <v>0</v>
      </c>
      <c r="K224" s="7">
        <f>SUMIFS(DETAY!D:D,DETAY!A:A,'DETAY-yaslandırma'!A224,DETAY!B:B,'DETAY-yaslandırma'!B224)</f>
        <v>0</v>
      </c>
      <c r="L224" s="7">
        <f>SUMIFS(ham_data!U:U,ham_data!$J:$J,'DETAY-yaslandırma'!$B224,ham_data!$E:$E,'DETAY-yaslandırma'!$A224)</f>
        <v>0</v>
      </c>
      <c r="M224" s="7">
        <f>SUMIFS(ham_data!V:V,ham_data!$J:$J,'DETAY-yaslandırma'!$B224,ham_data!$E:$E,'DETAY-yaslandırma'!$A224)</f>
        <v>0</v>
      </c>
      <c r="N224" s="7">
        <f>SUMIFS(ham_data!W:W,ham_data!$J:$J,'DETAY-yaslandırma'!$B224,ham_data!$E:$E,'DETAY-yaslandırma'!$A224)</f>
        <v>0</v>
      </c>
      <c r="O224" s="7">
        <f>SUMIFS(ham_data!X:X,ham_data!$J:$J,'DETAY-yaslandırma'!$B224,ham_data!$E:$E,'DETAY-yaslandırma'!$A224)</f>
        <v>0</v>
      </c>
      <c r="P224" s="7">
        <f>SUMIFS(ham_data!Y:Y,ham_data!$J:$J,'DETAY-yaslandırma'!$B224,ham_data!$E:$E,'DETAY-yaslandırma'!$A224)</f>
        <v>0</v>
      </c>
      <c r="Q224" s="7">
        <f>SUMIFS(ham_data!Z:Z,ham_data!$J:$J,'DETAY-yaslandırma'!$B224,ham_data!$E:$E,'DETAY-yaslandırma'!$A224)</f>
        <v>0</v>
      </c>
      <c r="R224" s="7">
        <f>SUMIFS(ham_data!AA:AA,ham_data!$J:$J,'DETAY-yaslandırma'!$B224,ham_data!$E:$E,'DETAY-yaslandırma'!$A224)</f>
        <v>0</v>
      </c>
      <c r="S224" s="3">
        <f>SUMIFS(DETAY!E:E,DETAY!A:A,'DETAY-yaslandırma'!A224,DETAY!B:B,'DETAY-yaslandırma'!B224)</f>
        <v>0</v>
      </c>
      <c r="T224" s="3">
        <f t="shared" ref="T224" si="34">C224-SUM(D224:J224)</f>
        <v>0</v>
      </c>
      <c r="U224" s="11">
        <f t="shared" ref="U224" si="35">K224-SUM(L224:R224)</f>
        <v>0</v>
      </c>
    </row>
    <row r="225" spans="1:21" x14ac:dyDescent="0.35">
      <c r="A225" s="10" t="s">
        <v>406</v>
      </c>
      <c r="B225" s="2" t="s">
        <v>11</v>
      </c>
      <c r="C225" s="5">
        <f>SUMIFS(DETAY!C:C,DETAY!A:A,'DETAY-yaslandırma'!A225,DETAY!B:B,'DETAY-yaslandırma'!B225)</f>
        <v>0</v>
      </c>
      <c r="D225" s="5">
        <f>SUMIFS(ham_data!AB:AB,ham_data!$J:$J,'DETAY-yaslandırma'!$B225,ham_data!$E:$E,'DETAY-yaslandırma'!$A225)</f>
        <v>0</v>
      </c>
      <c r="E225" s="5">
        <f>SUMIFS(ham_data!AC:AC,ham_data!$J:$J,'DETAY-yaslandırma'!$B225,ham_data!$E:$E,'DETAY-yaslandırma'!$A225)</f>
        <v>0</v>
      </c>
      <c r="F225" s="5">
        <f>SUMIFS(ham_data!AD:AD,ham_data!$J:$J,'DETAY-yaslandırma'!$B225,ham_data!$E:$E,'DETAY-yaslandırma'!$A225)</f>
        <v>0</v>
      </c>
      <c r="G225" s="5">
        <f>SUMIFS(ham_data!AE:AE,ham_data!$J:$J,'DETAY-yaslandırma'!$B225,ham_data!$E:$E,'DETAY-yaslandırma'!$A225)</f>
        <v>0</v>
      </c>
      <c r="H225" s="5">
        <f>SUMIFS(ham_data!AF:AF,ham_data!$J:$J,'DETAY-yaslandırma'!$B225,ham_data!$E:$E,'DETAY-yaslandırma'!$A225)</f>
        <v>0</v>
      </c>
      <c r="I225" s="5">
        <f>SUMIFS(ham_data!AG:AG,ham_data!$J:$J,'DETAY-yaslandırma'!$B225,ham_data!$E:$E,'DETAY-yaslandırma'!$A225)</f>
        <v>0</v>
      </c>
      <c r="J225" s="5">
        <f>SUMIFS(ham_data!AH:AH,ham_data!$J:$J,'DETAY-yaslandırma'!$B225,ham_data!$E:$E,'DETAY-yaslandırma'!$A225)</f>
        <v>0</v>
      </c>
      <c r="K225" s="7">
        <f>SUMIFS(DETAY!D:D,DETAY!A:A,'DETAY-yaslandırma'!A225,DETAY!B:B,'DETAY-yaslandırma'!B225)</f>
        <v>0</v>
      </c>
      <c r="L225" s="7">
        <f>SUMIFS(ham_data!U:U,ham_data!$J:$J,'DETAY-yaslandırma'!$B225,ham_data!$E:$E,'DETAY-yaslandırma'!$A225)</f>
        <v>0</v>
      </c>
      <c r="M225" s="7">
        <f>SUMIFS(ham_data!V:V,ham_data!$J:$J,'DETAY-yaslandırma'!$B225,ham_data!$E:$E,'DETAY-yaslandırma'!$A225)</f>
        <v>0</v>
      </c>
      <c r="N225" s="7">
        <f>SUMIFS(ham_data!W:W,ham_data!$J:$J,'DETAY-yaslandırma'!$B225,ham_data!$E:$E,'DETAY-yaslandırma'!$A225)</f>
        <v>0</v>
      </c>
      <c r="O225" s="7">
        <f>SUMIFS(ham_data!X:X,ham_data!$J:$J,'DETAY-yaslandırma'!$B225,ham_data!$E:$E,'DETAY-yaslandırma'!$A225)</f>
        <v>0</v>
      </c>
      <c r="P225" s="7">
        <f>SUMIFS(ham_data!Y:Y,ham_data!$J:$J,'DETAY-yaslandırma'!$B225,ham_data!$E:$E,'DETAY-yaslandırma'!$A225)</f>
        <v>0</v>
      </c>
      <c r="Q225" s="7">
        <f>SUMIFS(ham_data!Z:Z,ham_data!$J:$J,'DETAY-yaslandırma'!$B225,ham_data!$E:$E,'DETAY-yaslandırma'!$A225)</f>
        <v>0</v>
      </c>
      <c r="R225" s="7">
        <f>SUMIFS(ham_data!AA:AA,ham_data!$J:$J,'DETAY-yaslandırma'!$B225,ham_data!$E:$E,'DETAY-yaslandırma'!$A225)</f>
        <v>0</v>
      </c>
      <c r="S225" s="3">
        <f>SUMIFS(DETAY!E:E,DETAY!A:A,'DETAY-yaslandırma'!A225,DETAY!B:B,'DETAY-yaslandırma'!B225)</f>
        <v>0</v>
      </c>
      <c r="T225" s="3">
        <f t="shared" ref="T225" si="36">C225-SUM(D225:J225)</f>
        <v>0</v>
      </c>
      <c r="U225" s="11">
        <f t="shared" ref="U225" si="37">K225-SUM(L225:R225)</f>
        <v>0</v>
      </c>
    </row>
    <row r="226" spans="1:21" x14ac:dyDescent="0.35">
      <c r="A226" s="10" t="s">
        <v>415</v>
      </c>
      <c r="B226" s="2" t="s">
        <v>11</v>
      </c>
      <c r="C226" s="5">
        <f>SUMIFS(DETAY!C:C,DETAY!A:A,'DETAY-yaslandırma'!A226,DETAY!B:B,'DETAY-yaslandırma'!B226)</f>
        <v>0</v>
      </c>
      <c r="D226" s="5">
        <f>SUMIFS(ham_data!AB:AB,ham_data!$J:$J,'DETAY-yaslandırma'!$B226,ham_data!$E:$E,'DETAY-yaslandırma'!$A226)</f>
        <v>0</v>
      </c>
      <c r="E226" s="5">
        <f>SUMIFS(ham_data!AC:AC,ham_data!$J:$J,'DETAY-yaslandırma'!$B226,ham_data!$E:$E,'DETAY-yaslandırma'!$A226)</f>
        <v>0</v>
      </c>
      <c r="F226" s="5">
        <f>SUMIFS(ham_data!AD:AD,ham_data!$J:$J,'DETAY-yaslandırma'!$B226,ham_data!$E:$E,'DETAY-yaslandırma'!$A226)</f>
        <v>0</v>
      </c>
      <c r="G226" s="5">
        <f>SUMIFS(ham_data!AE:AE,ham_data!$J:$J,'DETAY-yaslandırma'!$B226,ham_data!$E:$E,'DETAY-yaslandırma'!$A226)</f>
        <v>0</v>
      </c>
      <c r="H226" s="5">
        <f>SUMIFS(ham_data!AF:AF,ham_data!$J:$J,'DETAY-yaslandırma'!$B226,ham_data!$E:$E,'DETAY-yaslandırma'!$A226)</f>
        <v>0</v>
      </c>
      <c r="I226" s="5">
        <f>SUMIFS(ham_data!AG:AG,ham_data!$J:$J,'DETAY-yaslandırma'!$B226,ham_data!$E:$E,'DETAY-yaslandırma'!$A226)</f>
        <v>0</v>
      </c>
      <c r="J226" s="5">
        <f>SUMIFS(ham_data!AH:AH,ham_data!$J:$J,'DETAY-yaslandırma'!$B226,ham_data!$E:$E,'DETAY-yaslandırma'!$A226)</f>
        <v>0</v>
      </c>
      <c r="K226" s="7">
        <f>SUMIFS(DETAY!D:D,DETAY!A:A,'DETAY-yaslandırma'!A226,DETAY!B:B,'DETAY-yaslandırma'!B226)</f>
        <v>0</v>
      </c>
      <c r="L226" s="7">
        <f>SUMIFS(ham_data!U:U,ham_data!$J:$J,'DETAY-yaslandırma'!$B226,ham_data!$E:$E,'DETAY-yaslandırma'!$A226)</f>
        <v>0</v>
      </c>
      <c r="M226" s="7">
        <f>SUMIFS(ham_data!V:V,ham_data!$J:$J,'DETAY-yaslandırma'!$B226,ham_data!$E:$E,'DETAY-yaslandırma'!$A226)</f>
        <v>0</v>
      </c>
      <c r="N226" s="7">
        <f>SUMIFS(ham_data!W:W,ham_data!$J:$J,'DETAY-yaslandırma'!$B226,ham_data!$E:$E,'DETAY-yaslandırma'!$A226)</f>
        <v>0</v>
      </c>
      <c r="O226" s="7">
        <f>SUMIFS(ham_data!X:X,ham_data!$J:$J,'DETAY-yaslandırma'!$B226,ham_data!$E:$E,'DETAY-yaslandırma'!$A226)</f>
        <v>0</v>
      </c>
      <c r="P226" s="7">
        <f>SUMIFS(ham_data!Y:Y,ham_data!$J:$J,'DETAY-yaslandırma'!$B226,ham_data!$E:$E,'DETAY-yaslandırma'!$A226)</f>
        <v>0</v>
      </c>
      <c r="Q226" s="7">
        <f>SUMIFS(ham_data!Z:Z,ham_data!$J:$J,'DETAY-yaslandırma'!$B226,ham_data!$E:$E,'DETAY-yaslandırma'!$A226)</f>
        <v>0</v>
      </c>
      <c r="R226" s="7">
        <f>SUMIFS(ham_data!AA:AA,ham_data!$J:$J,'DETAY-yaslandırma'!$B226,ham_data!$E:$E,'DETAY-yaslandırma'!$A226)</f>
        <v>0</v>
      </c>
      <c r="S226" s="3">
        <f>SUMIFS(DETAY!E:E,DETAY!A:A,'DETAY-yaslandırma'!A226,DETAY!B:B,'DETAY-yaslandırma'!B226)</f>
        <v>0</v>
      </c>
      <c r="T226" s="3">
        <f t="shared" ref="T226:T228" si="38">C226-SUM(D226:J226)</f>
        <v>0</v>
      </c>
      <c r="U226" s="11">
        <f t="shared" ref="U226:U228" si="39">K226-SUM(L226:R226)</f>
        <v>0</v>
      </c>
    </row>
    <row r="227" spans="1:21" x14ac:dyDescent="0.35">
      <c r="A227" s="10" t="s">
        <v>417</v>
      </c>
      <c r="B227" s="2" t="s">
        <v>11</v>
      </c>
      <c r="C227" s="5">
        <f>SUMIFS(DETAY!C:C,DETAY!A:A,'DETAY-yaslandırma'!A227,DETAY!B:B,'DETAY-yaslandırma'!B227)</f>
        <v>0</v>
      </c>
      <c r="D227" s="5">
        <f>SUMIFS(ham_data!AB:AB,ham_data!$J:$J,'DETAY-yaslandırma'!$B227,ham_data!$E:$E,'DETAY-yaslandırma'!$A227)</f>
        <v>0</v>
      </c>
      <c r="E227" s="5">
        <f>SUMIFS(ham_data!AC:AC,ham_data!$J:$J,'DETAY-yaslandırma'!$B227,ham_data!$E:$E,'DETAY-yaslandırma'!$A227)</f>
        <v>0</v>
      </c>
      <c r="F227" s="5">
        <f>SUMIFS(ham_data!AD:AD,ham_data!$J:$J,'DETAY-yaslandırma'!$B227,ham_data!$E:$E,'DETAY-yaslandırma'!$A227)</f>
        <v>0</v>
      </c>
      <c r="G227" s="5">
        <f>SUMIFS(ham_data!AE:AE,ham_data!$J:$J,'DETAY-yaslandırma'!$B227,ham_data!$E:$E,'DETAY-yaslandırma'!$A227)</f>
        <v>0</v>
      </c>
      <c r="H227" s="5">
        <f>SUMIFS(ham_data!AF:AF,ham_data!$J:$J,'DETAY-yaslandırma'!$B227,ham_data!$E:$E,'DETAY-yaslandırma'!$A227)</f>
        <v>0</v>
      </c>
      <c r="I227" s="5">
        <f>SUMIFS(ham_data!AG:AG,ham_data!$J:$J,'DETAY-yaslandırma'!$B227,ham_data!$E:$E,'DETAY-yaslandırma'!$A227)</f>
        <v>0</v>
      </c>
      <c r="J227" s="5">
        <f>SUMIFS(ham_data!AH:AH,ham_data!$J:$J,'DETAY-yaslandırma'!$B227,ham_data!$E:$E,'DETAY-yaslandırma'!$A227)</f>
        <v>0</v>
      </c>
      <c r="K227" s="7">
        <f>SUMIFS(DETAY!D:D,DETAY!A:A,'DETAY-yaslandırma'!A227,DETAY!B:B,'DETAY-yaslandırma'!B227)</f>
        <v>0</v>
      </c>
      <c r="L227" s="7">
        <f>SUMIFS(ham_data!U:U,ham_data!$J:$J,'DETAY-yaslandırma'!$B227,ham_data!$E:$E,'DETAY-yaslandırma'!$A227)</f>
        <v>0</v>
      </c>
      <c r="M227" s="7">
        <f>SUMIFS(ham_data!V:V,ham_data!$J:$J,'DETAY-yaslandırma'!$B227,ham_data!$E:$E,'DETAY-yaslandırma'!$A227)</f>
        <v>0</v>
      </c>
      <c r="N227" s="7">
        <f>SUMIFS(ham_data!W:W,ham_data!$J:$J,'DETAY-yaslandırma'!$B227,ham_data!$E:$E,'DETAY-yaslandırma'!$A227)</f>
        <v>0</v>
      </c>
      <c r="O227" s="7">
        <f>SUMIFS(ham_data!X:X,ham_data!$J:$J,'DETAY-yaslandırma'!$B227,ham_data!$E:$E,'DETAY-yaslandırma'!$A227)</f>
        <v>0</v>
      </c>
      <c r="P227" s="7">
        <f>SUMIFS(ham_data!Y:Y,ham_data!$J:$J,'DETAY-yaslandırma'!$B227,ham_data!$E:$E,'DETAY-yaslandırma'!$A227)</f>
        <v>0</v>
      </c>
      <c r="Q227" s="7">
        <f>SUMIFS(ham_data!Z:Z,ham_data!$J:$J,'DETAY-yaslandırma'!$B227,ham_data!$E:$E,'DETAY-yaslandırma'!$A227)</f>
        <v>0</v>
      </c>
      <c r="R227" s="7">
        <f>SUMIFS(ham_data!AA:AA,ham_data!$J:$J,'DETAY-yaslandırma'!$B227,ham_data!$E:$E,'DETAY-yaslandırma'!$A227)</f>
        <v>0</v>
      </c>
      <c r="S227" s="3">
        <f>SUMIFS(DETAY!E:E,DETAY!A:A,'DETAY-yaslandırma'!A227,DETAY!B:B,'DETAY-yaslandırma'!B227)</f>
        <v>0</v>
      </c>
      <c r="T227" s="3">
        <f t="shared" si="38"/>
        <v>0</v>
      </c>
      <c r="U227" s="11">
        <f t="shared" si="39"/>
        <v>0</v>
      </c>
    </row>
    <row r="228" spans="1:21" x14ac:dyDescent="0.35">
      <c r="A228" s="10" t="s">
        <v>406</v>
      </c>
      <c r="B228" s="2" t="s">
        <v>19</v>
      </c>
      <c r="C228" s="5">
        <f>SUMIFS(DETAY!C:C,DETAY!A:A,'DETAY-yaslandırma'!A228,DETAY!B:B,'DETAY-yaslandırma'!B228)</f>
        <v>0</v>
      </c>
      <c r="D228" s="5">
        <f>SUMIFS(ham_data!AB:AB,ham_data!$J:$J,'DETAY-yaslandırma'!$B228,ham_data!$E:$E,'DETAY-yaslandırma'!$A228)</f>
        <v>0</v>
      </c>
      <c r="E228" s="5">
        <f>SUMIFS(ham_data!AC:AC,ham_data!$J:$J,'DETAY-yaslandırma'!$B228,ham_data!$E:$E,'DETAY-yaslandırma'!$A228)</f>
        <v>0</v>
      </c>
      <c r="F228" s="5">
        <f>SUMIFS(ham_data!AD:AD,ham_data!$J:$J,'DETAY-yaslandırma'!$B228,ham_data!$E:$E,'DETAY-yaslandırma'!$A228)</f>
        <v>0</v>
      </c>
      <c r="G228" s="5">
        <f>SUMIFS(ham_data!AE:AE,ham_data!$J:$J,'DETAY-yaslandırma'!$B228,ham_data!$E:$E,'DETAY-yaslandırma'!$A228)</f>
        <v>0</v>
      </c>
      <c r="H228" s="5">
        <f>SUMIFS(ham_data!AF:AF,ham_data!$J:$J,'DETAY-yaslandırma'!$B228,ham_data!$E:$E,'DETAY-yaslandırma'!$A228)</f>
        <v>0</v>
      </c>
      <c r="I228" s="5">
        <f>SUMIFS(ham_data!AG:AG,ham_data!$J:$J,'DETAY-yaslandırma'!$B228,ham_data!$E:$E,'DETAY-yaslandırma'!$A228)</f>
        <v>0</v>
      </c>
      <c r="J228" s="5">
        <f>SUMIFS(ham_data!AH:AH,ham_data!$J:$J,'DETAY-yaslandırma'!$B228,ham_data!$E:$E,'DETAY-yaslandırma'!$A228)</f>
        <v>0</v>
      </c>
      <c r="K228" s="7">
        <f>SUMIFS(DETAY!D:D,DETAY!A:A,'DETAY-yaslandırma'!A228,DETAY!B:B,'DETAY-yaslandırma'!B228)</f>
        <v>8527.0499999999993</v>
      </c>
      <c r="L228" s="7">
        <f>SUMIFS(ham_data!U:U,ham_data!$J:$J,'DETAY-yaslandırma'!$B228,ham_data!$E:$E,'DETAY-yaslandırma'!$A228)</f>
        <v>0</v>
      </c>
      <c r="M228" s="7">
        <f>SUMIFS(ham_data!V:V,ham_data!$J:$J,'DETAY-yaslandırma'!$B228,ham_data!$E:$E,'DETAY-yaslandırma'!$A228)</f>
        <v>8527.0499999999993</v>
      </c>
      <c r="N228" s="7">
        <f>SUMIFS(ham_data!W:W,ham_data!$J:$J,'DETAY-yaslandırma'!$B228,ham_data!$E:$E,'DETAY-yaslandırma'!$A228)</f>
        <v>0</v>
      </c>
      <c r="O228" s="7">
        <f>SUMIFS(ham_data!X:X,ham_data!$J:$J,'DETAY-yaslandırma'!$B228,ham_data!$E:$E,'DETAY-yaslandırma'!$A228)</f>
        <v>0</v>
      </c>
      <c r="P228" s="7">
        <f>SUMIFS(ham_data!Y:Y,ham_data!$J:$J,'DETAY-yaslandırma'!$B228,ham_data!$E:$E,'DETAY-yaslandırma'!$A228)</f>
        <v>0</v>
      </c>
      <c r="Q228" s="7">
        <f>SUMIFS(ham_data!Z:Z,ham_data!$J:$J,'DETAY-yaslandırma'!$B228,ham_data!$E:$E,'DETAY-yaslandırma'!$A228)</f>
        <v>0</v>
      </c>
      <c r="R228" s="7">
        <f>SUMIFS(ham_data!AA:AA,ham_data!$J:$J,'DETAY-yaslandırma'!$B228,ham_data!$E:$E,'DETAY-yaslandırma'!$A228)</f>
        <v>0</v>
      </c>
      <c r="S228" s="3">
        <f>SUMIFS(DETAY!E:E,DETAY!A:A,'DETAY-yaslandırma'!A228,DETAY!B:B,'DETAY-yaslandırma'!B228)</f>
        <v>8527.0499999999993</v>
      </c>
      <c r="T228" s="3">
        <f t="shared" si="38"/>
        <v>0</v>
      </c>
      <c r="U228" s="11">
        <f t="shared" si="39"/>
        <v>0</v>
      </c>
    </row>
    <row r="229" spans="1:21" x14ac:dyDescent="0.35">
      <c r="A229" s="10" t="s">
        <v>420</v>
      </c>
      <c r="B229" s="2" t="s">
        <v>11</v>
      </c>
      <c r="C229" s="5">
        <f>SUMIFS(DETAY!C:C,DETAY!A:A,'DETAY-yaslandırma'!A229,DETAY!B:B,'DETAY-yaslandırma'!B229)</f>
        <v>0</v>
      </c>
      <c r="D229" s="5">
        <f>SUMIFS(ham_data!AB:AB,ham_data!$J:$J,'DETAY-yaslandırma'!$B229,ham_data!$E:$E,'DETAY-yaslandırma'!$A229)</f>
        <v>0</v>
      </c>
      <c r="E229" s="5">
        <f>SUMIFS(ham_data!AC:AC,ham_data!$J:$J,'DETAY-yaslandırma'!$B229,ham_data!$E:$E,'DETAY-yaslandırma'!$A229)</f>
        <v>0</v>
      </c>
      <c r="F229" s="5">
        <f>SUMIFS(ham_data!AD:AD,ham_data!$J:$J,'DETAY-yaslandırma'!$B229,ham_data!$E:$E,'DETAY-yaslandırma'!$A229)</f>
        <v>0</v>
      </c>
      <c r="G229" s="5">
        <f>SUMIFS(ham_data!AE:AE,ham_data!$J:$J,'DETAY-yaslandırma'!$B229,ham_data!$E:$E,'DETAY-yaslandırma'!$A229)</f>
        <v>0</v>
      </c>
      <c r="H229" s="5">
        <f>SUMIFS(ham_data!AF:AF,ham_data!$J:$J,'DETAY-yaslandırma'!$B229,ham_data!$E:$E,'DETAY-yaslandırma'!$A229)</f>
        <v>0</v>
      </c>
      <c r="I229" s="5">
        <f>SUMIFS(ham_data!AG:AG,ham_data!$J:$J,'DETAY-yaslandırma'!$B229,ham_data!$E:$E,'DETAY-yaslandırma'!$A229)</f>
        <v>0</v>
      </c>
      <c r="J229" s="5">
        <f>SUMIFS(ham_data!AH:AH,ham_data!$J:$J,'DETAY-yaslandırma'!$B229,ham_data!$E:$E,'DETAY-yaslandırma'!$A229)</f>
        <v>0</v>
      </c>
      <c r="K229" s="7">
        <f>SUMIFS(DETAY!D:D,DETAY!A:A,'DETAY-yaslandırma'!A229,DETAY!B:B,'DETAY-yaslandırma'!B229)</f>
        <v>0</v>
      </c>
      <c r="L229" s="7">
        <f>SUMIFS(ham_data!U:U,ham_data!$J:$J,'DETAY-yaslandırma'!$B229,ham_data!$E:$E,'DETAY-yaslandırma'!$A229)</f>
        <v>0</v>
      </c>
      <c r="M229" s="7">
        <f>SUMIFS(ham_data!V:V,ham_data!$J:$J,'DETAY-yaslandırma'!$B229,ham_data!$E:$E,'DETAY-yaslandırma'!$A229)</f>
        <v>0</v>
      </c>
      <c r="N229" s="7">
        <f>SUMIFS(ham_data!W:W,ham_data!$J:$J,'DETAY-yaslandırma'!$B229,ham_data!$E:$E,'DETAY-yaslandırma'!$A229)</f>
        <v>0</v>
      </c>
      <c r="O229" s="7">
        <f>SUMIFS(ham_data!X:X,ham_data!$J:$J,'DETAY-yaslandırma'!$B229,ham_data!$E:$E,'DETAY-yaslandırma'!$A229)</f>
        <v>0</v>
      </c>
      <c r="P229" s="7">
        <f>SUMIFS(ham_data!Y:Y,ham_data!$J:$J,'DETAY-yaslandırma'!$B229,ham_data!$E:$E,'DETAY-yaslandırma'!$A229)</f>
        <v>0</v>
      </c>
      <c r="Q229" s="7">
        <f>SUMIFS(ham_data!Z:Z,ham_data!$J:$J,'DETAY-yaslandırma'!$B229,ham_data!$E:$E,'DETAY-yaslandırma'!$A229)</f>
        <v>0</v>
      </c>
      <c r="R229" s="7">
        <f>SUMIFS(ham_data!AA:AA,ham_data!$J:$J,'DETAY-yaslandırma'!$B229,ham_data!$E:$E,'DETAY-yaslandırma'!$A229)</f>
        <v>0</v>
      </c>
      <c r="S229" s="3">
        <f>SUMIFS(DETAY!E:E,DETAY!A:A,'DETAY-yaslandırma'!A229,DETAY!B:B,'DETAY-yaslandırma'!B229)</f>
        <v>0</v>
      </c>
      <c r="T229" s="3">
        <f t="shared" ref="T229:T231" si="40">C229-SUM(D229:J229)</f>
        <v>0</v>
      </c>
      <c r="U229" s="11">
        <f t="shared" ref="U229:U231" si="41">K229-SUM(L229:R229)</f>
        <v>0</v>
      </c>
    </row>
    <row r="230" spans="1:21" x14ac:dyDescent="0.35">
      <c r="A230" s="10" t="s">
        <v>419</v>
      </c>
      <c r="B230" s="2" t="s">
        <v>11</v>
      </c>
      <c r="C230" s="5">
        <f>SUMIFS(DETAY!C:C,DETAY!A:A,'DETAY-yaslandırma'!A230,DETAY!B:B,'DETAY-yaslandırma'!B230)</f>
        <v>0</v>
      </c>
      <c r="D230" s="5">
        <f>SUMIFS(ham_data!AB:AB,ham_data!$J:$J,'DETAY-yaslandırma'!$B230,ham_data!$E:$E,'DETAY-yaslandırma'!$A230)</f>
        <v>0</v>
      </c>
      <c r="E230" s="5">
        <f>SUMIFS(ham_data!AC:AC,ham_data!$J:$J,'DETAY-yaslandırma'!$B230,ham_data!$E:$E,'DETAY-yaslandırma'!$A230)</f>
        <v>0</v>
      </c>
      <c r="F230" s="5">
        <f>SUMIFS(ham_data!AD:AD,ham_data!$J:$J,'DETAY-yaslandırma'!$B230,ham_data!$E:$E,'DETAY-yaslandırma'!$A230)</f>
        <v>0</v>
      </c>
      <c r="G230" s="5">
        <f>SUMIFS(ham_data!AE:AE,ham_data!$J:$J,'DETAY-yaslandırma'!$B230,ham_data!$E:$E,'DETAY-yaslandırma'!$A230)</f>
        <v>0</v>
      </c>
      <c r="H230" s="5">
        <f>SUMIFS(ham_data!AF:AF,ham_data!$J:$J,'DETAY-yaslandırma'!$B230,ham_data!$E:$E,'DETAY-yaslandırma'!$A230)</f>
        <v>0</v>
      </c>
      <c r="I230" s="5">
        <f>SUMIFS(ham_data!AG:AG,ham_data!$J:$J,'DETAY-yaslandırma'!$B230,ham_data!$E:$E,'DETAY-yaslandırma'!$A230)</f>
        <v>0</v>
      </c>
      <c r="J230" s="5">
        <f>SUMIFS(ham_data!AH:AH,ham_data!$J:$J,'DETAY-yaslandırma'!$B230,ham_data!$E:$E,'DETAY-yaslandırma'!$A230)</f>
        <v>0</v>
      </c>
      <c r="K230" s="7">
        <f>SUMIFS(DETAY!D:D,DETAY!A:A,'DETAY-yaslandırma'!A230,DETAY!B:B,'DETAY-yaslandırma'!B230)</f>
        <v>0</v>
      </c>
      <c r="L230" s="7">
        <f>SUMIFS(ham_data!U:U,ham_data!$J:$J,'DETAY-yaslandırma'!$B230,ham_data!$E:$E,'DETAY-yaslandırma'!$A230)</f>
        <v>0</v>
      </c>
      <c r="M230" s="7">
        <f>SUMIFS(ham_data!V:V,ham_data!$J:$J,'DETAY-yaslandırma'!$B230,ham_data!$E:$E,'DETAY-yaslandırma'!$A230)</f>
        <v>0</v>
      </c>
      <c r="N230" s="7">
        <f>SUMIFS(ham_data!W:W,ham_data!$J:$J,'DETAY-yaslandırma'!$B230,ham_data!$E:$E,'DETAY-yaslandırma'!$A230)</f>
        <v>0</v>
      </c>
      <c r="O230" s="7">
        <f>SUMIFS(ham_data!X:X,ham_data!$J:$J,'DETAY-yaslandırma'!$B230,ham_data!$E:$E,'DETAY-yaslandırma'!$A230)</f>
        <v>0</v>
      </c>
      <c r="P230" s="7">
        <f>SUMIFS(ham_data!Y:Y,ham_data!$J:$J,'DETAY-yaslandırma'!$B230,ham_data!$E:$E,'DETAY-yaslandırma'!$A230)</f>
        <v>0</v>
      </c>
      <c r="Q230" s="7">
        <f>SUMIFS(ham_data!Z:Z,ham_data!$J:$J,'DETAY-yaslandırma'!$B230,ham_data!$E:$E,'DETAY-yaslandırma'!$A230)</f>
        <v>0</v>
      </c>
      <c r="R230" s="7">
        <f>SUMIFS(ham_data!AA:AA,ham_data!$J:$J,'DETAY-yaslandırma'!$B230,ham_data!$E:$E,'DETAY-yaslandırma'!$A230)</f>
        <v>0</v>
      </c>
      <c r="S230" s="3">
        <f>SUMIFS(DETAY!E:E,DETAY!A:A,'DETAY-yaslandırma'!A230,DETAY!B:B,'DETAY-yaslandırma'!B230)</f>
        <v>0</v>
      </c>
      <c r="T230" s="3">
        <f t="shared" si="40"/>
        <v>0</v>
      </c>
      <c r="U230" s="11">
        <f t="shared" si="41"/>
        <v>0</v>
      </c>
    </row>
    <row r="231" spans="1:21" x14ac:dyDescent="0.35">
      <c r="A231" s="10" t="s">
        <v>421</v>
      </c>
      <c r="B231" s="2" t="s">
        <v>11</v>
      </c>
      <c r="C231" s="5">
        <f>SUMIFS(DETAY!C:C,DETAY!A:A,'DETAY-yaslandırma'!A231,DETAY!B:B,'DETAY-yaslandırma'!B231)</f>
        <v>0</v>
      </c>
      <c r="D231" s="5">
        <f>SUMIFS(ham_data!AB:AB,ham_data!$J:$J,'DETAY-yaslandırma'!$B231,ham_data!$E:$E,'DETAY-yaslandırma'!$A231)</f>
        <v>0</v>
      </c>
      <c r="E231" s="5">
        <f>SUMIFS(ham_data!AC:AC,ham_data!$J:$J,'DETAY-yaslandırma'!$B231,ham_data!$E:$E,'DETAY-yaslandırma'!$A231)</f>
        <v>0</v>
      </c>
      <c r="F231" s="5">
        <f>SUMIFS(ham_data!AD:AD,ham_data!$J:$J,'DETAY-yaslandırma'!$B231,ham_data!$E:$E,'DETAY-yaslandırma'!$A231)</f>
        <v>0</v>
      </c>
      <c r="G231" s="5">
        <f>SUMIFS(ham_data!AE:AE,ham_data!$J:$J,'DETAY-yaslandırma'!$B231,ham_data!$E:$E,'DETAY-yaslandırma'!$A231)</f>
        <v>0</v>
      </c>
      <c r="H231" s="5">
        <f>SUMIFS(ham_data!AF:AF,ham_data!$J:$J,'DETAY-yaslandırma'!$B231,ham_data!$E:$E,'DETAY-yaslandırma'!$A231)</f>
        <v>0</v>
      </c>
      <c r="I231" s="5">
        <f>SUMIFS(ham_data!AG:AG,ham_data!$J:$J,'DETAY-yaslandırma'!$B231,ham_data!$E:$E,'DETAY-yaslandırma'!$A231)</f>
        <v>0</v>
      </c>
      <c r="J231" s="5">
        <f>SUMIFS(ham_data!AH:AH,ham_data!$J:$J,'DETAY-yaslandırma'!$B231,ham_data!$E:$E,'DETAY-yaslandırma'!$A231)</f>
        <v>0</v>
      </c>
      <c r="K231" s="7">
        <f>SUMIFS(DETAY!D:D,DETAY!A:A,'DETAY-yaslandırma'!A231,DETAY!B:B,'DETAY-yaslandırma'!B231)</f>
        <v>0</v>
      </c>
      <c r="L231" s="7">
        <f>SUMIFS(ham_data!U:U,ham_data!$J:$J,'DETAY-yaslandırma'!$B231,ham_data!$E:$E,'DETAY-yaslandırma'!$A231)</f>
        <v>0</v>
      </c>
      <c r="M231" s="7">
        <f>SUMIFS(ham_data!V:V,ham_data!$J:$J,'DETAY-yaslandırma'!$B231,ham_data!$E:$E,'DETAY-yaslandırma'!$A231)</f>
        <v>0</v>
      </c>
      <c r="N231" s="7">
        <f>SUMIFS(ham_data!W:W,ham_data!$J:$J,'DETAY-yaslandırma'!$B231,ham_data!$E:$E,'DETAY-yaslandırma'!$A231)</f>
        <v>0</v>
      </c>
      <c r="O231" s="7">
        <f>SUMIFS(ham_data!X:X,ham_data!$J:$J,'DETAY-yaslandırma'!$B231,ham_data!$E:$E,'DETAY-yaslandırma'!$A231)</f>
        <v>0</v>
      </c>
      <c r="P231" s="7">
        <f>SUMIFS(ham_data!Y:Y,ham_data!$J:$J,'DETAY-yaslandırma'!$B231,ham_data!$E:$E,'DETAY-yaslandırma'!$A231)</f>
        <v>0</v>
      </c>
      <c r="Q231" s="7">
        <f>SUMIFS(ham_data!Z:Z,ham_data!$J:$J,'DETAY-yaslandırma'!$B231,ham_data!$E:$E,'DETAY-yaslandırma'!$A231)</f>
        <v>0</v>
      </c>
      <c r="R231" s="7">
        <f>SUMIFS(ham_data!AA:AA,ham_data!$J:$J,'DETAY-yaslandırma'!$B231,ham_data!$E:$E,'DETAY-yaslandırma'!$A231)</f>
        <v>0</v>
      </c>
      <c r="S231" s="3">
        <f>SUMIFS(DETAY!E:E,DETAY!A:A,'DETAY-yaslandırma'!A231,DETAY!B:B,'DETAY-yaslandırma'!B231)</f>
        <v>0</v>
      </c>
      <c r="T231" s="3">
        <f t="shared" si="40"/>
        <v>0</v>
      </c>
      <c r="U231" s="11">
        <f t="shared" si="41"/>
        <v>0</v>
      </c>
    </row>
    <row r="232" spans="1:21" x14ac:dyDescent="0.35">
      <c r="A232" s="10" t="s">
        <v>423</v>
      </c>
      <c r="B232" s="2" t="s">
        <v>11</v>
      </c>
      <c r="C232" s="5">
        <f>SUMIFS(DETAY!C:C,DETAY!A:A,'DETAY-yaslandırma'!A232,DETAY!B:B,'DETAY-yaslandırma'!B232)</f>
        <v>0.3</v>
      </c>
      <c r="D232" s="5">
        <f>SUMIFS(ham_data!AB:AB,ham_data!$J:$J,'DETAY-yaslandırma'!$B232,ham_data!$E:$E,'DETAY-yaslandırma'!$A232)</f>
        <v>0.3</v>
      </c>
      <c r="E232" s="5">
        <f>SUMIFS(ham_data!AC:AC,ham_data!$J:$J,'DETAY-yaslandırma'!$B232,ham_data!$E:$E,'DETAY-yaslandırma'!$A232)</f>
        <v>0</v>
      </c>
      <c r="F232" s="5">
        <f>SUMIFS(ham_data!AD:AD,ham_data!$J:$J,'DETAY-yaslandırma'!$B232,ham_data!$E:$E,'DETAY-yaslandırma'!$A232)</f>
        <v>0</v>
      </c>
      <c r="G232" s="5">
        <f>SUMIFS(ham_data!AE:AE,ham_data!$J:$J,'DETAY-yaslandırma'!$B232,ham_data!$E:$E,'DETAY-yaslandırma'!$A232)</f>
        <v>0</v>
      </c>
      <c r="H232" s="5">
        <f>SUMIFS(ham_data!AF:AF,ham_data!$J:$J,'DETAY-yaslandırma'!$B232,ham_data!$E:$E,'DETAY-yaslandırma'!$A232)</f>
        <v>0</v>
      </c>
      <c r="I232" s="5">
        <f>SUMIFS(ham_data!AG:AG,ham_data!$J:$J,'DETAY-yaslandırma'!$B232,ham_data!$E:$E,'DETAY-yaslandırma'!$A232)</f>
        <v>0</v>
      </c>
      <c r="J232" s="5">
        <f>SUMIFS(ham_data!AH:AH,ham_data!$J:$J,'DETAY-yaslandırma'!$B232,ham_data!$E:$E,'DETAY-yaslandırma'!$A232)</f>
        <v>0</v>
      </c>
      <c r="K232" s="7">
        <f>SUMIFS(DETAY!D:D,DETAY!A:A,'DETAY-yaslandırma'!A232,DETAY!B:B,'DETAY-yaslandırma'!B232)</f>
        <v>0</v>
      </c>
      <c r="L232" s="7">
        <f>SUMIFS(ham_data!U:U,ham_data!$J:$J,'DETAY-yaslandırma'!$B232,ham_data!$E:$E,'DETAY-yaslandırma'!$A232)</f>
        <v>0</v>
      </c>
      <c r="M232" s="7">
        <f>SUMIFS(ham_data!V:V,ham_data!$J:$J,'DETAY-yaslandırma'!$B232,ham_data!$E:$E,'DETAY-yaslandırma'!$A232)</f>
        <v>0</v>
      </c>
      <c r="N232" s="7">
        <f>SUMIFS(ham_data!W:W,ham_data!$J:$J,'DETAY-yaslandırma'!$B232,ham_data!$E:$E,'DETAY-yaslandırma'!$A232)</f>
        <v>0</v>
      </c>
      <c r="O232" s="7">
        <f>SUMIFS(ham_data!X:X,ham_data!$J:$J,'DETAY-yaslandırma'!$B232,ham_data!$E:$E,'DETAY-yaslandırma'!$A232)</f>
        <v>0</v>
      </c>
      <c r="P232" s="7">
        <f>SUMIFS(ham_data!Y:Y,ham_data!$J:$J,'DETAY-yaslandırma'!$B232,ham_data!$E:$E,'DETAY-yaslandırma'!$A232)</f>
        <v>0</v>
      </c>
      <c r="Q232" s="7">
        <f>SUMIFS(ham_data!Z:Z,ham_data!$J:$J,'DETAY-yaslandırma'!$B232,ham_data!$E:$E,'DETAY-yaslandırma'!$A232)</f>
        <v>0</v>
      </c>
      <c r="R232" s="7">
        <f>SUMIFS(ham_data!AA:AA,ham_data!$J:$J,'DETAY-yaslandırma'!$B232,ham_data!$E:$E,'DETAY-yaslandırma'!$A232)</f>
        <v>0</v>
      </c>
      <c r="S232" s="3">
        <f>SUMIFS(DETAY!E:E,DETAY!A:A,'DETAY-yaslandırma'!A232,DETAY!B:B,'DETAY-yaslandırma'!B232)</f>
        <v>0.3</v>
      </c>
      <c r="T232" s="3">
        <f t="shared" ref="T232:T236" si="42">C232-SUM(D232:J232)</f>
        <v>0</v>
      </c>
      <c r="U232" s="11">
        <f t="shared" ref="U232:U236" si="43">K232-SUM(L232:R232)</f>
        <v>0</v>
      </c>
    </row>
    <row r="233" spans="1:21" x14ac:dyDescent="0.35">
      <c r="A233" s="10" t="s">
        <v>424</v>
      </c>
      <c r="B233" s="2" t="s">
        <v>11</v>
      </c>
      <c r="C233" s="5">
        <f>SUMIFS(DETAY!C:C,DETAY!A:A,'DETAY-yaslandırma'!A233,DETAY!B:B,'DETAY-yaslandırma'!B233)</f>
        <v>0</v>
      </c>
      <c r="D233" s="5">
        <f>SUMIFS(ham_data!AB:AB,ham_data!$J:$J,'DETAY-yaslandırma'!$B233,ham_data!$E:$E,'DETAY-yaslandırma'!$A233)</f>
        <v>0</v>
      </c>
      <c r="E233" s="5">
        <f>SUMIFS(ham_data!AC:AC,ham_data!$J:$J,'DETAY-yaslandırma'!$B233,ham_data!$E:$E,'DETAY-yaslandırma'!$A233)</f>
        <v>0</v>
      </c>
      <c r="F233" s="5">
        <f>SUMIFS(ham_data!AD:AD,ham_data!$J:$J,'DETAY-yaslandırma'!$B233,ham_data!$E:$E,'DETAY-yaslandırma'!$A233)</f>
        <v>0</v>
      </c>
      <c r="G233" s="5">
        <f>SUMIFS(ham_data!AE:AE,ham_data!$J:$J,'DETAY-yaslandırma'!$B233,ham_data!$E:$E,'DETAY-yaslandırma'!$A233)</f>
        <v>0</v>
      </c>
      <c r="H233" s="5">
        <f>SUMIFS(ham_data!AF:AF,ham_data!$J:$J,'DETAY-yaslandırma'!$B233,ham_data!$E:$E,'DETAY-yaslandırma'!$A233)</f>
        <v>0</v>
      </c>
      <c r="I233" s="5">
        <f>SUMIFS(ham_data!AG:AG,ham_data!$J:$J,'DETAY-yaslandırma'!$B233,ham_data!$E:$E,'DETAY-yaslandırma'!$A233)</f>
        <v>0</v>
      </c>
      <c r="J233" s="5">
        <f>SUMIFS(ham_data!AH:AH,ham_data!$J:$J,'DETAY-yaslandırma'!$B233,ham_data!$E:$E,'DETAY-yaslandırma'!$A233)</f>
        <v>0</v>
      </c>
      <c r="K233" s="7">
        <f>SUMIFS(DETAY!D:D,DETAY!A:A,'DETAY-yaslandırma'!A233,DETAY!B:B,'DETAY-yaslandırma'!B233)</f>
        <v>0</v>
      </c>
      <c r="L233" s="7">
        <f>SUMIFS(ham_data!U:U,ham_data!$J:$J,'DETAY-yaslandırma'!$B233,ham_data!$E:$E,'DETAY-yaslandırma'!$A233)</f>
        <v>0</v>
      </c>
      <c r="M233" s="7">
        <f>SUMIFS(ham_data!V:V,ham_data!$J:$J,'DETAY-yaslandırma'!$B233,ham_data!$E:$E,'DETAY-yaslandırma'!$A233)</f>
        <v>0</v>
      </c>
      <c r="N233" s="7">
        <f>SUMIFS(ham_data!W:W,ham_data!$J:$J,'DETAY-yaslandırma'!$B233,ham_data!$E:$E,'DETAY-yaslandırma'!$A233)</f>
        <v>0</v>
      </c>
      <c r="O233" s="7">
        <f>SUMIFS(ham_data!X:X,ham_data!$J:$J,'DETAY-yaslandırma'!$B233,ham_data!$E:$E,'DETAY-yaslandırma'!$A233)</f>
        <v>0</v>
      </c>
      <c r="P233" s="7">
        <f>SUMIFS(ham_data!Y:Y,ham_data!$J:$J,'DETAY-yaslandırma'!$B233,ham_data!$E:$E,'DETAY-yaslandırma'!$A233)</f>
        <v>0</v>
      </c>
      <c r="Q233" s="7">
        <f>SUMIFS(ham_data!Z:Z,ham_data!$J:$J,'DETAY-yaslandırma'!$B233,ham_data!$E:$E,'DETAY-yaslandırma'!$A233)</f>
        <v>0</v>
      </c>
      <c r="R233" s="7">
        <f>SUMIFS(ham_data!AA:AA,ham_data!$J:$J,'DETAY-yaslandırma'!$B233,ham_data!$E:$E,'DETAY-yaslandırma'!$A233)</f>
        <v>0</v>
      </c>
      <c r="S233" s="3">
        <f>SUMIFS(DETAY!E:E,DETAY!A:A,'DETAY-yaslandırma'!A233,DETAY!B:B,'DETAY-yaslandırma'!B233)</f>
        <v>0</v>
      </c>
      <c r="T233" s="3">
        <f t="shared" si="42"/>
        <v>0</v>
      </c>
      <c r="U233" s="11">
        <f t="shared" si="43"/>
        <v>0</v>
      </c>
    </row>
    <row r="234" spans="1:21" x14ac:dyDescent="0.35">
      <c r="A234" s="10" t="s">
        <v>428</v>
      </c>
      <c r="B234" s="2" t="s">
        <v>11</v>
      </c>
      <c r="C234" s="5">
        <f>SUMIFS(DETAY!C:C,DETAY!A:A,'DETAY-yaslandırma'!A234,DETAY!B:B,'DETAY-yaslandırma'!B234)</f>
        <v>0.01</v>
      </c>
      <c r="D234" s="5">
        <f>SUMIFS(ham_data!AB:AB,ham_data!$J:$J,'DETAY-yaslandırma'!$B234,ham_data!$E:$E,'DETAY-yaslandırma'!$A234)</f>
        <v>0.01</v>
      </c>
      <c r="E234" s="5">
        <f>SUMIFS(ham_data!AC:AC,ham_data!$J:$J,'DETAY-yaslandırma'!$B234,ham_data!$E:$E,'DETAY-yaslandırma'!$A234)</f>
        <v>0</v>
      </c>
      <c r="F234" s="5">
        <f>SUMIFS(ham_data!AD:AD,ham_data!$J:$J,'DETAY-yaslandırma'!$B234,ham_data!$E:$E,'DETAY-yaslandırma'!$A234)</f>
        <v>0</v>
      </c>
      <c r="G234" s="5">
        <f>SUMIFS(ham_data!AE:AE,ham_data!$J:$J,'DETAY-yaslandırma'!$B234,ham_data!$E:$E,'DETAY-yaslandırma'!$A234)</f>
        <v>0</v>
      </c>
      <c r="H234" s="5">
        <f>SUMIFS(ham_data!AF:AF,ham_data!$J:$J,'DETAY-yaslandırma'!$B234,ham_data!$E:$E,'DETAY-yaslandırma'!$A234)</f>
        <v>0</v>
      </c>
      <c r="I234" s="5">
        <f>SUMIFS(ham_data!AG:AG,ham_data!$J:$J,'DETAY-yaslandırma'!$B234,ham_data!$E:$E,'DETAY-yaslandırma'!$A234)</f>
        <v>0</v>
      </c>
      <c r="J234" s="5">
        <f>SUMIFS(ham_data!AH:AH,ham_data!$J:$J,'DETAY-yaslandırma'!$B234,ham_data!$E:$E,'DETAY-yaslandırma'!$A234)</f>
        <v>0</v>
      </c>
      <c r="K234" s="7">
        <f>SUMIFS(DETAY!D:D,DETAY!A:A,'DETAY-yaslandırma'!A234,DETAY!B:B,'DETAY-yaslandırma'!B234)</f>
        <v>0</v>
      </c>
      <c r="L234" s="7">
        <f>SUMIFS(ham_data!U:U,ham_data!$J:$J,'DETAY-yaslandırma'!$B234,ham_data!$E:$E,'DETAY-yaslandırma'!$A234)</f>
        <v>0</v>
      </c>
      <c r="M234" s="7">
        <f>SUMIFS(ham_data!V:V,ham_data!$J:$J,'DETAY-yaslandırma'!$B234,ham_data!$E:$E,'DETAY-yaslandırma'!$A234)</f>
        <v>0</v>
      </c>
      <c r="N234" s="7">
        <f>SUMIFS(ham_data!W:W,ham_data!$J:$J,'DETAY-yaslandırma'!$B234,ham_data!$E:$E,'DETAY-yaslandırma'!$A234)</f>
        <v>0</v>
      </c>
      <c r="O234" s="7">
        <f>SUMIFS(ham_data!X:X,ham_data!$J:$J,'DETAY-yaslandırma'!$B234,ham_data!$E:$E,'DETAY-yaslandırma'!$A234)</f>
        <v>0</v>
      </c>
      <c r="P234" s="7">
        <f>SUMIFS(ham_data!Y:Y,ham_data!$J:$J,'DETAY-yaslandırma'!$B234,ham_data!$E:$E,'DETAY-yaslandırma'!$A234)</f>
        <v>0</v>
      </c>
      <c r="Q234" s="7">
        <f>SUMIFS(ham_data!Z:Z,ham_data!$J:$J,'DETAY-yaslandırma'!$B234,ham_data!$E:$E,'DETAY-yaslandırma'!$A234)</f>
        <v>0</v>
      </c>
      <c r="R234" s="7">
        <f>SUMIFS(ham_data!AA:AA,ham_data!$J:$J,'DETAY-yaslandırma'!$B234,ham_data!$E:$E,'DETAY-yaslandırma'!$A234)</f>
        <v>0</v>
      </c>
      <c r="S234" s="3">
        <f>SUMIFS(DETAY!E:E,DETAY!A:A,'DETAY-yaslandırma'!A234,DETAY!B:B,'DETAY-yaslandırma'!B234)</f>
        <v>0.01</v>
      </c>
      <c r="T234" s="3">
        <f t="shared" si="42"/>
        <v>0</v>
      </c>
      <c r="U234" s="11">
        <f t="shared" si="43"/>
        <v>0</v>
      </c>
    </row>
    <row r="235" spans="1:21" x14ac:dyDescent="0.35">
      <c r="A235" s="10" t="s">
        <v>433</v>
      </c>
      <c r="B235" s="2" t="s">
        <v>11</v>
      </c>
      <c r="C235" s="5">
        <f>SUMIFS(DETAY!C:C,DETAY!A:A,'DETAY-yaslandırma'!A235,DETAY!B:B,'DETAY-yaslandırma'!B235)</f>
        <v>0</v>
      </c>
      <c r="D235" s="5">
        <f>SUMIFS(ham_data!AB:AB,ham_data!$J:$J,'DETAY-yaslandırma'!$B235,ham_data!$E:$E,'DETAY-yaslandırma'!$A235)</f>
        <v>0</v>
      </c>
      <c r="E235" s="5">
        <f>SUMIFS(ham_data!AC:AC,ham_data!$J:$J,'DETAY-yaslandırma'!$B235,ham_data!$E:$E,'DETAY-yaslandırma'!$A235)</f>
        <v>0</v>
      </c>
      <c r="F235" s="5">
        <f>SUMIFS(ham_data!AD:AD,ham_data!$J:$J,'DETAY-yaslandırma'!$B235,ham_data!$E:$E,'DETAY-yaslandırma'!$A235)</f>
        <v>0</v>
      </c>
      <c r="G235" s="5">
        <f>SUMIFS(ham_data!AE:AE,ham_data!$J:$J,'DETAY-yaslandırma'!$B235,ham_data!$E:$E,'DETAY-yaslandırma'!$A235)</f>
        <v>0</v>
      </c>
      <c r="H235" s="5">
        <f>SUMIFS(ham_data!AF:AF,ham_data!$J:$J,'DETAY-yaslandırma'!$B235,ham_data!$E:$E,'DETAY-yaslandırma'!$A235)</f>
        <v>0</v>
      </c>
      <c r="I235" s="5">
        <f>SUMIFS(ham_data!AG:AG,ham_data!$J:$J,'DETAY-yaslandırma'!$B235,ham_data!$E:$E,'DETAY-yaslandırma'!$A235)</f>
        <v>0</v>
      </c>
      <c r="J235" s="5">
        <f>SUMIFS(ham_data!AH:AH,ham_data!$J:$J,'DETAY-yaslandırma'!$B235,ham_data!$E:$E,'DETAY-yaslandırma'!$A235)</f>
        <v>0</v>
      </c>
      <c r="K235" s="7">
        <f>SUMIFS(DETAY!D:D,DETAY!A:A,'DETAY-yaslandırma'!A235,DETAY!B:B,'DETAY-yaslandırma'!B235)</f>
        <v>0</v>
      </c>
      <c r="L235" s="7">
        <f>SUMIFS(ham_data!U:U,ham_data!$J:$J,'DETAY-yaslandırma'!$B235,ham_data!$E:$E,'DETAY-yaslandırma'!$A235)</f>
        <v>0</v>
      </c>
      <c r="M235" s="7">
        <f>SUMIFS(ham_data!V:V,ham_data!$J:$J,'DETAY-yaslandırma'!$B235,ham_data!$E:$E,'DETAY-yaslandırma'!$A235)</f>
        <v>0</v>
      </c>
      <c r="N235" s="7">
        <f>SUMIFS(ham_data!W:W,ham_data!$J:$J,'DETAY-yaslandırma'!$B235,ham_data!$E:$E,'DETAY-yaslandırma'!$A235)</f>
        <v>0</v>
      </c>
      <c r="O235" s="7">
        <f>SUMIFS(ham_data!X:X,ham_data!$J:$J,'DETAY-yaslandırma'!$B235,ham_data!$E:$E,'DETAY-yaslandırma'!$A235)</f>
        <v>0</v>
      </c>
      <c r="P235" s="7">
        <f>SUMIFS(ham_data!Y:Y,ham_data!$J:$J,'DETAY-yaslandırma'!$B235,ham_data!$E:$E,'DETAY-yaslandırma'!$A235)</f>
        <v>0</v>
      </c>
      <c r="Q235" s="7">
        <f>SUMIFS(ham_data!Z:Z,ham_data!$J:$J,'DETAY-yaslandırma'!$B235,ham_data!$E:$E,'DETAY-yaslandırma'!$A235)</f>
        <v>0</v>
      </c>
      <c r="R235" s="7">
        <f>SUMIFS(ham_data!AA:AA,ham_data!$J:$J,'DETAY-yaslandırma'!$B235,ham_data!$E:$E,'DETAY-yaslandırma'!$A235)</f>
        <v>0</v>
      </c>
      <c r="S235" s="3">
        <f>SUMIFS(DETAY!E:E,DETAY!A:A,'DETAY-yaslandırma'!A235,DETAY!B:B,'DETAY-yaslandırma'!B235)</f>
        <v>0</v>
      </c>
      <c r="T235" s="3">
        <f t="shared" si="42"/>
        <v>0</v>
      </c>
      <c r="U235" s="11">
        <f t="shared" si="43"/>
        <v>0</v>
      </c>
    </row>
    <row r="236" spans="1:21" x14ac:dyDescent="0.35">
      <c r="A236" s="10" t="s">
        <v>430</v>
      </c>
      <c r="B236" s="2" t="s">
        <v>37</v>
      </c>
      <c r="C236" s="5">
        <f>SUMIFS(DETAY!C:C,DETAY!A:A,'DETAY-yaslandırma'!A236,DETAY!B:B,'DETAY-yaslandırma'!B236)</f>
        <v>0</v>
      </c>
      <c r="D236" s="5">
        <f>SUMIFS(ham_data!AB:AB,ham_data!$J:$J,'DETAY-yaslandırma'!$B236,ham_data!$E:$E,'DETAY-yaslandırma'!$A236)</f>
        <v>0</v>
      </c>
      <c r="E236" s="5">
        <f>SUMIFS(ham_data!AC:AC,ham_data!$J:$J,'DETAY-yaslandırma'!$B236,ham_data!$E:$E,'DETAY-yaslandırma'!$A236)</f>
        <v>0</v>
      </c>
      <c r="F236" s="5">
        <f>SUMIFS(ham_data!AD:AD,ham_data!$J:$J,'DETAY-yaslandırma'!$B236,ham_data!$E:$E,'DETAY-yaslandırma'!$A236)</f>
        <v>0</v>
      </c>
      <c r="G236" s="5">
        <f>SUMIFS(ham_data!AE:AE,ham_data!$J:$J,'DETAY-yaslandırma'!$B236,ham_data!$E:$E,'DETAY-yaslandırma'!$A236)</f>
        <v>0</v>
      </c>
      <c r="H236" s="5">
        <f>SUMIFS(ham_data!AF:AF,ham_data!$J:$J,'DETAY-yaslandırma'!$B236,ham_data!$E:$E,'DETAY-yaslandırma'!$A236)</f>
        <v>0</v>
      </c>
      <c r="I236" s="5">
        <f>SUMIFS(ham_data!AG:AG,ham_data!$J:$J,'DETAY-yaslandırma'!$B236,ham_data!$E:$E,'DETAY-yaslandırma'!$A236)</f>
        <v>0</v>
      </c>
      <c r="J236" s="5">
        <f>SUMIFS(ham_data!AH:AH,ham_data!$J:$J,'DETAY-yaslandırma'!$B236,ham_data!$E:$E,'DETAY-yaslandırma'!$A236)</f>
        <v>0</v>
      </c>
      <c r="K236" s="7">
        <f>SUMIFS(DETAY!D:D,DETAY!A:A,'DETAY-yaslandırma'!A236,DETAY!B:B,'DETAY-yaslandırma'!B236)</f>
        <v>0</v>
      </c>
      <c r="L236" s="7">
        <f>SUMIFS(ham_data!U:U,ham_data!$J:$J,'DETAY-yaslandırma'!$B236,ham_data!$E:$E,'DETAY-yaslandırma'!$A236)</f>
        <v>0</v>
      </c>
      <c r="M236" s="7">
        <f>SUMIFS(ham_data!V:V,ham_data!$J:$J,'DETAY-yaslandırma'!$B236,ham_data!$E:$E,'DETAY-yaslandırma'!$A236)</f>
        <v>0</v>
      </c>
      <c r="N236" s="7">
        <f>SUMIFS(ham_data!W:W,ham_data!$J:$J,'DETAY-yaslandırma'!$B236,ham_data!$E:$E,'DETAY-yaslandırma'!$A236)</f>
        <v>0</v>
      </c>
      <c r="O236" s="7">
        <f>SUMIFS(ham_data!X:X,ham_data!$J:$J,'DETAY-yaslandırma'!$B236,ham_data!$E:$E,'DETAY-yaslandırma'!$A236)</f>
        <v>0</v>
      </c>
      <c r="P236" s="7">
        <f>SUMIFS(ham_data!Y:Y,ham_data!$J:$J,'DETAY-yaslandırma'!$B236,ham_data!$E:$E,'DETAY-yaslandırma'!$A236)</f>
        <v>0</v>
      </c>
      <c r="Q236" s="7">
        <f>SUMIFS(ham_data!Z:Z,ham_data!$J:$J,'DETAY-yaslandırma'!$B236,ham_data!$E:$E,'DETAY-yaslandırma'!$A236)</f>
        <v>0</v>
      </c>
      <c r="R236" s="7">
        <f>SUMIFS(ham_data!AA:AA,ham_data!$J:$J,'DETAY-yaslandırma'!$B236,ham_data!$E:$E,'DETAY-yaslandırma'!$A236)</f>
        <v>0</v>
      </c>
      <c r="S236" s="3">
        <f>SUMIFS(DETAY!E:E,DETAY!A:A,'DETAY-yaslandırma'!A236,DETAY!B:B,'DETAY-yaslandırma'!B236)</f>
        <v>0</v>
      </c>
      <c r="T236" s="3">
        <f t="shared" si="42"/>
        <v>0</v>
      </c>
      <c r="U236" s="11">
        <f t="shared" si="43"/>
        <v>0</v>
      </c>
    </row>
    <row r="237" spans="1:21" x14ac:dyDescent="0.35">
      <c r="A237" s="10" t="s">
        <v>445</v>
      </c>
      <c r="B237" s="2" t="s">
        <v>11</v>
      </c>
      <c r="C237" s="5">
        <f>SUMIFS(DETAY!C:C,DETAY!A:A,'DETAY-yaslandırma'!A237,DETAY!B:B,'DETAY-yaslandırma'!B237)</f>
        <v>0</v>
      </c>
      <c r="D237" s="5">
        <f>SUMIFS(ham_data!AB:AB,ham_data!$J:$J,'DETAY-yaslandırma'!$B237,ham_data!$E:$E,'DETAY-yaslandırma'!$A237)</f>
        <v>0</v>
      </c>
      <c r="E237" s="5">
        <f>SUMIFS(ham_data!AC:AC,ham_data!$J:$J,'DETAY-yaslandırma'!$B237,ham_data!$E:$E,'DETAY-yaslandırma'!$A237)</f>
        <v>0</v>
      </c>
      <c r="F237" s="5">
        <f>SUMIFS(ham_data!AD:AD,ham_data!$J:$J,'DETAY-yaslandırma'!$B237,ham_data!$E:$E,'DETAY-yaslandırma'!$A237)</f>
        <v>0</v>
      </c>
      <c r="G237" s="5">
        <f>SUMIFS(ham_data!AE:AE,ham_data!$J:$J,'DETAY-yaslandırma'!$B237,ham_data!$E:$E,'DETAY-yaslandırma'!$A237)</f>
        <v>0</v>
      </c>
      <c r="H237" s="5">
        <f>SUMIFS(ham_data!AF:AF,ham_data!$J:$J,'DETAY-yaslandırma'!$B237,ham_data!$E:$E,'DETAY-yaslandırma'!$A237)</f>
        <v>0</v>
      </c>
      <c r="I237" s="5">
        <f>SUMIFS(ham_data!AG:AG,ham_data!$J:$J,'DETAY-yaslandırma'!$B237,ham_data!$E:$E,'DETAY-yaslandırma'!$A237)</f>
        <v>0</v>
      </c>
      <c r="J237" s="5">
        <f>SUMIFS(ham_data!AH:AH,ham_data!$J:$J,'DETAY-yaslandırma'!$B237,ham_data!$E:$E,'DETAY-yaslandırma'!$A237)</f>
        <v>0</v>
      </c>
      <c r="K237" s="7">
        <f>SUMIFS(DETAY!D:D,DETAY!A:A,'DETAY-yaslandırma'!A237,DETAY!B:B,'DETAY-yaslandırma'!B237)</f>
        <v>0</v>
      </c>
      <c r="L237" s="7">
        <f>SUMIFS(ham_data!U:U,ham_data!$J:$J,'DETAY-yaslandırma'!$B237,ham_data!$E:$E,'DETAY-yaslandırma'!$A237)</f>
        <v>0</v>
      </c>
      <c r="M237" s="7">
        <f>SUMIFS(ham_data!V:V,ham_data!$J:$J,'DETAY-yaslandırma'!$B237,ham_data!$E:$E,'DETAY-yaslandırma'!$A237)</f>
        <v>0</v>
      </c>
      <c r="N237" s="7">
        <f>SUMIFS(ham_data!W:W,ham_data!$J:$J,'DETAY-yaslandırma'!$B237,ham_data!$E:$E,'DETAY-yaslandırma'!$A237)</f>
        <v>0</v>
      </c>
      <c r="O237" s="7">
        <f>SUMIFS(ham_data!X:X,ham_data!$J:$J,'DETAY-yaslandırma'!$B237,ham_data!$E:$E,'DETAY-yaslandırma'!$A237)</f>
        <v>0</v>
      </c>
      <c r="P237" s="7">
        <f>SUMIFS(ham_data!Y:Y,ham_data!$J:$J,'DETAY-yaslandırma'!$B237,ham_data!$E:$E,'DETAY-yaslandırma'!$A237)</f>
        <v>0</v>
      </c>
      <c r="Q237" s="7">
        <f>SUMIFS(ham_data!Z:Z,ham_data!$J:$J,'DETAY-yaslandırma'!$B237,ham_data!$E:$E,'DETAY-yaslandırma'!$A237)</f>
        <v>0</v>
      </c>
      <c r="R237" s="7">
        <f>SUMIFS(ham_data!AA:AA,ham_data!$J:$J,'DETAY-yaslandırma'!$B237,ham_data!$E:$E,'DETAY-yaslandırma'!$A237)</f>
        <v>0</v>
      </c>
      <c r="S237" s="3">
        <f>SUMIFS(DETAY!E:E,DETAY!A:A,'DETAY-yaslandırma'!A237,DETAY!B:B,'DETAY-yaslandırma'!B237)</f>
        <v>0</v>
      </c>
      <c r="T237" s="3">
        <f t="shared" ref="T237:T239" si="44">C237-SUM(D237:J237)</f>
        <v>0</v>
      </c>
      <c r="U237" s="11">
        <f t="shared" ref="U237:U239" si="45">K237-SUM(L237:R237)</f>
        <v>0</v>
      </c>
    </row>
    <row r="238" spans="1:21" x14ac:dyDescent="0.35">
      <c r="A238" s="10" t="s">
        <v>446</v>
      </c>
      <c r="B238" s="2" t="s">
        <v>11</v>
      </c>
      <c r="C238" s="5">
        <f>SUMIFS(DETAY!C:C,DETAY!A:A,'DETAY-yaslandırma'!A238,DETAY!B:B,'DETAY-yaslandırma'!B238)</f>
        <v>0</v>
      </c>
      <c r="D238" s="5">
        <f>SUMIFS(ham_data!AB:AB,ham_data!$J:$J,'DETAY-yaslandırma'!$B238,ham_data!$E:$E,'DETAY-yaslandırma'!$A238)</f>
        <v>0</v>
      </c>
      <c r="E238" s="5">
        <f>SUMIFS(ham_data!AC:AC,ham_data!$J:$J,'DETAY-yaslandırma'!$B238,ham_data!$E:$E,'DETAY-yaslandırma'!$A238)</f>
        <v>0</v>
      </c>
      <c r="F238" s="5">
        <f>SUMIFS(ham_data!AD:AD,ham_data!$J:$J,'DETAY-yaslandırma'!$B238,ham_data!$E:$E,'DETAY-yaslandırma'!$A238)</f>
        <v>0</v>
      </c>
      <c r="G238" s="5">
        <f>SUMIFS(ham_data!AE:AE,ham_data!$J:$J,'DETAY-yaslandırma'!$B238,ham_data!$E:$E,'DETAY-yaslandırma'!$A238)</f>
        <v>0</v>
      </c>
      <c r="H238" s="5">
        <f>SUMIFS(ham_data!AF:AF,ham_data!$J:$J,'DETAY-yaslandırma'!$B238,ham_data!$E:$E,'DETAY-yaslandırma'!$A238)</f>
        <v>0</v>
      </c>
      <c r="I238" s="5">
        <f>SUMIFS(ham_data!AG:AG,ham_data!$J:$J,'DETAY-yaslandırma'!$B238,ham_data!$E:$E,'DETAY-yaslandırma'!$A238)</f>
        <v>0</v>
      </c>
      <c r="J238" s="5">
        <f>SUMIFS(ham_data!AH:AH,ham_data!$J:$J,'DETAY-yaslandırma'!$B238,ham_data!$E:$E,'DETAY-yaslandırma'!$A238)</f>
        <v>0</v>
      </c>
      <c r="K238" s="7">
        <f>SUMIFS(DETAY!D:D,DETAY!A:A,'DETAY-yaslandırma'!A238,DETAY!B:B,'DETAY-yaslandırma'!B238)</f>
        <v>0</v>
      </c>
      <c r="L238" s="7">
        <f>SUMIFS(ham_data!U:U,ham_data!$J:$J,'DETAY-yaslandırma'!$B238,ham_data!$E:$E,'DETAY-yaslandırma'!$A238)</f>
        <v>0</v>
      </c>
      <c r="M238" s="7">
        <f>SUMIFS(ham_data!V:V,ham_data!$J:$J,'DETAY-yaslandırma'!$B238,ham_data!$E:$E,'DETAY-yaslandırma'!$A238)</f>
        <v>0</v>
      </c>
      <c r="N238" s="7">
        <f>SUMIFS(ham_data!W:W,ham_data!$J:$J,'DETAY-yaslandırma'!$B238,ham_data!$E:$E,'DETAY-yaslandırma'!$A238)</f>
        <v>0</v>
      </c>
      <c r="O238" s="7">
        <f>SUMIFS(ham_data!X:X,ham_data!$J:$J,'DETAY-yaslandırma'!$B238,ham_data!$E:$E,'DETAY-yaslandırma'!$A238)</f>
        <v>0</v>
      </c>
      <c r="P238" s="7">
        <f>SUMIFS(ham_data!Y:Y,ham_data!$J:$J,'DETAY-yaslandırma'!$B238,ham_data!$E:$E,'DETAY-yaslandırma'!$A238)</f>
        <v>0</v>
      </c>
      <c r="Q238" s="7">
        <f>SUMIFS(ham_data!Z:Z,ham_data!$J:$J,'DETAY-yaslandırma'!$B238,ham_data!$E:$E,'DETAY-yaslandırma'!$A238)</f>
        <v>0</v>
      </c>
      <c r="R238" s="7">
        <f>SUMIFS(ham_data!AA:AA,ham_data!$J:$J,'DETAY-yaslandırma'!$B238,ham_data!$E:$E,'DETAY-yaslandırma'!$A238)</f>
        <v>0</v>
      </c>
      <c r="S238" s="3">
        <f>SUMIFS(DETAY!E:E,DETAY!A:A,'DETAY-yaslandırma'!A238,DETAY!B:B,'DETAY-yaslandırma'!B238)</f>
        <v>0</v>
      </c>
      <c r="T238" s="3">
        <f t="shared" si="44"/>
        <v>0</v>
      </c>
      <c r="U238" s="11">
        <f t="shared" si="45"/>
        <v>0</v>
      </c>
    </row>
    <row r="239" spans="1:21" x14ac:dyDescent="0.35">
      <c r="A239" s="10" t="s">
        <v>444</v>
      </c>
      <c r="B239" s="2" t="s">
        <v>11</v>
      </c>
      <c r="C239" s="5">
        <f>SUMIFS(DETAY!C:C,DETAY!A:A,'DETAY-yaslandırma'!A239,DETAY!B:B,'DETAY-yaslandırma'!B239)</f>
        <v>0</v>
      </c>
      <c r="D239" s="5">
        <f>SUMIFS(ham_data!AB:AB,ham_data!$J:$J,'DETAY-yaslandırma'!$B239,ham_data!$E:$E,'DETAY-yaslandırma'!$A239)</f>
        <v>0</v>
      </c>
      <c r="E239" s="5">
        <f>SUMIFS(ham_data!AC:AC,ham_data!$J:$J,'DETAY-yaslandırma'!$B239,ham_data!$E:$E,'DETAY-yaslandırma'!$A239)</f>
        <v>0</v>
      </c>
      <c r="F239" s="5">
        <f>SUMIFS(ham_data!AD:AD,ham_data!$J:$J,'DETAY-yaslandırma'!$B239,ham_data!$E:$E,'DETAY-yaslandırma'!$A239)</f>
        <v>0</v>
      </c>
      <c r="G239" s="5">
        <f>SUMIFS(ham_data!AE:AE,ham_data!$J:$J,'DETAY-yaslandırma'!$B239,ham_data!$E:$E,'DETAY-yaslandırma'!$A239)</f>
        <v>0</v>
      </c>
      <c r="H239" s="5">
        <f>SUMIFS(ham_data!AF:AF,ham_data!$J:$J,'DETAY-yaslandırma'!$B239,ham_data!$E:$E,'DETAY-yaslandırma'!$A239)</f>
        <v>0</v>
      </c>
      <c r="I239" s="5">
        <f>SUMIFS(ham_data!AG:AG,ham_data!$J:$J,'DETAY-yaslandırma'!$B239,ham_data!$E:$E,'DETAY-yaslandırma'!$A239)</f>
        <v>0</v>
      </c>
      <c r="J239" s="5">
        <f>SUMIFS(ham_data!AH:AH,ham_data!$J:$J,'DETAY-yaslandırma'!$B239,ham_data!$E:$E,'DETAY-yaslandırma'!$A239)</f>
        <v>0</v>
      </c>
      <c r="K239" s="7">
        <f>SUMIFS(DETAY!D:D,DETAY!A:A,'DETAY-yaslandırma'!A239,DETAY!B:B,'DETAY-yaslandırma'!B239)</f>
        <v>0</v>
      </c>
      <c r="L239" s="7">
        <f>SUMIFS(ham_data!U:U,ham_data!$J:$J,'DETAY-yaslandırma'!$B239,ham_data!$E:$E,'DETAY-yaslandırma'!$A239)</f>
        <v>0</v>
      </c>
      <c r="M239" s="7">
        <f>SUMIFS(ham_data!V:V,ham_data!$J:$J,'DETAY-yaslandırma'!$B239,ham_data!$E:$E,'DETAY-yaslandırma'!$A239)</f>
        <v>0</v>
      </c>
      <c r="N239" s="7">
        <f>SUMIFS(ham_data!W:W,ham_data!$J:$J,'DETAY-yaslandırma'!$B239,ham_data!$E:$E,'DETAY-yaslandırma'!$A239)</f>
        <v>0</v>
      </c>
      <c r="O239" s="7">
        <f>SUMIFS(ham_data!X:X,ham_data!$J:$J,'DETAY-yaslandırma'!$B239,ham_data!$E:$E,'DETAY-yaslandırma'!$A239)</f>
        <v>0</v>
      </c>
      <c r="P239" s="7">
        <f>SUMIFS(ham_data!Y:Y,ham_data!$J:$J,'DETAY-yaslandırma'!$B239,ham_data!$E:$E,'DETAY-yaslandırma'!$A239)</f>
        <v>0</v>
      </c>
      <c r="Q239" s="7">
        <f>SUMIFS(ham_data!Z:Z,ham_data!$J:$J,'DETAY-yaslandırma'!$B239,ham_data!$E:$E,'DETAY-yaslandırma'!$A239)</f>
        <v>0</v>
      </c>
      <c r="R239" s="7">
        <f>SUMIFS(ham_data!AA:AA,ham_data!$J:$J,'DETAY-yaslandırma'!$B239,ham_data!$E:$E,'DETAY-yaslandırma'!$A239)</f>
        <v>0</v>
      </c>
      <c r="S239" s="3">
        <f>SUMIFS(DETAY!E:E,DETAY!A:A,'DETAY-yaslandırma'!A239,DETAY!B:B,'DETAY-yaslandırma'!B239)</f>
        <v>0</v>
      </c>
      <c r="T239" s="3">
        <f t="shared" si="44"/>
        <v>0</v>
      </c>
      <c r="U239" s="11">
        <f t="shared" si="45"/>
        <v>0</v>
      </c>
    </row>
    <row r="240" spans="1:21" x14ac:dyDescent="0.35">
      <c r="A240" s="10" t="s">
        <v>462</v>
      </c>
      <c r="B240" s="2" t="s">
        <v>11</v>
      </c>
      <c r="C240" s="5">
        <f>SUMIFS(DETAY!C:C,DETAY!A:A,'DETAY-yaslandırma'!A240,DETAY!B:B,'DETAY-yaslandırma'!B240)</f>
        <v>3815077.47</v>
      </c>
      <c r="D240" s="5">
        <f>SUMIFS(ham_data!AB:AB,ham_data!$J:$J,'DETAY-yaslandırma'!$B240,ham_data!$E:$E,'DETAY-yaslandırma'!$A240)</f>
        <v>3815077.47</v>
      </c>
      <c r="E240" s="5">
        <f>SUMIFS(ham_data!AC:AC,ham_data!$J:$J,'DETAY-yaslandırma'!$B240,ham_data!$E:$E,'DETAY-yaslandırma'!$A240)</f>
        <v>0</v>
      </c>
      <c r="F240" s="5">
        <f>SUMIFS(ham_data!AD:AD,ham_data!$J:$J,'DETAY-yaslandırma'!$B240,ham_data!$E:$E,'DETAY-yaslandırma'!$A240)</f>
        <v>0</v>
      </c>
      <c r="G240" s="5">
        <f>SUMIFS(ham_data!AE:AE,ham_data!$J:$J,'DETAY-yaslandırma'!$B240,ham_data!$E:$E,'DETAY-yaslandırma'!$A240)</f>
        <v>0</v>
      </c>
      <c r="H240" s="5">
        <f>SUMIFS(ham_data!AF:AF,ham_data!$J:$J,'DETAY-yaslandırma'!$B240,ham_data!$E:$E,'DETAY-yaslandırma'!$A240)</f>
        <v>0</v>
      </c>
      <c r="I240" s="5">
        <f>SUMIFS(ham_data!AG:AG,ham_data!$J:$J,'DETAY-yaslandırma'!$B240,ham_data!$E:$E,'DETAY-yaslandırma'!$A240)</f>
        <v>0</v>
      </c>
      <c r="J240" s="5">
        <f>SUMIFS(ham_data!AH:AH,ham_data!$J:$J,'DETAY-yaslandırma'!$B240,ham_data!$E:$E,'DETAY-yaslandırma'!$A240)</f>
        <v>0</v>
      </c>
      <c r="K240" s="7">
        <f>SUMIFS(DETAY!D:D,DETAY!A:A,'DETAY-yaslandırma'!A240,DETAY!B:B,'DETAY-yaslandırma'!B240)</f>
        <v>0</v>
      </c>
      <c r="L240" s="7">
        <f>SUMIFS(ham_data!U:U,ham_data!$J:$J,'DETAY-yaslandırma'!$B240,ham_data!$E:$E,'DETAY-yaslandırma'!$A240)</f>
        <v>0</v>
      </c>
      <c r="M240" s="7">
        <f>SUMIFS(ham_data!V:V,ham_data!$J:$J,'DETAY-yaslandırma'!$B240,ham_data!$E:$E,'DETAY-yaslandırma'!$A240)</f>
        <v>0</v>
      </c>
      <c r="N240" s="7">
        <f>SUMIFS(ham_data!W:W,ham_data!$J:$J,'DETAY-yaslandırma'!$B240,ham_data!$E:$E,'DETAY-yaslandırma'!$A240)</f>
        <v>0</v>
      </c>
      <c r="O240" s="7">
        <f>SUMIFS(ham_data!X:X,ham_data!$J:$J,'DETAY-yaslandırma'!$B240,ham_data!$E:$E,'DETAY-yaslandırma'!$A240)</f>
        <v>0</v>
      </c>
      <c r="P240" s="7">
        <f>SUMIFS(ham_data!Y:Y,ham_data!$J:$J,'DETAY-yaslandırma'!$B240,ham_data!$E:$E,'DETAY-yaslandırma'!$A240)</f>
        <v>0</v>
      </c>
      <c r="Q240" s="7">
        <f>SUMIFS(ham_data!Z:Z,ham_data!$J:$J,'DETAY-yaslandırma'!$B240,ham_data!$E:$E,'DETAY-yaslandırma'!$A240)</f>
        <v>0</v>
      </c>
      <c r="R240" s="7">
        <f>SUMIFS(ham_data!AA:AA,ham_data!$J:$J,'DETAY-yaslandırma'!$B240,ham_data!$E:$E,'DETAY-yaslandırma'!$A240)</f>
        <v>0</v>
      </c>
      <c r="S240" s="3">
        <f>SUMIFS(DETAY!E:E,DETAY!A:A,'DETAY-yaslandırma'!A240,DETAY!B:B,'DETAY-yaslandırma'!B240)</f>
        <v>3815077.47</v>
      </c>
      <c r="T240" s="3">
        <f t="shared" ref="T240:T246" si="46">C240-SUM(D240:J240)</f>
        <v>0</v>
      </c>
      <c r="U240" s="11">
        <f t="shared" ref="U240:U246" si="47">K240-SUM(L240:R240)</f>
        <v>0</v>
      </c>
    </row>
    <row r="241" spans="1:21" x14ac:dyDescent="0.35">
      <c r="A241" s="10" t="s">
        <v>461</v>
      </c>
      <c r="B241" s="2" t="s">
        <v>11</v>
      </c>
      <c r="C241" s="5">
        <f>SUMIFS(DETAY!C:C,DETAY!A:A,'DETAY-yaslandırma'!A241,DETAY!B:B,'DETAY-yaslandırma'!B241)</f>
        <v>1090132.52</v>
      </c>
      <c r="D241" s="5">
        <f>SUMIFS(ham_data!AB:AB,ham_data!$J:$J,'DETAY-yaslandırma'!$B241,ham_data!$E:$E,'DETAY-yaslandırma'!$A241)</f>
        <v>1090132.52</v>
      </c>
      <c r="E241" s="5">
        <f>SUMIFS(ham_data!AC:AC,ham_data!$J:$J,'DETAY-yaslandırma'!$B241,ham_data!$E:$E,'DETAY-yaslandırma'!$A241)</f>
        <v>0</v>
      </c>
      <c r="F241" s="5">
        <f>SUMIFS(ham_data!AD:AD,ham_data!$J:$J,'DETAY-yaslandırma'!$B241,ham_data!$E:$E,'DETAY-yaslandırma'!$A241)</f>
        <v>0</v>
      </c>
      <c r="G241" s="5">
        <f>SUMIFS(ham_data!AE:AE,ham_data!$J:$J,'DETAY-yaslandırma'!$B241,ham_data!$E:$E,'DETAY-yaslandırma'!$A241)</f>
        <v>0</v>
      </c>
      <c r="H241" s="5">
        <f>SUMIFS(ham_data!AF:AF,ham_data!$J:$J,'DETAY-yaslandırma'!$B241,ham_data!$E:$E,'DETAY-yaslandırma'!$A241)</f>
        <v>0</v>
      </c>
      <c r="I241" s="5">
        <f>SUMIFS(ham_data!AG:AG,ham_data!$J:$J,'DETAY-yaslandırma'!$B241,ham_data!$E:$E,'DETAY-yaslandırma'!$A241)</f>
        <v>0</v>
      </c>
      <c r="J241" s="5">
        <f>SUMIFS(ham_data!AH:AH,ham_data!$J:$J,'DETAY-yaslandırma'!$B241,ham_data!$E:$E,'DETAY-yaslandırma'!$A241)</f>
        <v>0</v>
      </c>
      <c r="K241" s="7">
        <f>SUMIFS(DETAY!D:D,DETAY!A:A,'DETAY-yaslandırma'!A241,DETAY!B:B,'DETAY-yaslandırma'!B241)</f>
        <v>0</v>
      </c>
      <c r="L241" s="7">
        <f>SUMIFS(ham_data!U:U,ham_data!$J:$J,'DETAY-yaslandırma'!$B241,ham_data!$E:$E,'DETAY-yaslandırma'!$A241)</f>
        <v>0</v>
      </c>
      <c r="M241" s="7">
        <f>SUMIFS(ham_data!V:V,ham_data!$J:$J,'DETAY-yaslandırma'!$B241,ham_data!$E:$E,'DETAY-yaslandırma'!$A241)</f>
        <v>0</v>
      </c>
      <c r="N241" s="7">
        <f>SUMIFS(ham_data!W:W,ham_data!$J:$J,'DETAY-yaslandırma'!$B241,ham_data!$E:$E,'DETAY-yaslandırma'!$A241)</f>
        <v>0</v>
      </c>
      <c r="O241" s="7">
        <f>SUMIFS(ham_data!X:X,ham_data!$J:$J,'DETAY-yaslandırma'!$B241,ham_data!$E:$E,'DETAY-yaslandırma'!$A241)</f>
        <v>0</v>
      </c>
      <c r="P241" s="7">
        <f>SUMIFS(ham_data!Y:Y,ham_data!$J:$J,'DETAY-yaslandırma'!$B241,ham_data!$E:$E,'DETAY-yaslandırma'!$A241)</f>
        <v>0</v>
      </c>
      <c r="Q241" s="7">
        <f>SUMIFS(ham_data!Z:Z,ham_data!$J:$J,'DETAY-yaslandırma'!$B241,ham_data!$E:$E,'DETAY-yaslandırma'!$A241)</f>
        <v>0</v>
      </c>
      <c r="R241" s="7">
        <f>SUMIFS(ham_data!AA:AA,ham_data!$J:$J,'DETAY-yaslandırma'!$B241,ham_data!$E:$E,'DETAY-yaslandırma'!$A241)</f>
        <v>0</v>
      </c>
      <c r="S241" s="3">
        <f>SUMIFS(DETAY!E:E,DETAY!A:A,'DETAY-yaslandırma'!A241,DETAY!B:B,'DETAY-yaslandırma'!B241)</f>
        <v>1090132.52</v>
      </c>
      <c r="T241" s="3">
        <f t="shared" si="46"/>
        <v>0</v>
      </c>
      <c r="U241" s="11">
        <f t="shared" si="47"/>
        <v>0</v>
      </c>
    </row>
    <row r="242" spans="1:21" x14ac:dyDescent="0.35">
      <c r="A242" s="10" t="s">
        <v>468</v>
      </c>
      <c r="B242" s="2" t="s">
        <v>37</v>
      </c>
      <c r="C242" s="5">
        <f>SUMIFS(DETAY!C:C,DETAY!A:A,'DETAY-yaslandırma'!A242,DETAY!B:B,'DETAY-yaslandırma'!B242)</f>
        <v>0</v>
      </c>
      <c r="D242" s="5">
        <f>SUMIFS(ham_data!AB:AB,ham_data!$J:$J,'DETAY-yaslandırma'!$B242,ham_data!$E:$E,'DETAY-yaslandırma'!$A242)</f>
        <v>0</v>
      </c>
      <c r="E242" s="5">
        <f>SUMIFS(ham_data!AC:AC,ham_data!$J:$J,'DETAY-yaslandırma'!$B242,ham_data!$E:$E,'DETAY-yaslandırma'!$A242)</f>
        <v>0</v>
      </c>
      <c r="F242" s="5">
        <f>SUMIFS(ham_data!AD:AD,ham_data!$J:$J,'DETAY-yaslandırma'!$B242,ham_data!$E:$E,'DETAY-yaslandırma'!$A242)</f>
        <v>0</v>
      </c>
      <c r="G242" s="5">
        <f>SUMIFS(ham_data!AE:AE,ham_data!$J:$J,'DETAY-yaslandırma'!$B242,ham_data!$E:$E,'DETAY-yaslandırma'!$A242)</f>
        <v>0</v>
      </c>
      <c r="H242" s="5">
        <f>SUMIFS(ham_data!AF:AF,ham_data!$J:$J,'DETAY-yaslandırma'!$B242,ham_data!$E:$E,'DETAY-yaslandırma'!$A242)</f>
        <v>0</v>
      </c>
      <c r="I242" s="5">
        <f>SUMIFS(ham_data!AG:AG,ham_data!$J:$J,'DETAY-yaslandırma'!$B242,ham_data!$E:$E,'DETAY-yaslandırma'!$A242)</f>
        <v>0</v>
      </c>
      <c r="J242" s="5">
        <f>SUMIFS(ham_data!AH:AH,ham_data!$J:$J,'DETAY-yaslandırma'!$B242,ham_data!$E:$E,'DETAY-yaslandırma'!$A242)</f>
        <v>0</v>
      </c>
      <c r="K242" s="7">
        <f>SUMIFS(DETAY!D:D,DETAY!A:A,'DETAY-yaslandırma'!A242,DETAY!B:B,'DETAY-yaslandırma'!B242)</f>
        <v>59005.88</v>
      </c>
      <c r="L242" s="7">
        <f>SUMIFS(ham_data!U:U,ham_data!$J:$J,'DETAY-yaslandırma'!$B242,ham_data!$E:$E,'DETAY-yaslandırma'!$A242)</f>
        <v>59005.88</v>
      </c>
      <c r="M242" s="7">
        <f>SUMIFS(ham_data!V:V,ham_data!$J:$J,'DETAY-yaslandırma'!$B242,ham_data!$E:$E,'DETAY-yaslandırma'!$A242)</f>
        <v>0</v>
      </c>
      <c r="N242" s="7">
        <f>SUMIFS(ham_data!W:W,ham_data!$J:$J,'DETAY-yaslandırma'!$B242,ham_data!$E:$E,'DETAY-yaslandırma'!$A242)</f>
        <v>0</v>
      </c>
      <c r="O242" s="7">
        <f>SUMIFS(ham_data!X:X,ham_data!$J:$J,'DETAY-yaslandırma'!$B242,ham_data!$E:$E,'DETAY-yaslandırma'!$A242)</f>
        <v>0</v>
      </c>
      <c r="P242" s="7">
        <f>SUMIFS(ham_data!Y:Y,ham_data!$J:$J,'DETAY-yaslandırma'!$B242,ham_data!$E:$E,'DETAY-yaslandırma'!$A242)</f>
        <v>0</v>
      </c>
      <c r="Q242" s="7">
        <f>SUMIFS(ham_data!Z:Z,ham_data!$J:$J,'DETAY-yaslandırma'!$B242,ham_data!$E:$E,'DETAY-yaslandırma'!$A242)</f>
        <v>0</v>
      </c>
      <c r="R242" s="7">
        <f>SUMIFS(ham_data!AA:AA,ham_data!$J:$J,'DETAY-yaslandırma'!$B242,ham_data!$E:$E,'DETAY-yaslandırma'!$A242)</f>
        <v>0</v>
      </c>
      <c r="S242" s="3">
        <f>SUMIFS(DETAY!E:E,DETAY!A:A,'DETAY-yaslandırma'!A242,DETAY!B:B,'DETAY-yaslandırma'!B242)</f>
        <v>59005.88</v>
      </c>
      <c r="T242" s="3">
        <f t="shared" si="46"/>
        <v>0</v>
      </c>
      <c r="U242" s="11">
        <f t="shared" si="47"/>
        <v>0</v>
      </c>
    </row>
    <row r="243" spans="1:21" x14ac:dyDescent="0.35">
      <c r="A243" s="10" t="s">
        <v>471</v>
      </c>
      <c r="B243" s="2" t="s">
        <v>11</v>
      </c>
      <c r="C243" s="5">
        <f>SUMIFS(DETAY!C:C,DETAY!A:A,'DETAY-yaslandırma'!A243,DETAY!B:B,'DETAY-yaslandırma'!B243)</f>
        <v>0</v>
      </c>
      <c r="D243" s="5">
        <f>SUMIFS(ham_data!AB:AB,ham_data!$J:$J,'DETAY-yaslandırma'!$B243,ham_data!$E:$E,'DETAY-yaslandırma'!$A243)</f>
        <v>0</v>
      </c>
      <c r="E243" s="5">
        <f>SUMIFS(ham_data!AC:AC,ham_data!$J:$J,'DETAY-yaslandırma'!$B243,ham_data!$E:$E,'DETAY-yaslandırma'!$A243)</f>
        <v>0</v>
      </c>
      <c r="F243" s="5">
        <f>SUMIFS(ham_data!AD:AD,ham_data!$J:$J,'DETAY-yaslandırma'!$B243,ham_data!$E:$E,'DETAY-yaslandırma'!$A243)</f>
        <v>0</v>
      </c>
      <c r="G243" s="5">
        <f>SUMIFS(ham_data!AE:AE,ham_data!$J:$J,'DETAY-yaslandırma'!$B243,ham_data!$E:$E,'DETAY-yaslandırma'!$A243)</f>
        <v>0</v>
      </c>
      <c r="H243" s="5">
        <f>SUMIFS(ham_data!AF:AF,ham_data!$J:$J,'DETAY-yaslandırma'!$B243,ham_data!$E:$E,'DETAY-yaslandırma'!$A243)</f>
        <v>0</v>
      </c>
      <c r="I243" s="5">
        <f>SUMIFS(ham_data!AG:AG,ham_data!$J:$J,'DETAY-yaslandırma'!$B243,ham_data!$E:$E,'DETAY-yaslandırma'!$A243)</f>
        <v>0</v>
      </c>
      <c r="J243" s="5">
        <f>SUMIFS(ham_data!AH:AH,ham_data!$J:$J,'DETAY-yaslandırma'!$B243,ham_data!$E:$E,'DETAY-yaslandırma'!$A243)</f>
        <v>0</v>
      </c>
      <c r="K243" s="7">
        <f>SUMIFS(DETAY!D:D,DETAY!A:A,'DETAY-yaslandırma'!A243,DETAY!B:B,'DETAY-yaslandırma'!B243)</f>
        <v>0</v>
      </c>
      <c r="L243" s="7">
        <f>SUMIFS(ham_data!U:U,ham_data!$J:$J,'DETAY-yaslandırma'!$B243,ham_data!$E:$E,'DETAY-yaslandırma'!$A243)</f>
        <v>0</v>
      </c>
      <c r="M243" s="7">
        <f>SUMIFS(ham_data!V:V,ham_data!$J:$J,'DETAY-yaslandırma'!$B243,ham_data!$E:$E,'DETAY-yaslandırma'!$A243)</f>
        <v>0</v>
      </c>
      <c r="N243" s="7">
        <f>SUMIFS(ham_data!W:W,ham_data!$J:$J,'DETAY-yaslandırma'!$B243,ham_data!$E:$E,'DETAY-yaslandırma'!$A243)</f>
        <v>0</v>
      </c>
      <c r="O243" s="7">
        <f>SUMIFS(ham_data!X:X,ham_data!$J:$J,'DETAY-yaslandırma'!$B243,ham_data!$E:$E,'DETAY-yaslandırma'!$A243)</f>
        <v>0</v>
      </c>
      <c r="P243" s="7">
        <f>SUMIFS(ham_data!Y:Y,ham_data!$J:$J,'DETAY-yaslandırma'!$B243,ham_data!$E:$E,'DETAY-yaslandırma'!$A243)</f>
        <v>0</v>
      </c>
      <c r="Q243" s="7">
        <f>SUMIFS(ham_data!Z:Z,ham_data!$J:$J,'DETAY-yaslandırma'!$B243,ham_data!$E:$E,'DETAY-yaslandırma'!$A243)</f>
        <v>0</v>
      </c>
      <c r="R243" s="7">
        <f>SUMIFS(ham_data!AA:AA,ham_data!$J:$J,'DETAY-yaslandırma'!$B243,ham_data!$E:$E,'DETAY-yaslandırma'!$A243)</f>
        <v>0</v>
      </c>
      <c r="S243" s="3">
        <f>SUMIFS(DETAY!E:E,DETAY!A:A,'DETAY-yaslandırma'!A243,DETAY!B:B,'DETAY-yaslandırma'!B243)</f>
        <v>0</v>
      </c>
      <c r="T243" s="3">
        <f t="shared" si="46"/>
        <v>0</v>
      </c>
      <c r="U243" s="11">
        <f t="shared" si="47"/>
        <v>0</v>
      </c>
    </row>
    <row r="244" spans="1:21" x14ac:dyDescent="0.35">
      <c r="A244" s="10" t="s">
        <v>277</v>
      </c>
      <c r="B244" s="2" t="s">
        <v>11</v>
      </c>
      <c r="C244" s="5">
        <f>SUMIFS(DETAY!C:C,DETAY!A:A,'DETAY-yaslandırma'!A244,DETAY!B:B,'DETAY-yaslandırma'!B244)</f>
        <v>0</v>
      </c>
      <c r="D244" s="5">
        <f>SUMIFS(ham_data!AB:AB,ham_data!$J:$J,'DETAY-yaslandırma'!$B244,ham_data!$E:$E,'DETAY-yaslandırma'!$A244)</f>
        <v>0</v>
      </c>
      <c r="E244" s="5">
        <f>SUMIFS(ham_data!AC:AC,ham_data!$J:$J,'DETAY-yaslandırma'!$B244,ham_data!$E:$E,'DETAY-yaslandırma'!$A244)</f>
        <v>0</v>
      </c>
      <c r="F244" s="5">
        <f>SUMIFS(ham_data!AD:AD,ham_data!$J:$J,'DETAY-yaslandırma'!$B244,ham_data!$E:$E,'DETAY-yaslandırma'!$A244)</f>
        <v>0</v>
      </c>
      <c r="G244" s="5">
        <f>SUMIFS(ham_data!AE:AE,ham_data!$J:$J,'DETAY-yaslandırma'!$B244,ham_data!$E:$E,'DETAY-yaslandırma'!$A244)</f>
        <v>0</v>
      </c>
      <c r="H244" s="5">
        <f>SUMIFS(ham_data!AF:AF,ham_data!$J:$J,'DETAY-yaslandırma'!$B244,ham_data!$E:$E,'DETAY-yaslandırma'!$A244)</f>
        <v>0</v>
      </c>
      <c r="I244" s="5">
        <f>SUMIFS(ham_data!AG:AG,ham_data!$J:$J,'DETAY-yaslandırma'!$B244,ham_data!$E:$E,'DETAY-yaslandırma'!$A244)</f>
        <v>0</v>
      </c>
      <c r="J244" s="5">
        <f>SUMIFS(ham_data!AH:AH,ham_data!$J:$J,'DETAY-yaslandırma'!$B244,ham_data!$E:$E,'DETAY-yaslandırma'!$A244)</f>
        <v>0</v>
      </c>
      <c r="K244" s="7">
        <f>SUMIFS(DETAY!D:D,DETAY!A:A,'DETAY-yaslandırma'!A244,DETAY!B:B,'DETAY-yaslandırma'!B244)</f>
        <v>0</v>
      </c>
      <c r="L244" s="7">
        <f>SUMIFS(ham_data!U:U,ham_data!$J:$J,'DETAY-yaslandırma'!$B244,ham_data!$E:$E,'DETAY-yaslandırma'!$A244)</f>
        <v>0</v>
      </c>
      <c r="M244" s="7">
        <f>SUMIFS(ham_data!V:V,ham_data!$J:$J,'DETAY-yaslandırma'!$B244,ham_data!$E:$E,'DETAY-yaslandırma'!$A244)</f>
        <v>0</v>
      </c>
      <c r="N244" s="7">
        <f>SUMIFS(ham_data!W:W,ham_data!$J:$J,'DETAY-yaslandırma'!$B244,ham_data!$E:$E,'DETAY-yaslandırma'!$A244)</f>
        <v>0</v>
      </c>
      <c r="O244" s="7">
        <f>SUMIFS(ham_data!X:X,ham_data!$J:$J,'DETAY-yaslandırma'!$B244,ham_data!$E:$E,'DETAY-yaslandırma'!$A244)</f>
        <v>0</v>
      </c>
      <c r="P244" s="7">
        <f>SUMIFS(ham_data!Y:Y,ham_data!$J:$J,'DETAY-yaslandırma'!$B244,ham_data!$E:$E,'DETAY-yaslandırma'!$A244)</f>
        <v>0</v>
      </c>
      <c r="Q244" s="7">
        <f>SUMIFS(ham_data!Z:Z,ham_data!$J:$J,'DETAY-yaslandırma'!$B244,ham_data!$E:$E,'DETAY-yaslandırma'!$A244)</f>
        <v>0</v>
      </c>
      <c r="R244" s="7">
        <f>SUMIFS(ham_data!AA:AA,ham_data!$J:$J,'DETAY-yaslandırma'!$B244,ham_data!$E:$E,'DETAY-yaslandırma'!$A244)</f>
        <v>0</v>
      </c>
      <c r="S244" s="3">
        <f>SUMIFS(DETAY!E:E,DETAY!A:A,'DETAY-yaslandırma'!A244,DETAY!B:B,'DETAY-yaslandırma'!B244)</f>
        <v>0</v>
      </c>
      <c r="T244" s="3">
        <f t="shared" si="46"/>
        <v>0</v>
      </c>
      <c r="U244" s="11">
        <f t="shared" si="47"/>
        <v>0</v>
      </c>
    </row>
    <row r="245" spans="1:21" x14ac:dyDescent="0.35">
      <c r="A245" s="10" t="s">
        <v>472</v>
      </c>
      <c r="B245" s="2" t="s">
        <v>11</v>
      </c>
      <c r="C245" s="5">
        <f>SUMIFS(DETAY!C:C,DETAY!A:A,'DETAY-yaslandırma'!A245,DETAY!B:B,'DETAY-yaslandırma'!B245)</f>
        <v>0</v>
      </c>
      <c r="D245" s="5">
        <f>SUMIFS(ham_data!AB:AB,ham_data!$J:$J,'DETAY-yaslandırma'!$B245,ham_data!$E:$E,'DETAY-yaslandırma'!$A245)</f>
        <v>0</v>
      </c>
      <c r="E245" s="5">
        <f>SUMIFS(ham_data!AC:AC,ham_data!$J:$J,'DETAY-yaslandırma'!$B245,ham_data!$E:$E,'DETAY-yaslandırma'!$A245)</f>
        <v>0</v>
      </c>
      <c r="F245" s="5">
        <f>SUMIFS(ham_data!AD:AD,ham_data!$J:$J,'DETAY-yaslandırma'!$B245,ham_data!$E:$E,'DETAY-yaslandırma'!$A245)</f>
        <v>0</v>
      </c>
      <c r="G245" s="5">
        <f>SUMIFS(ham_data!AE:AE,ham_data!$J:$J,'DETAY-yaslandırma'!$B245,ham_data!$E:$E,'DETAY-yaslandırma'!$A245)</f>
        <v>0</v>
      </c>
      <c r="H245" s="5">
        <f>SUMIFS(ham_data!AF:AF,ham_data!$J:$J,'DETAY-yaslandırma'!$B245,ham_data!$E:$E,'DETAY-yaslandırma'!$A245)</f>
        <v>0</v>
      </c>
      <c r="I245" s="5">
        <f>SUMIFS(ham_data!AG:AG,ham_data!$J:$J,'DETAY-yaslandırma'!$B245,ham_data!$E:$E,'DETAY-yaslandırma'!$A245)</f>
        <v>0</v>
      </c>
      <c r="J245" s="5">
        <f>SUMIFS(ham_data!AH:AH,ham_data!$J:$J,'DETAY-yaslandırma'!$B245,ham_data!$E:$E,'DETAY-yaslandırma'!$A245)</f>
        <v>0</v>
      </c>
      <c r="K245" s="7">
        <f>SUMIFS(DETAY!D:D,DETAY!A:A,'DETAY-yaslandırma'!A245,DETAY!B:B,'DETAY-yaslandırma'!B245)</f>
        <v>0</v>
      </c>
      <c r="L245" s="7">
        <f>SUMIFS(ham_data!U:U,ham_data!$J:$J,'DETAY-yaslandırma'!$B245,ham_data!$E:$E,'DETAY-yaslandırma'!$A245)</f>
        <v>0</v>
      </c>
      <c r="M245" s="7">
        <f>SUMIFS(ham_data!V:V,ham_data!$J:$J,'DETAY-yaslandırma'!$B245,ham_data!$E:$E,'DETAY-yaslandırma'!$A245)</f>
        <v>0</v>
      </c>
      <c r="N245" s="7">
        <f>SUMIFS(ham_data!W:W,ham_data!$J:$J,'DETAY-yaslandırma'!$B245,ham_data!$E:$E,'DETAY-yaslandırma'!$A245)</f>
        <v>0</v>
      </c>
      <c r="O245" s="7">
        <f>SUMIFS(ham_data!X:X,ham_data!$J:$J,'DETAY-yaslandırma'!$B245,ham_data!$E:$E,'DETAY-yaslandırma'!$A245)</f>
        <v>0</v>
      </c>
      <c r="P245" s="7">
        <f>SUMIFS(ham_data!Y:Y,ham_data!$J:$J,'DETAY-yaslandırma'!$B245,ham_data!$E:$E,'DETAY-yaslandırma'!$A245)</f>
        <v>0</v>
      </c>
      <c r="Q245" s="7">
        <f>SUMIFS(ham_data!Z:Z,ham_data!$J:$J,'DETAY-yaslandırma'!$B245,ham_data!$E:$E,'DETAY-yaslandırma'!$A245)</f>
        <v>0</v>
      </c>
      <c r="R245" s="7">
        <f>SUMIFS(ham_data!AA:AA,ham_data!$J:$J,'DETAY-yaslandırma'!$B245,ham_data!$E:$E,'DETAY-yaslandırma'!$A245)</f>
        <v>0</v>
      </c>
      <c r="S245" s="3">
        <f>SUMIFS(DETAY!E:E,DETAY!A:A,'DETAY-yaslandırma'!A245,DETAY!B:B,'DETAY-yaslandırma'!B245)</f>
        <v>0</v>
      </c>
      <c r="T245" s="3">
        <f t="shared" si="46"/>
        <v>0</v>
      </c>
      <c r="U245" s="11">
        <f t="shared" si="47"/>
        <v>0</v>
      </c>
    </row>
    <row r="246" spans="1:21" x14ac:dyDescent="0.35">
      <c r="A246" s="10" t="s">
        <v>469</v>
      </c>
      <c r="B246" s="2" t="s">
        <v>11</v>
      </c>
      <c r="C246" s="5">
        <f>SUMIFS(DETAY!C:C,DETAY!A:A,'DETAY-yaslandırma'!A246,DETAY!B:B,'DETAY-yaslandırma'!B246)</f>
        <v>0</v>
      </c>
      <c r="D246" s="5">
        <f>SUMIFS(ham_data!AB:AB,ham_data!$J:$J,'DETAY-yaslandırma'!$B246,ham_data!$E:$E,'DETAY-yaslandırma'!$A246)</f>
        <v>0</v>
      </c>
      <c r="E246" s="5">
        <f>SUMIFS(ham_data!AC:AC,ham_data!$J:$J,'DETAY-yaslandırma'!$B246,ham_data!$E:$E,'DETAY-yaslandırma'!$A246)</f>
        <v>0</v>
      </c>
      <c r="F246" s="5">
        <f>SUMIFS(ham_data!AD:AD,ham_data!$J:$J,'DETAY-yaslandırma'!$B246,ham_data!$E:$E,'DETAY-yaslandırma'!$A246)</f>
        <v>0</v>
      </c>
      <c r="G246" s="5">
        <f>SUMIFS(ham_data!AE:AE,ham_data!$J:$J,'DETAY-yaslandırma'!$B246,ham_data!$E:$E,'DETAY-yaslandırma'!$A246)</f>
        <v>0</v>
      </c>
      <c r="H246" s="5">
        <f>SUMIFS(ham_data!AF:AF,ham_data!$J:$J,'DETAY-yaslandırma'!$B246,ham_data!$E:$E,'DETAY-yaslandırma'!$A246)</f>
        <v>0</v>
      </c>
      <c r="I246" s="5">
        <f>SUMIFS(ham_data!AG:AG,ham_data!$J:$J,'DETAY-yaslandırma'!$B246,ham_data!$E:$E,'DETAY-yaslandırma'!$A246)</f>
        <v>0</v>
      </c>
      <c r="J246" s="5">
        <f>SUMIFS(ham_data!AH:AH,ham_data!$J:$J,'DETAY-yaslandırma'!$B246,ham_data!$E:$E,'DETAY-yaslandırma'!$A246)</f>
        <v>0</v>
      </c>
      <c r="K246" s="7">
        <f>SUMIFS(DETAY!D:D,DETAY!A:A,'DETAY-yaslandırma'!A246,DETAY!B:B,'DETAY-yaslandırma'!B246)</f>
        <v>0</v>
      </c>
      <c r="L246" s="7">
        <f>SUMIFS(ham_data!U:U,ham_data!$J:$J,'DETAY-yaslandırma'!$B246,ham_data!$E:$E,'DETAY-yaslandırma'!$A246)</f>
        <v>0</v>
      </c>
      <c r="M246" s="7">
        <f>SUMIFS(ham_data!V:V,ham_data!$J:$J,'DETAY-yaslandırma'!$B246,ham_data!$E:$E,'DETAY-yaslandırma'!$A246)</f>
        <v>0</v>
      </c>
      <c r="N246" s="7">
        <f>SUMIFS(ham_data!W:W,ham_data!$J:$J,'DETAY-yaslandırma'!$B246,ham_data!$E:$E,'DETAY-yaslandırma'!$A246)</f>
        <v>0</v>
      </c>
      <c r="O246" s="7">
        <f>SUMIFS(ham_data!X:X,ham_data!$J:$J,'DETAY-yaslandırma'!$B246,ham_data!$E:$E,'DETAY-yaslandırma'!$A246)</f>
        <v>0</v>
      </c>
      <c r="P246" s="7">
        <f>SUMIFS(ham_data!Y:Y,ham_data!$J:$J,'DETAY-yaslandırma'!$B246,ham_data!$E:$E,'DETAY-yaslandırma'!$A246)</f>
        <v>0</v>
      </c>
      <c r="Q246" s="7">
        <f>SUMIFS(ham_data!Z:Z,ham_data!$J:$J,'DETAY-yaslandırma'!$B246,ham_data!$E:$E,'DETAY-yaslandırma'!$A246)</f>
        <v>0</v>
      </c>
      <c r="R246" s="7">
        <f>SUMIFS(ham_data!AA:AA,ham_data!$J:$J,'DETAY-yaslandırma'!$B246,ham_data!$E:$E,'DETAY-yaslandırma'!$A246)</f>
        <v>0</v>
      </c>
      <c r="S246" s="3">
        <f>SUMIFS(DETAY!E:E,DETAY!A:A,'DETAY-yaslandırma'!A246,DETAY!B:B,'DETAY-yaslandırma'!B246)</f>
        <v>0</v>
      </c>
      <c r="T246" s="3">
        <f t="shared" si="46"/>
        <v>0</v>
      </c>
      <c r="U246" s="11">
        <f t="shared" si="47"/>
        <v>0</v>
      </c>
    </row>
    <row r="247" spans="1:21" x14ac:dyDescent="0.35">
      <c r="A247" s="10" t="s">
        <v>473</v>
      </c>
      <c r="B247" s="2" t="s">
        <v>11</v>
      </c>
      <c r="C247" s="5">
        <f>SUMIFS(DETAY!C:C,DETAY!A:A,'DETAY-yaslandırma'!A247,DETAY!B:B,'DETAY-yaslandırma'!B247)</f>
        <v>0</v>
      </c>
      <c r="D247" s="5">
        <f>SUMIFS(ham_data!AB:AB,ham_data!$J:$J,'DETAY-yaslandırma'!$B247,ham_data!$E:$E,'DETAY-yaslandırma'!$A247)</f>
        <v>0</v>
      </c>
      <c r="E247" s="5">
        <f>SUMIFS(ham_data!AC:AC,ham_data!$J:$J,'DETAY-yaslandırma'!$B247,ham_data!$E:$E,'DETAY-yaslandırma'!$A247)</f>
        <v>0</v>
      </c>
      <c r="F247" s="5">
        <f>SUMIFS(ham_data!AD:AD,ham_data!$J:$J,'DETAY-yaslandırma'!$B247,ham_data!$E:$E,'DETAY-yaslandırma'!$A247)</f>
        <v>0</v>
      </c>
      <c r="G247" s="5">
        <f>SUMIFS(ham_data!AE:AE,ham_data!$J:$J,'DETAY-yaslandırma'!$B247,ham_data!$E:$E,'DETAY-yaslandırma'!$A247)</f>
        <v>0</v>
      </c>
      <c r="H247" s="5">
        <f>SUMIFS(ham_data!AF:AF,ham_data!$J:$J,'DETAY-yaslandırma'!$B247,ham_data!$E:$E,'DETAY-yaslandırma'!$A247)</f>
        <v>0</v>
      </c>
      <c r="I247" s="5">
        <f>SUMIFS(ham_data!AG:AG,ham_data!$J:$J,'DETAY-yaslandırma'!$B247,ham_data!$E:$E,'DETAY-yaslandırma'!$A247)</f>
        <v>0</v>
      </c>
      <c r="J247" s="5">
        <f>SUMIFS(ham_data!AH:AH,ham_data!$J:$J,'DETAY-yaslandırma'!$B247,ham_data!$E:$E,'DETAY-yaslandırma'!$A247)</f>
        <v>0</v>
      </c>
      <c r="K247" s="7">
        <f>SUMIFS(DETAY!D:D,DETAY!A:A,'DETAY-yaslandırma'!A247,DETAY!B:B,'DETAY-yaslandırma'!B247)</f>
        <v>0</v>
      </c>
      <c r="L247" s="7">
        <f>SUMIFS(ham_data!U:U,ham_data!$J:$J,'DETAY-yaslandırma'!$B247,ham_data!$E:$E,'DETAY-yaslandırma'!$A247)</f>
        <v>0</v>
      </c>
      <c r="M247" s="7">
        <f>SUMIFS(ham_data!V:V,ham_data!$J:$J,'DETAY-yaslandırma'!$B247,ham_data!$E:$E,'DETAY-yaslandırma'!$A247)</f>
        <v>0</v>
      </c>
      <c r="N247" s="7">
        <f>SUMIFS(ham_data!W:W,ham_data!$J:$J,'DETAY-yaslandırma'!$B247,ham_data!$E:$E,'DETAY-yaslandırma'!$A247)</f>
        <v>0</v>
      </c>
      <c r="O247" s="7">
        <f>SUMIFS(ham_data!X:X,ham_data!$J:$J,'DETAY-yaslandırma'!$B247,ham_data!$E:$E,'DETAY-yaslandırma'!$A247)</f>
        <v>0</v>
      </c>
      <c r="P247" s="7">
        <f>SUMIFS(ham_data!Y:Y,ham_data!$J:$J,'DETAY-yaslandırma'!$B247,ham_data!$E:$E,'DETAY-yaslandırma'!$A247)</f>
        <v>0</v>
      </c>
      <c r="Q247" s="7">
        <f>SUMIFS(ham_data!Z:Z,ham_data!$J:$J,'DETAY-yaslandırma'!$B247,ham_data!$E:$E,'DETAY-yaslandırma'!$A247)</f>
        <v>0</v>
      </c>
      <c r="R247" s="7">
        <f>SUMIFS(ham_data!AA:AA,ham_data!$J:$J,'DETAY-yaslandırma'!$B247,ham_data!$E:$E,'DETAY-yaslandırma'!$A247)</f>
        <v>0</v>
      </c>
      <c r="S247" s="3">
        <f>SUMIFS(DETAY!E:E,DETAY!A:A,'DETAY-yaslandırma'!A247,DETAY!B:B,'DETAY-yaslandırma'!B247)</f>
        <v>0</v>
      </c>
      <c r="T247" s="3">
        <f t="shared" ref="T247:T248" si="48">C247-SUM(D247:J247)</f>
        <v>0</v>
      </c>
      <c r="U247" s="11">
        <f t="shared" ref="U247:U248" si="49">K247-SUM(L247:R247)</f>
        <v>0</v>
      </c>
    </row>
    <row r="248" spans="1:21" x14ac:dyDescent="0.35">
      <c r="A248" s="10" t="s">
        <v>474</v>
      </c>
      <c r="B248" s="2" t="s">
        <v>11</v>
      </c>
      <c r="C248" s="5">
        <f>SUMIFS(DETAY!C:C,DETAY!A:A,'DETAY-yaslandırma'!A248,DETAY!B:B,'DETAY-yaslandırma'!B248)</f>
        <v>0</v>
      </c>
      <c r="D248" s="5">
        <f>SUMIFS(ham_data!AB:AB,ham_data!$J:$J,'DETAY-yaslandırma'!$B248,ham_data!$E:$E,'DETAY-yaslandırma'!$A248)</f>
        <v>0</v>
      </c>
      <c r="E248" s="5">
        <f>SUMIFS(ham_data!AC:AC,ham_data!$J:$J,'DETAY-yaslandırma'!$B248,ham_data!$E:$E,'DETAY-yaslandırma'!$A248)</f>
        <v>0</v>
      </c>
      <c r="F248" s="5">
        <f>SUMIFS(ham_data!AD:AD,ham_data!$J:$J,'DETAY-yaslandırma'!$B248,ham_data!$E:$E,'DETAY-yaslandırma'!$A248)</f>
        <v>0</v>
      </c>
      <c r="G248" s="5">
        <f>SUMIFS(ham_data!AE:AE,ham_data!$J:$J,'DETAY-yaslandırma'!$B248,ham_data!$E:$E,'DETAY-yaslandırma'!$A248)</f>
        <v>0</v>
      </c>
      <c r="H248" s="5">
        <f>SUMIFS(ham_data!AF:AF,ham_data!$J:$J,'DETAY-yaslandırma'!$B248,ham_data!$E:$E,'DETAY-yaslandırma'!$A248)</f>
        <v>0</v>
      </c>
      <c r="I248" s="5">
        <f>SUMIFS(ham_data!AG:AG,ham_data!$J:$J,'DETAY-yaslandırma'!$B248,ham_data!$E:$E,'DETAY-yaslandırma'!$A248)</f>
        <v>0</v>
      </c>
      <c r="J248" s="5">
        <f>SUMIFS(ham_data!AH:AH,ham_data!$J:$J,'DETAY-yaslandırma'!$B248,ham_data!$E:$E,'DETAY-yaslandırma'!$A248)</f>
        <v>0</v>
      </c>
      <c r="K248" s="7">
        <f>SUMIFS(DETAY!D:D,DETAY!A:A,'DETAY-yaslandırma'!A248,DETAY!B:B,'DETAY-yaslandırma'!B248)</f>
        <v>0</v>
      </c>
      <c r="L248" s="7">
        <f>SUMIFS(ham_data!U:U,ham_data!$J:$J,'DETAY-yaslandırma'!$B248,ham_data!$E:$E,'DETAY-yaslandırma'!$A248)</f>
        <v>0</v>
      </c>
      <c r="M248" s="7">
        <f>SUMIFS(ham_data!V:V,ham_data!$J:$J,'DETAY-yaslandırma'!$B248,ham_data!$E:$E,'DETAY-yaslandırma'!$A248)</f>
        <v>0</v>
      </c>
      <c r="N248" s="7">
        <f>SUMIFS(ham_data!W:W,ham_data!$J:$J,'DETAY-yaslandırma'!$B248,ham_data!$E:$E,'DETAY-yaslandırma'!$A248)</f>
        <v>0</v>
      </c>
      <c r="O248" s="7">
        <f>SUMIFS(ham_data!X:X,ham_data!$J:$J,'DETAY-yaslandırma'!$B248,ham_data!$E:$E,'DETAY-yaslandırma'!$A248)</f>
        <v>0</v>
      </c>
      <c r="P248" s="7">
        <f>SUMIFS(ham_data!Y:Y,ham_data!$J:$J,'DETAY-yaslandırma'!$B248,ham_data!$E:$E,'DETAY-yaslandırma'!$A248)</f>
        <v>0</v>
      </c>
      <c r="Q248" s="7">
        <f>SUMIFS(ham_data!Z:Z,ham_data!$J:$J,'DETAY-yaslandırma'!$B248,ham_data!$E:$E,'DETAY-yaslandırma'!$A248)</f>
        <v>0</v>
      </c>
      <c r="R248" s="7">
        <f>SUMIFS(ham_data!AA:AA,ham_data!$J:$J,'DETAY-yaslandırma'!$B248,ham_data!$E:$E,'DETAY-yaslandırma'!$A248)</f>
        <v>0</v>
      </c>
      <c r="S248" s="3">
        <f>SUMIFS(DETAY!E:E,DETAY!A:A,'DETAY-yaslandırma'!A248,DETAY!B:B,'DETAY-yaslandırma'!B248)</f>
        <v>0</v>
      </c>
      <c r="T248" s="3">
        <f t="shared" si="48"/>
        <v>0</v>
      </c>
      <c r="U248" s="11">
        <f t="shared" si="49"/>
        <v>0</v>
      </c>
    </row>
    <row r="249" spans="1:21" x14ac:dyDescent="0.35">
      <c r="A249" s="10" t="s">
        <v>452</v>
      </c>
      <c r="B249" s="2" t="s">
        <v>11</v>
      </c>
      <c r="C249" s="5">
        <f>SUMIFS(DETAY!C:C,DETAY!A:A,'DETAY-yaslandırma'!A249,DETAY!B:B,'DETAY-yaslandırma'!B249)</f>
        <v>0</v>
      </c>
      <c r="D249" s="5">
        <f>SUMIFS(ham_data!AB:AB,ham_data!$J:$J,'DETAY-yaslandırma'!$B249,ham_data!$E:$E,'DETAY-yaslandırma'!$A249)</f>
        <v>0</v>
      </c>
      <c r="E249" s="5">
        <f>SUMIFS(ham_data!AC:AC,ham_data!$J:$J,'DETAY-yaslandırma'!$B249,ham_data!$E:$E,'DETAY-yaslandırma'!$A249)</f>
        <v>0</v>
      </c>
      <c r="F249" s="5">
        <f>SUMIFS(ham_data!AD:AD,ham_data!$J:$J,'DETAY-yaslandırma'!$B249,ham_data!$E:$E,'DETAY-yaslandırma'!$A249)</f>
        <v>0</v>
      </c>
      <c r="G249" s="5">
        <f>SUMIFS(ham_data!AE:AE,ham_data!$J:$J,'DETAY-yaslandırma'!$B249,ham_data!$E:$E,'DETAY-yaslandırma'!$A249)</f>
        <v>0</v>
      </c>
      <c r="H249" s="5">
        <f>SUMIFS(ham_data!AF:AF,ham_data!$J:$J,'DETAY-yaslandırma'!$B249,ham_data!$E:$E,'DETAY-yaslandırma'!$A249)</f>
        <v>0</v>
      </c>
      <c r="I249" s="5">
        <f>SUMIFS(ham_data!AG:AG,ham_data!$J:$J,'DETAY-yaslandırma'!$B249,ham_data!$E:$E,'DETAY-yaslandırma'!$A249)</f>
        <v>0</v>
      </c>
      <c r="J249" s="5">
        <f>SUMIFS(ham_data!AH:AH,ham_data!$J:$J,'DETAY-yaslandırma'!$B249,ham_data!$E:$E,'DETAY-yaslandırma'!$A249)</f>
        <v>0</v>
      </c>
      <c r="K249" s="7">
        <f>SUMIFS(DETAY!D:D,DETAY!A:A,'DETAY-yaslandırma'!A249,DETAY!B:B,'DETAY-yaslandırma'!B249)</f>
        <v>0</v>
      </c>
      <c r="L249" s="7">
        <f>SUMIFS(ham_data!U:U,ham_data!$J:$J,'DETAY-yaslandırma'!$B249,ham_data!$E:$E,'DETAY-yaslandırma'!$A249)</f>
        <v>0</v>
      </c>
      <c r="M249" s="7">
        <f>SUMIFS(ham_data!V:V,ham_data!$J:$J,'DETAY-yaslandırma'!$B249,ham_data!$E:$E,'DETAY-yaslandırma'!$A249)</f>
        <v>0</v>
      </c>
      <c r="N249" s="7">
        <f>SUMIFS(ham_data!W:W,ham_data!$J:$J,'DETAY-yaslandırma'!$B249,ham_data!$E:$E,'DETAY-yaslandırma'!$A249)</f>
        <v>0</v>
      </c>
      <c r="O249" s="7">
        <f>SUMIFS(ham_data!X:X,ham_data!$J:$J,'DETAY-yaslandırma'!$B249,ham_data!$E:$E,'DETAY-yaslandırma'!$A249)</f>
        <v>0</v>
      </c>
      <c r="P249" s="7">
        <f>SUMIFS(ham_data!Y:Y,ham_data!$J:$J,'DETAY-yaslandırma'!$B249,ham_data!$E:$E,'DETAY-yaslandırma'!$A249)</f>
        <v>0</v>
      </c>
      <c r="Q249" s="7">
        <f>SUMIFS(ham_data!Z:Z,ham_data!$J:$J,'DETAY-yaslandırma'!$B249,ham_data!$E:$E,'DETAY-yaslandırma'!$A249)</f>
        <v>0</v>
      </c>
      <c r="R249" s="7">
        <f>SUMIFS(ham_data!AA:AA,ham_data!$J:$J,'DETAY-yaslandırma'!$B249,ham_data!$E:$E,'DETAY-yaslandırma'!$A249)</f>
        <v>0</v>
      </c>
      <c r="S249" s="3">
        <f>SUMIFS(DETAY!E:E,DETAY!A:A,'DETAY-yaslandırma'!A249,DETAY!B:B,'DETAY-yaslandırma'!B249)</f>
        <v>0</v>
      </c>
      <c r="T249" s="3">
        <f t="shared" ref="T249" si="50">C249-SUM(D249:J249)</f>
        <v>0</v>
      </c>
      <c r="U249" s="11">
        <f t="shared" ref="U249" si="51">K249-SUM(L249:R249)</f>
        <v>0</v>
      </c>
    </row>
    <row r="250" spans="1:21" x14ac:dyDescent="0.35">
      <c r="A250" s="10" t="s">
        <v>477</v>
      </c>
      <c r="B250" s="2" t="s">
        <v>11</v>
      </c>
      <c r="C250" s="5">
        <f>SUMIFS(DETAY!C:C,DETAY!A:A,'DETAY-yaslandırma'!A250,DETAY!B:B,'DETAY-yaslandırma'!B250)</f>
        <v>0</v>
      </c>
      <c r="D250" s="5">
        <f>SUMIFS(ham_data!AB:AB,ham_data!$J:$J,'DETAY-yaslandırma'!$B250,ham_data!$E:$E,'DETAY-yaslandırma'!$A250)</f>
        <v>0</v>
      </c>
      <c r="E250" s="5">
        <f>SUMIFS(ham_data!AC:AC,ham_data!$J:$J,'DETAY-yaslandırma'!$B250,ham_data!$E:$E,'DETAY-yaslandırma'!$A250)</f>
        <v>0</v>
      </c>
      <c r="F250" s="5">
        <f>SUMIFS(ham_data!AD:AD,ham_data!$J:$J,'DETAY-yaslandırma'!$B250,ham_data!$E:$E,'DETAY-yaslandırma'!$A250)</f>
        <v>0</v>
      </c>
      <c r="G250" s="5">
        <f>SUMIFS(ham_data!AE:AE,ham_data!$J:$J,'DETAY-yaslandırma'!$B250,ham_data!$E:$E,'DETAY-yaslandırma'!$A250)</f>
        <v>0</v>
      </c>
      <c r="H250" s="5">
        <f>SUMIFS(ham_data!AF:AF,ham_data!$J:$J,'DETAY-yaslandırma'!$B250,ham_data!$E:$E,'DETAY-yaslandırma'!$A250)</f>
        <v>0</v>
      </c>
      <c r="I250" s="5">
        <f>SUMIFS(ham_data!AG:AG,ham_data!$J:$J,'DETAY-yaslandırma'!$B250,ham_data!$E:$E,'DETAY-yaslandırma'!$A250)</f>
        <v>0</v>
      </c>
      <c r="J250" s="5">
        <f>SUMIFS(ham_data!AH:AH,ham_data!$J:$J,'DETAY-yaslandırma'!$B250,ham_data!$E:$E,'DETAY-yaslandırma'!$A250)</f>
        <v>0</v>
      </c>
      <c r="K250" s="7">
        <f>SUMIFS(DETAY!D:D,DETAY!A:A,'DETAY-yaslandırma'!A250,DETAY!B:B,'DETAY-yaslandırma'!B250)</f>
        <v>0</v>
      </c>
      <c r="L250" s="7">
        <f>SUMIFS(ham_data!U:U,ham_data!$J:$J,'DETAY-yaslandırma'!$B250,ham_data!$E:$E,'DETAY-yaslandırma'!$A250)</f>
        <v>0</v>
      </c>
      <c r="M250" s="7">
        <f>SUMIFS(ham_data!V:V,ham_data!$J:$J,'DETAY-yaslandırma'!$B250,ham_data!$E:$E,'DETAY-yaslandırma'!$A250)</f>
        <v>0</v>
      </c>
      <c r="N250" s="7">
        <f>SUMIFS(ham_data!W:W,ham_data!$J:$J,'DETAY-yaslandırma'!$B250,ham_data!$E:$E,'DETAY-yaslandırma'!$A250)</f>
        <v>0</v>
      </c>
      <c r="O250" s="7">
        <f>SUMIFS(ham_data!X:X,ham_data!$J:$J,'DETAY-yaslandırma'!$B250,ham_data!$E:$E,'DETAY-yaslandırma'!$A250)</f>
        <v>0</v>
      </c>
      <c r="P250" s="7">
        <f>SUMIFS(ham_data!Y:Y,ham_data!$J:$J,'DETAY-yaslandırma'!$B250,ham_data!$E:$E,'DETAY-yaslandırma'!$A250)</f>
        <v>0</v>
      </c>
      <c r="Q250" s="7">
        <f>SUMIFS(ham_data!Z:Z,ham_data!$J:$J,'DETAY-yaslandırma'!$B250,ham_data!$E:$E,'DETAY-yaslandırma'!$A250)</f>
        <v>0</v>
      </c>
      <c r="R250" s="7">
        <f>SUMIFS(ham_data!AA:AA,ham_data!$J:$J,'DETAY-yaslandırma'!$B250,ham_data!$E:$E,'DETAY-yaslandırma'!$A250)</f>
        <v>0</v>
      </c>
      <c r="S250" s="3">
        <f>SUMIFS(DETAY!E:E,DETAY!A:A,'DETAY-yaslandırma'!A250,DETAY!B:B,'DETAY-yaslandırma'!B250)</f>
        <v>0</v>
      </c>
      <c r="T250" s="3">
        <f t="shared" ref="T250:T253" si="52">C250-SUM(D250:J250)</f>
        <v>0</v>
      </c>
      <c r="U250" s="11">
        <f t="shared" ref="U250:U253" si="53">K250-SUM(L250:R250)</f>
        <v>0</v>
      </c>
    </row>
    <row r="251" spans="1:21" x14ac:dyDescent="0.35">
      <c r="A251" s="10" t="s">
        <v>486</v>
      </c>
      <c r="B251" s="2" t="s">
        <v>11</v>
      </c>
      <c r="C251" s="5">
        <f>SUMIFS(DETAY!C:C,DETAY!A:A,'DETAY-yaslandırma'!A251,DETAY!B:B,'DETAY-yaslandırma'!B251)</f>
        <v>0</v>
      </c>
      <c r="D251" s="5">
        <f>SUMIFS(ham_data!AB:AB,ham_data!$J:$J,'DETAY-yaslandırma'!$B251,ham_data!$E:$E,'DETAY-yaslandırma'!$A251)</f>
        <v>0</v>
      </c>
      <c r="E251" s="5">
        <f>SUMIFS(ham_data!AC:AC,ham_data!$J:$J,'DETAY-yaslandırma'!$B251,ham_data!$E:$E,'DETAY-yaslandırma'!$A251)</f>
        <v>0</v>
      </c>
      <c r="F251" s="5">
        <f>SUMIFS(ham_data!AD:AD,ham_data!$J:$J,'DETAY-yaslandırma'!$B251,ham_data!$E:$E,'DETAY-yaslandırma'!$A251)</f>
        <v>0</v>
      </c>
      <c r="G251" s="5">
        <f>SUMIFS(ham_data!AE:AE,ham_data!$J:$J,'DETAY-yaslandırma'!$B251,ham_data!$E:$E,'DETAY-yaslandırma'!$A251)</f>
        <v>0</v>
      </c>
      <c r="H251" s="5">
        <f>SUMIFS(ham_data!AF:AF,ham_data!$J:$J,'DETAY-yaslandırma'!$B251,ham_data!$E:$E,'DETAY-yaslandırma'!$A251)</f>
        <v>0</v>
      </c>
      <c r="I251" s="5">
        <f>SUMIFS(ham_data!AG:AG,ham_data!$J:$J,'DETAY-yaslandırma'!$B251,ham_data!$E:$E,'DETAY-yaslandırma'!$A251)</f>
        <v>0</v>
      </c>
      <c r="J251" s="5">
        <f>SUMIFS(ham_data!AH:AH,ham_data!$J:$J,'DETAY-yaslandırma'!$B251,ham_data!$E:$E,'DETAY-yaslandırma'!$A251)</f>
        <v>0</v>
      </c>
      <c r="K251" s="7">
        <f>SUMIFS(DETAY!D:D,DETAY!A:A,'DETAY-yaslandırma'!A251,DETAY!B:B,'DETAY-yaslandırma'!B251)</f>
        <v>0</v>
      </c>
      <c r="L251" s="7">
        <f>SUMIFS(ham_data!U:U,ham_data!$J:$J,'DETAY-yaslandırma'!$B251,ham_data!$E:$E,'DETAY-yaslandırma'!$A251)</f>
        <v>0</v>
      </c>
      <c r="M251" s="7">
        <f>SUMIFS(ham_data!V:V,ham_data!$J:$J,'DETAY-yaslandırma'!$B251,ham_data!$E:$E,'DETAY-yaslandırma'!$A251)</f>
        <v>0</v>
      </c>
      <c r="N251" s="7">
        <f>SUMIFS(ham_data!W:W,ham_data!$J:$J,'DETAY-yaslandırma'!$B251,ham_data!$E:$E,'DETAY-yaslandırma'!$A251)</f>
        <v>0</v>
      </c>
      <c r="O251" s="7">
        <f>SUMIFS(ham_data!X:X,ham_data!$J:$J,'DETAY-yaslandırma'!$B251,ham_data!$E:$E,'DETAY-yaslandırma'!$A251)</f>
        <v>0</v>
      </c>
      <c r="P251" s="7">
        <f>SUMIFS(ham_data!Y:Y,ham_data!$J:$J,'DETAY-yaslandırma'!$B251,ham_data!$E:$E,'DETAY-yaslandırma'!$A251)</f>
        <v>0</v>
      </c>
      <c r="Q251" s="7">
        <f>SUMIFS(ham_data!Z:Z,ham_data!$J:$J,'DETAY-yaslandırma'!$B251,ham_data!$E:$E,'DETAY-yaslandırma'!$A251)</f>
        <v>0</v>
      </c>
      <c r="R251" s="7">
        <f>SUMIFS(ham_data!AA:AA,ham_data!$J:$J,'DETAY-yaslandırma'!$B251,ham_data!$E:$E,'DETAY-yaslandırma'!$A251)</f>
        <v>0</v>
      </c>
      <c r="S251" s="3">
        <f>SUMIFS(DETAY!E:E,DETAY!A:A,'DETAY-yaslandırma'!A251,DETAY!B:B,'DETAY-yaslandırma'!B251)</f>
        <v>0</v>
      </c>
      <c r="T251" s="3">
        <f t="shared" si="52"/>
        <v>0</v>
      </c>
      <c r="U251" s="11">
        <f t="shared" si="53"/>
        <v>0</v>
      </c>
    </row>
    <row r="252" spans="1:21" x14ac:dyDescent="0.35">
      <c r="A252" s="10" t="s">
        <v>475</v>
      </c>
      <c r="B252" s="2" t="s">
        <v>11</v>
      </c>
      <c r="C252" s="5">
        <f>SUMIFS(DETAY!C:C,DETAY!A:A,'DETAY-yaslandırma'!A252,DETAY!B:B,'DETAY-yaslandırma'!B252)</f>
        <v>78650</v>
      </c>
      <c r="D252" s="5">
        <f>SUMIFS(ham_data!AB:AB,ham_data!$J:$J,'DETAY-yaslandırma'!$B252,ham_data!$E:$E,'DETAY-yaslandırma'!$A252)</f>
        <v>0</v>
      </c>
      <c r="E252" s="5">
        <f>SUMIFS(ham_data!AC:AC,ham_data!$J:$J,'DETAY-yaslandırma'!$B252,ham_data!$E:$E,'DETAY-yaslandırma'!$A252)</f>
        <v>0</v>
      </c>
      <c r="F252" s="5">
        <f>SUMIFS(ham_data!AD:AD,ham_data!$J:$J,'DETAY-yaslandırma'!$B252,ham_data!$E:$E,'DETAY-yaslandırma'!$A252)</f>
        <v>0</v>
      </c>
      <c r="G252" s="5">
        <f>SUMIFS(ham_data!AE:AE,ham_data!$J:$J,'DETAY-yaslandırma'!$B252,ham_data!$E:$E,'DETAY-yaslandırma'!$A252)</f>
        <v>78650</v>
      </c>
      <c r="H252" s="5">
        <f>SUMIFS(ham_data!AF:AF,ham_data!$J:$J,'DETAY-yaslandırma'!$B252,ham_data!$E:$E,'DETAY-yaslandırma'!$A252)</f>
        <v>0</v>
      </c>
      <c r="I252" s="5">
        <f>SUMIFS(ham_data!AG:AG,ham_data!$J:$J,'DETAY-yaslandırma'!$B252,ham_data!$E:$E,'DETAY-yaslandırma'!$A252)</f>
        <v>0</v>
      </c>
      <c r="J252" s="5">
        <f>SUMIFS(ham_data!AH:AH,ham_data!$J:$J,'DETAY-yaslandırma'!$B252,ham_data!$E:$E,'DETAY-yaslandırma'!$A252)</f>
        <v>0</v>
      </c>
      <c r="K252" s="7">
        <f>SUMIFS(DETAY!D:D,DETAY!A:A,'DETAY-yaslandırma'!A252,DETAY!B:B,'DETAY-yaslandırma'!B252)</f>
        <v>0</v>
      </c>
      <c r="L252" s="7">
        <f>SUMIFS(ham_data!U:U,ham_data!$J:$J,'DETAY-yaslandırma'!$B252,ham_data!$E:$E,'DETAY-yaslandırma'!$A252)</f>
        <v>0</v>
      </c>
      <c r="M252" s="7">
        <f>SUMIFS(ham_data!V:V,ham_data!$J:$J,'DETAY-yaslandırma'!$B252,ham_data!$E:$E,'DETAY-yaslandırma'!$A252)</f>
        <v>0</v>
      </c>
      <c r="N252" s="7">
        <f>SUMIFS(ham_data!W:W,ham_data!$J:$J,'DETAY-yaslandırma'!$B252,ham_data!$E:$E,'DETAY-yaslandırma'!$A252)</f>
        <v>0</v>
      </c>
      <c r="O252" s="7">
        <f>SUMIFS(ham_data!X:X,ham_data!$J:$J,'DETAY-yaslandırma'!$B252,ham_data!$E:$E,'DETAY-yaslandırma'!$A252)</f>
        <v>0</v>
      </c>
      <c r="P252" s="7">
        <f>SUMIFS(ham_data!Y:Y,ham_data!$J:$J,'DETAY-yaslandırma'!$B252,ham_data!$E:$E,'DETAY-yaslandırma'!$A252)</f>
        <v>0</v>
      </c>
      <c r="Q252" s="7">
        <f>SUMIFS(ham_data!Z:Z,ham_data!$J:$J,'DETAY-yaslandırma'!$B252,ham_data!$E:$E,'DETAY-yaslandırma'!$A252)</f>
        <v>0</v>
      </c>
      <c r="R252" s="7">
        <f>SUMIFS(ham_data!AA:AA,ham_data!$J:$J,'DETAY-yaslandırma'!$B252,ham_data!$E:$E,'DETAY-yaslandırma'!$A252)</f>
        <v>0</v>
      </c>
      <c r="S252" s="3">
        <f>SUMIFS(DETAY!E:E,DETAY!A:A,'DETAY-yaslandırma'!A252,DETAY!B:B,'DETAY-yaslandırma'!B252)</f>
        <v>78650</v>
      </c>
      <c r="T252" s="3">
        <f t="shared" si="52"/>
        <v>0</v>
      </c>
      <c r="U252" s="11">
        <f t="shared" si="53"/>
        <v>0</v>
      </c>
    </row>
    <row r="253" spans="1:21" x14ac:dyDescent="0.35">
      <c r="A253" s="10" t="s">
        <v>490</v>
      </c>
      <c r="B253" s="2" t="s">
        <v>37</v>
      </c>
      <c r="C253" s="5">
        <f>SUMIFS(DETAY!C:C,DETAY!A:A,'DETAY-yaslandırma'!A253,DETAY!B:B,'DETAY-yaslandırma'!B253)</f>
        <v>110</v>
      </c>
      <c r="D253" s="5">
        <f>SUMIFS(ham_data!AB:AB,ham_data!$J:$J,'DETAY-yaslandırma'!$B253,ham_data!$E:$E,'DETAY-yaslandırma'!$A253)</f>
        <v>110</v>
      </c>
      <c r="E253" s="5">
        <f>SUMIFS(ham_data!AC:AC,ham_data!$J:$J,'DETAY-yaslandırma'!$B253,ham_data!$E:$E,'DETAY-yaslandırma'!$A253)</f>
        <v>0</v>
      </c>
      <c r="F253" s="5">
        <f>SUMIFS(ham_data!AD:AD,ham_data!$J:$J,'DETAY-yaslandırma'!$B253,ham_data!$E:$E,'DETAY-yaslandırma'!$A253)</f>
        <v>0</v>
      </c>
      <c r="G253" s="5">
        <f>SUMIFS(ham_data!AE:AE,ham_data!$J:$J,'DETAY-yaslandırma'!$B253,ham_data!$E:$E,'DETAY-yaslandırma'!$A253)</f>
        <v>0</v>
      </c>
      <c r="H253" s="5">
        <f>SUMIFS(ham_data!AF:AF,ham_data!$J:$J,'DETAY-yaslandırma'!$B253,ham_data!$E:$E,'DETAY-yaslandırma'!$A253)</f>
        <v>0</v>
      </c>
      <c r="I253" s="5">
        <f>SUMIFS(ham_data!AG:AG,ham_data!$J:$J,'DETAY-yaslandırma'!$B253,ham_data!$E:$E,'DETAY-yaslandırma'!$A253)</f>
        <v>0</v>
      </c>
      <c r="J253" s="5">
        <f>SUMIFS(ham_data!AH:AH,ham_data!$J:$J,'DETAY-yaslandırma'!$B253,ham_data!$E:$E,'DETAY-yaslandırma'!$A253)</f>
        <v>0</v>
      </c>
      <c r="K253" s="7">
        <f>SUMIFS(DETAY!D:D,DETAY!A:A,'DETAY-yaslandırma'!A253,DETAY!B:B,'DETAY-yaslandırma'!B253)</f>
        <v>0</v>
      </c>
      <c r="L253" s="7">
        <f>SUMIFS(ham_data!U:U,ham_data!$J:$J,'DETAY-yaslandırma'!$B253,ham_data!$E:$E,'DETAY-yaslandırma'!$A253)</f>
        <v>0</v>
      </c>
      <c r="M253" s="7">
        <f>SUMIFS(ham_data!V:V,ham_data!$J:$J,'DETAY-yaslandırma'!$B253,ham_data!$E:$E,'DETAY-yaslandırma'!$A253)</f>
        <v>0</v>
      </c>
      <c r="N253" s="7">
        <f>SUMIFS(ham_data!W:W,ham_data!$J:$J,'DETAY-yaslandırma'!$B253,ham_data!$E:$E,'DETAY-yaslandırma'!$A253)</f>
        <v>0</v>
      </c>
      <c r="O253" s="7">
        <f>SUMIFS(ham_data!X:X,ham_data!$J:$J,'DETAY-yaslandırma'!$B253,ham_data!$E:$E,'DETAY-yaslandırma'!$A253)</f>
        <v>0</v>
      </c>
      <c r="P253" s="7">
        <f>SUMIFS(ham_data!Y:Y,ham_data!$J:$J,'DETAY-yaslandırma'!$B253,ham_data!$E:$E,'DETAY-yaslandırma'!$A253)</f>
        <v>0</v>
      </c>
      <c r="Q253" s="7">
        <f>SUMIFS(ham_data!Z:Z,ham_data!$J:$J,'DETAY-yaslandırma'!$B253,ham_data!$E:$E,'DETAY-yaslandırma'!$A253)</f>
        <v>0</v>
      </c>
      <c r="R253" s="7">
        <f>SUMIFS(ham_data!AA:AA,ham_data!$J:$J,'DETAY-yaslandırma'!$B253,ham_data!$E:$E,'DETAY-yaslandırma'!$A253)</f>
        <v>0</v>
      </c>
      <c r="S253" s="3">
        <f>SUMIFS(DETAY!E:E,DETAY!A:A,'DETAY-yaslandırma'!A253,DETAY!B:B,'DETAY-yaslandırma'!B253)</f>
        <v>110</v>
      </c>
      <c r="T253" s="3">
        <f t="shared" si="52"/>
        <v>0</v>
      </c>
      <c r="U253" s="11">
        <f t="shared" si="53"/>
        <v>0</v>
      </c>
    </row>
    <row r="254" spans="1:21" ht="15" thickBot="1" x14ac:dyDescent="0.4">
      <c r="A254" s="27" t="s">
        <v>501</v>
      </c>
      <c r="B254" s="12" t="s">
        <v>11</v>
      </c>
      <c r="C254" s="24">
        <f>SUMIFS(DETAY!C:C,DETAY!A:A,'DETAY-yaslandırma'!A254,DETAY!B:B,'DETAY-yaslandırma'!B254)</f>
        <v>0</v>
      </c>
      <c r="D254" s="24">
        <f>SUMIFS(ham_data!AB:AB,ham_data!$J:$J,'DETAY-yaslandırma'!$B254,ham_data!$E:$E,'DETAY-yaslandırma'!$A254)</f>
        <v>0</v>
      </c>
      <c r="E254" s="24">
        <f>SUMIFS(ham_data!AC:AC,ham_data!$J:$J,'DETAY-yaslandırma'!$B254,ham_data!$E:$E,'DETAY-yaslandırma'!$A254)</f>
        <v>0</v>
      </c>
      <c r="F254" s="24">
        <f>SUMIFS(ham_data!AD:AD,ham_data!$J:$J,'DETAY-yaslandırma'!$B254,ham_data!$E:$E,'DETAY-yaslandırma'!$A254)</f>
        <v>0</v>
      </c>
      <c r="G254" s="24">
        <f>SUMIFS(ham_data!AE:AE,ham_data!$J:$J,'DETAY-yaslandırma'!$B254,ham_data!$E:$E,'DETAY-yaslandırma'!$A254)</f>
        <v>0</v>
      </c>
      <c r="H254" s="24">
        <f>SUMIFS(ham_data!AF:AF,ham_data!$J:$J,'DETAY-yaslandırma'!$B254,ham_data!$E:$E,'DETAY-yaslandırma'!$A254)</f>
        <v>0</v>
      </c>
      <c r="I254" s="24">
        <f>SUMIFS(ham_data!AG:AG,ham_data!$J:$J,'DETAY-yaslandırma'!$B254,ham_data!$E:$E,'DETAY-yaslandırma'!$A254)</f>
        <v>0</v>
      </c>
      <c r="J254" s="24">
        <f>SUMIFS(ham_data!AH:AH,ham_data!$J:$J,'DETAY-yaslandırma'!$B254,ham_data!$E:$E,'DETAY-yaslandırma'!$A254)</f>
        <v>0</v>
      </c>
      <c r="K254" s="25">
        <f>SUMIFS(DETAY!D:D,DETAY!A:A,'DETAY-yaslandırma'!A254,DETAY!B:B,'DETAY-yaslandırma'!B254)</f>
        <v>0</v>
      </c>
      <c r="L254" s="25">
        <f>SUMIFS(ham_data!U:U,ham_data!$J:$J,'DETAY-yaslandırma'!$B254,ham_data!$E:$E,'DETAY-yaslandırma'!$A254)</f>
        <v>0</v>
      </c>
      <c r="M254" s="25">
        <f>SUMIFS(ham_data!V:V,ham_data!$J:$J,'DETAY-yaslandırma'!$B254,ham_data!$E:$E,'DETAY-yaslandırma'!$A254)</f>
        <v>0</v>
      </c>
      <c r="N254" s="25">
        <f>SUMIFS(ham_data!W:W,ham_data!$J:$J,'DETAY-yaslandırma'!$B254,ham_data!$E:$E,'DETAY-yaslandırma'!$A254)</f>
        <v>0</v>
      </c>
      <c r="O254" s="25">
        <f>SUMIFS(ham_data!X:X,ham_data!$J:$J,'DETAY-yaslandırma'!$B254,ham_data!$E:$E,'DETAY-yaslandırma'!$A254)</f>
        <v>0</v>
      </c>
      <c r="P254" s="25">
        <f>SUMIFS(ham_data!Y:Y,ham_data!$J:$J,'DETAY-yaslandırma'!$B254,ham_data!$E:$E,'DETAY-yaslandırma'!$A254)</f>
        <v>0</v>
      </c>
      <c r="Q254" s="25">
        <f>SUMIFS(ham_data!Z:Z,ham_data!$J:$J,'DETAY-yaslandırma'!$B254,ham_data!$E:$E,'DETAY-yaslandırma'!$A254)</f>
        <v>0</v>
      </c>
      <c r="R254" s="25">
        <f>SUMIFS(ham_data!AA:AA,ham_data!$J:$J,'DETAY-yaslandırma'!$B254,ham_data!$E:$E,'DETAY-yaslandırma'!$A254)</f>
        <v>0</v>
      </c>
      <c r="S254" s="16">
        <f>SUMIFS(DETAY!E:E,DETAY!A:A,'DETAY-yaslandırma'!A254,DETAY!B:B,'DETAY-yaslandırma'!B254)</f>
        <v>0</v>
      </c>
      <c r="T254" s="16">
        <f t="shared" ref="T254" si="54">C254-SUM(D254:J254)</f>
        <v>0</v>
      </c>
      <c r="U254" s="17">
        <f t="shared" ref="U254" si="55">K254-SUM(L254:R254)</f>
        <v>0</v>
      </c>
    </row>
    <row r="255" spans="1:21" ht="15" thickBot="1" x14ac:dyDescent="0.4">
      <c r="A255" t="s">
        <v>566</v>
      </c>
      <c r="B255" s="12" t="s">
        <v>11</v>
      </c>
      <c r="C255" s="24">
        <f>SUMIFS(DETAY!C:C,DETAY!A:A,'DETAY-yaslandırma'!A255,DETAY!B:B,'DETAY-yaslandırma'!B255)</f>
        <v>113750.7</v>
      </c>
      <c r="D255" s="24">
        <f>SUMIFS(ham_data!AB:AB,ham_data!$J:$J,'DETAY-yaslandırma'!$B255,ham_data!$E:$E,'DETAY-yaslandırma'!$A255)</f>
        <v>0</v>
      </c>
      <c r="E255" s="24">
        <f>SUMIFS(ham_data!AC:AC,ham_data!$J:$J,'DETAY-yaslandırma'!$B255,ham_data!$E:$E,'DETAY-yaslandırma'!$A255)</f>
        <v>113750.7</v>
      </c>
      <c r="F255" s="24">
        <f>SUMIFS(ham_data!AD:AD,ham_data!$J:$J,'DETAY-yaslandırma'!$B255,ham_data!$E:$E,'DETAY-yaslandırma'!$A255)</f>
        <v>0</v>
      </c>
      <c r="G255" s="24">
        <f>SUMIFS(ham_data!AE:AE,ham_data!$J:$J,'DETAY-yaslandırma'!$B255,ham_data!$E:$E,'DETAY-yaslandırma'!$A255)</f>
        <v>0</v>
      </c>
      <c r="H255" s="24">
        <f>SUMIFS(ham_data!AF:AF,ham_data!$J:$J,'DETAY-yaslandırma'!$B255,ham_data!$E:$E,'DETAY-yaslandırma'!$A255)</f>
        <v>0</v>
      </c>
      <c r="I255" s="24">
        <f>SUMIFS(ham_data!AG:AG,ham_data!$J:$J,'DETAY-yaslandırma'!$B255,ham_data!$E:$E,'DETAY-yaslandırma'!$A255)</f>
        <v>0</v>
      </c>
      <c r="J255" s="24">
        <f>SUMIFS(ham_data!AH:AH,ham_data!$J:$J,'DETAY-yaslandırma'!$B255,ham_data!$E:$E,'DETAY-yaslandırma'!$A255)</f>
        <v>0</v>
      </c>
      <c r="K255" s="25">
        <f>SUMIFS(DETAY!D:D,DETAY!A:A,'DETAY-yaslandırma'!A255,DETAY!B:B,'DETAY-yaslandırma'!B255)</f>
        <v>0</v>
      </c>
      <c r="L255" s="25">
        <f>SUMIFS(ham_data!U:U,ham_data!$J:$J,'DETAY-yaslandırma'!$B255,ham_data!$E:$E,'DETAY-yaslandırma'!$A255)</f>
        <v>0</v>
      </c>
      <c r="M255" s="25">
        <f>SUMIFS(ham_data!V:V,ham_data!$J:$J,'DETAY-yaslandırma'!$B255,ham_data!$E:$E,'DETAY-yaslandırma'!$A255)</f>
        <v>0</v>
      </c>
      <c r="N255" s="25">
        <f>SUMIFS(ham_data!W:W,ham_data!$J:$J,'DETAY-yaslandırma'!$B255,ham_data!$E:$E,'DETAY-yaslandırma'!$A255)</f>
        <v>0</v>
      </c>
      <c r="O255" s="25">
        <f>SUMIFS(ham_data!X:X,ham_data!$J:$J,'DETAY-yaslandırma'!$B255,ham_data!$E:$E,'DETAY-yaslandırma'!$A255)</f>
        <v>0</v>
      </c>
      <c r="P255" s="25">
        <f>SUMIFS(ham_data!Y:Y,ham_data!$J:$J,'DETAY-yaslandırma'!$B255,ham_data!$E:$E,'DETAY-yaslandırma'!$A255)</f>
        <v>0</v>
      </c>
      <c r="Q255" s="25">
        <f>SUMIFS(ham_data!Z:Z,ham_data!$J:$J,'DETAY-yaslandırma'!$B255,ham_data!$E:$E,'DETAY-yaslandırma'!$A255)</f>
        <v>0</v>
      </c>
      <c r="R255" s="25">
        <f>SUMIFS(ham_data!AA:AA,ham_data!$J:$J,'DETAY-yaslandırma'!$B255,ham_data!$E:$E,'DETAY-yaslandırma'!$A255)</f>
        <v>0</v>
      </c>
      <c r="S255" s="16">
        <f>SUMIFS(DETAY!E:E,DETAY!A:A,'DETAY-yaslandırma'!A255,DETAY!B:B,'DETAY-yaslandırma'!B255)</f>
        <v>113750.7</v>
      </c>
      <c r="T255" s="16">
        <f t="shared" ref="T255:T261" si="56">C255-SUM(D255:J255)</f>
        <v>0</v>
      </c>
      <c r="U255" s="17">
        <f t="shared" ref="U255:U261" si="57">K255-SUM(L255:R255)</f>
        <v>0</v>
      </c>
    </row>
    <row r="256" spans="1:21" ht="15" thickBot="1" x14ac:dyDescent="0.4">
      <c r="A256" t="s">
        <v>567</v>
      </c>
      <c r="B256" s="12" t="s">
        <v>11</v>
      </c>
      <c r="C256" s="24">
        <f>SUMIFS(DETAY!C:C,DETAY!A:A,'DETAY-yaslandırma'!A256,DETAY!B:B,'DETAY-yaslandırma'!B256)</f>
        <v>0</v>
      </c>
      <c r="D256" s="24">
        <f>SUMIFS(ham_data!AB:AB,ham_data!$J:$J,'DETAY-yaslandırma'!$B256,ham_data!$E:$E,'DETAY-yaslandırma'!$A256)</f>
        <v>0</v>
      </c>
      <c r="E256" s="24">
        <f>SUMIFS(ham_data!AC:AC,ham_data!$J:$J,'DETAY-yaslandırma'!$B256,ham_data!$E:$E,'DETAY-yaslandırma'!$A256)</f>
        <v>0</v>
      </c>
      <c r="F256" s="24">
        <f>SUMIFS(ham_data!AD:AD,ham_data!$J:$J,'DETAY-yaslandırma'!$B256,ham_data!$E:$E,'DETAY-yaslandırma'!$A256)</f>
        <v>0</v>
      </c>
      <c r="G256" s="24">
        <f>SUMIFS(ham_data!AE:AE,ham_data!$J:$J,'DETAY-yaslandırma'!$B256,ham_data!$E:$E,'DETAY-yaslandırma'!$A256)</f>
        <v>0</v>
      </c>
      <c r="H256" s="24">
        <f>SUMIFS(ham_data!AF:AF,ham_data!$J:$J,'DETAY-yaslandırma'!$B256,ham_data!$E:$E,'DETAY-yaslandırma'!$A256)</f>
        <v>0</v>
      </c>
      <c r="I256" s="24">
        <f>SUMIFS(ham_data!AG:AG,ham_data!$J:$J,'DETAY-yaslandırma'!$B256,ham_data!$E:$E,'DETAY-yaslandırma'!$A256)</f>
        <v>0</v>
      </c>
      <c r="J256" s="24">
        <f>SUMIFS(ham_data!AH:AH,ham_data!$J:$J,'DETAY-yaslandırma'!$B256,ham_data!$E:$E,'DETAY-yaslandırma'!$A256)</f>
        <v>0</v>
      </c>
      <c r="K256" s="25">
        <f>SUMIFS(DETAY!D:D,DETAY!A:A,'DETAY-yaslandırma'!A256,DETAY!B:B,'DETAY-yaslandırma'!B256)</f>
        <v>0</v>
      </c>
      <c r="L256" s="25">
        <f>SUMIFS(ham_data!U:U,ham_data!$J:$J,'DETAY-yaslandırma'!$B256,ham_data!$E:$E,'DETAY-yaslandırma'!$A256)</f>
        <v>0</v>
      </c>
      <c r="M256" s="25">
        <f>SUMIFS(ham_data!V:V,ham_data!$J:$J,'DETAY-yaslandırma'!$B256,ham_data!$E:$E,'DETAY-yaslandırma'!$A256)</f>
        <v>0</v>
      </c>
      <c r="N256" s="25">
        <f>SUMIFS(ham_data!W:W,ham_data!$J:$J,'DETAY-yaslandırma'!$B256,ham_data!$E:$E,'DETAY-yaslandırma'!$A256)</f>
        <v>0</v>
      </c>
      <c r="O256" s="25">
        <f>SUMIFS(ham_data!X:X,ham_data!$J:$J,'DETAY-yaslandırma'!$B256,ham_data!$E:$E,'DETAY-yaslandırma'!$A256)</f>
        <v>0</v>
      </c>
      <c r="P256" s="25">
        <f>SUMIFS(ham_data!Y:Y,ham_data!$J:$J,'DETAY-yaslandırma'!$B256,ham_data!$E:$E,'DETAY-yaslandırma'!$A256)</f>
        <v>0</v>
      </c>
      <c r="Q256" s="25">
        <f>SUMIFS(ham_data!Z:Z,ham_data!$J:$J,'DETAY-yaslandırma'!$B256,ham_data!$E:$E,'DETAY-yaslandırma'!$A256)</f>
        <v>0</v>
      </c>
      <c r="R256" s="25">
        <f>SUMIFS(ham_data!AA:AA,ham_data!$J:$J,'DETAY-yaslandırma'!$B256,ham_data!$E:$E,'DETAY-yaslandırma'!$A256)</f>
        <v>0</v>
      </c>
      <c r="S256" s="16">
        <f>SUMIFS(DETAY!E:E,DETAY!A:A,'DETAY-yaslandırma'!A256,DETAY!B:B,'DETAY-yaslandırma'!B256)</f>
        <v>0</v>
      </c>
      <c r="T256" s="16">
        <f t="shared" si="56"/>
        <v>0</v>
      </c>
      <c r="U256" s="17">
        <f t="shared" si="57"/>
        <v>0</v>
      </c>
    </row>
    <row r="257" spans="1:21" ht="15" thickBot="1" x14ac:dyDescent="0.4">
      <c r="A257" t="s">
        <v>537</v>
      </c>
      <c r="B257" s="12" t="s">
        <v>11</v>
      </c>
      <c r="C257" s="24">
        <f>SUMIFS(DETAY!C:C,DETAY!A:A,'DETAY-yaslandırma'!A257,DETAY!B:B,'DETAY-yaslandırma'!B257)</f>
        <v>0.08</v>
      </c>
      <c r="D257" s="24">
        <f>SUMIFS(ham_data!AB:AB,ham_data!$J:$J,'DETAY-yaslandırma'!$B257,ham_data!$E:$E,'DETAY-yaslandırma'!$A257)</f>
        <v>0</v>
      </c>
      <c r="E257" s="24">
        <f>SUMIFS(ham_data!AC:AC,ham_data!$J:$J,'DETAY-yaslandırma'!$B257,ham_data!$E:$E,'DETAY-yaslandırma'!$A257)</f>
        <v>0.08</v>
      </c>
      <c r="F257" s="24">
        <f>SUMIFS(ham_data!AD:AD,ham_data!$J:$J,'DETAY-yaslandırma'!$B257,ham_data!$E:$E,'DETAY-yaslandırma'!$A257)</f>
        <v>0</v>
      </c>
      <c r="G257" s="24">
        <f>SUMIFS(ham_data!AE:AE,ham_data!$J:$J,'DETAY-yaslandırma'!$B257,ham_data!$E:$E,'DETAY-yaslandırma'!$A257)</f>
        <v>0</v>
      </c>
      <c r="H257" s="24">
        <f>SUMIFS(ham_data!AF:AF,ham_data!$J:$J,'DETAY-yaslandırma'!$B257,ham_data!$E:$E,'DETAY-yaslandırma'!$A257)</f>
        <v>0</v>
      </c>
      <c r="I257" s="24">
        <f>SUMIFS(ham_data!AG:AG,ham_data!$J:$J,'DETAY-yaslandırma'!$B257,ham_data!$E:$E,'DETAY-yaslandırma'!$A257)</f>
        <v>0</v>
      </c>
      <c r="J257" s="24">
        <f>SUMIFS(ham_data!AH:AH,ham_data!$J:$J,'DETAY-yaslandırma'!$B257,ham_data!$E:$E,'DETAY-yaslandırma'!$A257)</f>
        <v>0</v>
      </c>
      <c r="K257" s="25">
        <f>SUMIFS(DETAY!D:D,DETAY!A:A,'DETAY-yaslandırma'!A257,DETAY!B:B,'DETAY-yaslandırma'!B257)</f>
        <v>147012.25</v>
      </c>
      <c r="L257" s="25">
        <f>SUMIFS(ham_data!U:U,ham_data!$J:$J,'DETAY-yaslandırma'!$B257,ham_data!$E:$E,'DETAY-yaslandırma'!$A257)</f>
        <v>147012.25</v>
      </c>
      <c r="M257" s="25">
        <f>SUMIFS(ham_data!V:V,ham_data!$J:$J,'DETAY-yaslandırma'!$B257,ham_data!$E:$E,'DETAY-yaslandırma'!$A257)</f>
        <v>0</v>
      </c>
      <c r="N257" s="25">
        <f>SUMIFS(ham_data!W:W,ham_data!$J:$J,'DETAY-yaslandırma'!$B257,ham_data!$E:$E,'DETAY-yaslandırma'!$A257)</f>
        <v>0</v>
      </c>
      <c r="O257" s="25">
        <f>SUMIFS(ham_data!X:X,ham_data!$J:$J,'DETAY-yaslandırma'!$B257,ham_data!$E:$E,'DETAY-yaslandırma'!$A257)</f>
        <v>0</v>
      </c>
      <c r="P257" s="25">
        <f>SUMIFS(ham_data!Y:Y,ham_data!$J:$J,'DETAY-yaslandırma'!$B257,ham_data!$E:$E,'DETAY-yaslandırma'!$A257)</f>
        <v>0</v>
      </c>
      <c r="Q257" s="25">
        <f>SUMIFS(ham_data!Z:Z,ham_data!$J:$J,'DETAY-yaslandırma'!$B257,ham_data!$E:$E,'DETAY-yaslandırma'!$A257)</f>
        <v>0</v>
      </c>
      <c r="R257" s="25">
        <f>SUMIFS(ham_data!AA:AA,ham_data!$J:$J,'DETAY-yaslandırma'!$B257,ham_data!$E:$E,'DETAY-yaslandırma'!$A257)</f>
        <v>0</v>
      </c>
      <c r="S257" s="16">
        <f>SUMIFS(DETAY!E:E,DETAY!A:A,'DETAY-yaslandırma'!A257,DETAY!B:B,'DETAY-yaslandırma'!B257)</f>
        <v>147012.32999999999</v>
      </c>
      <c r="T257" s="16">
        <f t="shared" si="56"/>
        <v>0</v>
      </c>
      <c r="U257" s="17">
        <f t="shared" si="57"/>
        <v>0</v>
      </c>
    </row>
    <row r="258" spans="1:21" ht="15" thickBot="1" x14ac:dyDescent="0.4">
      <c r="A258" t="s">
        <v>549</v>
      </c>
      <c r="B258" s="12" t="s">
        <v>11</v>
      </c>
      <c r="C258" s="24">
        <f>SUMIFS(DETAY!C:C,DETAY!A:A,'DETAY-yaslandırma'!A258,DETAY!B:B,'DETAY-yaslandırma'!B258)</f>
        <v>0</v>
      </c>
      <c r="D258" s="24">
        <f>SUMIFS(ham_data!AB:AB,ham_data!$J:$J,'DETAY-yaslandırma'!$B258,ham_data!$E:$E,'DETAY-yaslandırma'!$A258)</f>
        <v>0</v>
      </c>
      <c r="E258" s="24">
        <f>SUMIFS(ham_data!AC:AC,ham_data!$J:$J,'DETAY-yaslandırma'!$B258,ham_data!$E:$E,'DETAY-yaslandırma'!$A258)</f>
        <v>0</v>
      </c>
      <c r="F258" s="24">
        <f>SUMIFS(ham_data!AD:AD,ham_data!$J:$J,'DETAY-yaslandırma'!$B258,ham_data!$E:$E,'DETAY-yaslandırma'!$A258)</f>
        <v>0</v>
      </c>
      <c r="G258" s="24">
        <f>SUMIFS(ham_data!AE:AE,ham_data!$J:$J,'DETAY-yaslandırma'!$B258,ham_data!$E:$E,'DETAY-yaslandırma'!$A258)</f>
        <v>0</v>
      </c>
      <c r="H258" s="24">
        <f>SUMIFS(ham_data!AF:AF,ham_data!$J:$J,'DETAY-yaslandırma'!$B258,ham_data!$E:$E,'DETAY-yaslandırma'!$A258)</f>
        <v>0</v>
      </c>
      <c r="I258" s="24">
        <f>SUMIFS(ham_data!AG:AG,ham_data!$J:$J,'DETAY-yaslandırma'!$B258,ham_data!$E:$E,'DETAY-yaslandırma'!$A258)</f>
        <v>0</v>
      </c>
      <c r="J258" s="24">
        <f>SUMIFS(ham_data!AH:AH,ham_data!$J:$J,'DETAY-yaslandırma'!$B258,ham_data!$E:$E,'DETAY-yaslandırma'!$A258)</f>
        <v>0</v>
      </c>
      <c r="K258" s="25">
        <f>SUMIFS(DETAY!D:D,DETAY!A:A,'DETAY-yaslandırma'!A258,DETAY!B:B,'DETAY-yaslandırma'!B258)</f>
        <v>54309.29</v>
      </c>
      <c r="L258" s="25">
        <f>SUMIFS(ham_data!U:U,ham_data!$J:$J,'DETAY-yaslandırma'!$B258,ham_data!$E:$E,'DETAY-yaslandırma'!$A258)</f>
        <v>54309.29</v>
      </c>
      <c r="M258" s="25">
        <f>SUMIFS(ham_data!V:V,ham_data!$J:$J,'DETAY-yaslandırma'!$B258,ham_data!$E:$E,'DETAY-yaslandırma'!$A258)</f>
        <v>0</v>
      </c>
      <c r="N258" s="25">
        <f>SUMIFS(ham_data!W:W,ham_data!$J:$J,'DETAY-yaslandırma'!$B258,ham_data!$E:$E,'DETAY-yaslandırma'!$A258)</f>
        <v>0</v>
      </c>
      <c r="O258" s="25">
        <f>SUMIFS(ham_data!X:X,ham_data!$J:$J,'DETAY-yaslandırma'!$B258,ham_data!$E:$E,'DETAY-yaslandırma'!$A258)</f>
        <v>0</v>
      </c>
      <c r="P258" s="25">
        <f>SUMIFS(ham_data!Y:Y,ham_data!$J:$J,'DETAY-yaslandırma'!$B258,ham_data!$E:$E,'DETAY-yaslandırma'!$A258)</f>
        <v>0</v>
      </c>
      <c r="Q258" s="25">
        <f>SUMIFS(ham_data!Z:Z,ham_data!$J:$J,'DETAY-yaslandırma'!$B258,ham_data!$E:$E,'DETAY-yaslandırma'!$A258)</f>
        <v>0</v>
      </c>
      <c r="R258" s="25">
        <f>SUMIFS(ham_data!AA:AA,ham_data!$J:$J,'DETAY-yaslandırma'!$B258,ham_data!$E:$E,'DETAY-yaslandırma'!$A258)</f>
        <v>0</v>
      </c>
      <c r="S258" s="16">
        <f>SUMIFS(DETAY!E:E,DETAY!A:A,'DETAY-yaslandırma'!A258,DETAY!B:B,'DETAY-yaslandırma'!B258)</f>
        <v>54309.29</v>
      </c>
      <c r="T258" s="16">
        <f t="shared" si="56"/>
        <v>0</v>
      </c>
      <c r="U258" s="17">
        <f t="shared" si="57"/>
        <v>0</v>
      </c>
    </row>
    <row r="259" spans="1:21" ht="15" thickBot="1" x14ac:dyDescent="0.4">
      <c r="A259" t="s">
        <v>548</v>
      </c>
      <c r="B259" s="12" t="s">
        <v>11</v>
      </c>
      <c r="C259" s="24">
        <f>SUMIFS(DETAY!C:C,DETAY!A:A,'DETAY-yaslandırma'!A259,DETAY!B:B,'DETAY-yaslandırma'!B259)</f>
        <v>0</v>
      </c>
      <c r="D259" s="24">
        <f>SUMIFS(ham_data!AB:AB,ham_data!$J:$J,'DETAY-yaslandırma'!$B259,ham_data!$E:$E,'DETAY-yaslandırma'!$A259)</f>
        <v>0</v>
      </c>
      <c r="E259" s="24">
        <f>SUMIFS(ham_data!AC:AC,ham_data!$J:$J,'DETAY-yaslandırma'!$B259,ham_data!$E:$E,'DETAY-yaslandırma'!$A259)</f>
        <v>0</v>
      </c>
      <c r="F259" s="24">
        <f>SUMIFS(ham_data!AD:AD,ham_data!$J:$J,'DETAY-yaslandırma'!$B259,ham_data!$E:$E,'DETAY-yaslandırma'!$A259)</f>
        <v>0</v>
      </c>
      <c r="G259" s="24">
        <f>SUMIFS(ham_data!AE:AE,ham_data!$J:$J,'DETAY-yaslandırma'!$B259,ham_data!$E:$E,'DETAY-yaslandırma'!$A259)</f>
        <v>0</v>
      </c>
      <c r="H259" s="24">
        <f>SUMIFS(ham_data!AF:AF,ham_data!$J:$J,'DETAY-yaslandırma'!$B259,ham_data!$E:$E,'DETAY-yaslandırma'!$A259)</f>
        <v>0</v>
      </c>
      <c r="I259" s="24">
        <f>SUMIFS(ham_data!AG:AG,ham_data!$J:$J,'DETAY-yaslandırma'!$B259,ham_data!$E:$E,'DETAY-yaslandırma'!$A259)</f>
        <v>0</v>
      </c>
      <c r="J259" s="24">
        <f>SUMIFS(ham_data!AH:AH,ham_data!$J:$J,'DETAY-yaslandırma'!$B259,ham_data!$E:$E,'DETAY-yaslandırma'!$A259)</f>
        <v>0</v>
      </c>
      <c r="K259" s="25">
        <f>SUMIFS(DETAY!D:D,DETAY!A:A,'DETAY-yaslandırma'!A259,DETAY!B:B,'DETAY-yaslandırma'!B259)</f>
        <v>0</v>
      </c>
      <c r="L259" s="25">
        <f>SUMIFS(ham_data!U:U,ham_data!$J:$J,'DETAY-yaslandırma'!$B259,ham_data!$E:$E,'DETAY-yaslandırma'!$A259)</f>
        <v>0</v>
      </c>
      <c r="M259" s="25">
        <f>SUMIFS(ham_data!V:V,ham_data!$J:$J,'DETAY-yaslandırma'!$B259,ham_data!$E:$E,'DETAY-yaslandırma'!$A259)</f>
        <v>0</v>
      </c>
      <c r="N259" s="25">
        <f>SUMIFS(ham_data!W:W,ham_data!$J:$J,'DETAY-yaslandırma'!$B259,ham_data!$E:$E,'DETAY-yaslandırma'!$A259)</f>
        <v>0</v>
      </c>
      <c r="O259" s="25">
        <f>SUMIFS(ham_data!X:X,ham_data!$J:$J,'DETAY-yaslandırma'!$B259,ham_data!$E:$E,'DETAY-yaslandırma'!$A259)</f>
        <v>0</v>
      </c>
      <c r="P259" s="25">
        <f>SUMIFS(ham_data!Y:Y,ham_data!$J:$J,'DETAY-yaslandırma'!$B259,ham_data!$E:$E,'DETAY-yaslandırma'!$A259)</f>
        <v>0</v>
      </c>
      <c r="Q259" s="25">
        <f>SUMIFS(ham_data!Z:Z,ham_data!$J:$J,'DETAY-yaslandırma'!$B259,ham_data!$E:$E,'DETAY-yaslandırma'!$A259)</f>
        <v>0</v>
      </c>
      <c r="R259" s="25">
        <f>SUMIFS(ham_data!AA:AA,ham_data!$J:$J,'DETAY-yaslandırma'!$B259,ham_data!$E:$E,'DETAY-yaslandırma'!$A259)</f>
        <v>0</v>
      </c>
      <c r="S259" s="16">
        <f>SUMIFS(DETAY!E:E,DETAY!A:A,'DETAY-yaslandırma'!A259,DETAY!B:B,'DETAY-yaslandırma'!B259)</f>
        <v>0</v>
      </c>
      <c r="T259" s="16">
        <f t="shared" si="56"/>
        <v>0</v>
      </c>
      <c r="U259" s="17">
        <f t="shared" si="57"/>
        <v>0</v>
      </c>
    </row>
    <row r="260" spans="1:21" ht="15" thickBot="1" x14ac:dyDescent="0.4">
      <c r="A260" t="s">
        <v>518</v>
      </c>
      <c r="B260" s="12" t="s">
        <v>11</v>
      </c>
      <c r="C260" s="24">
        <f>SUMIFS(DETAY!C:C,DETAY!A:A,'DETAY-yaslandırma'!A260,DETAY!B:B,'DETAY-yaslandırma'!B260)</f>
        <v>0</v>
      </c>
      <c r="D260" s="24">
        <f>SUMIFS(ham_data!AB:AB,ham_data!$J:$J,'DETAY-yaslandırma'!$B260,ham_data!$E:$E,'DETAY-yaslandırma'!$A260)</f>
        <v>0</v>
      </c>
      <c r="E260" s="24">
        <f>SUMIFS(ham_data!AC:AC,ham_data!$J:$J,'DETAY-yaslandırma'!$B260,ham_data!$E:$E,'DETAY-yaslandırma'!$A260)</f>
        <v>0</v>
      </c>
      <c r="F260" s="24">
        <f>SUMIFS(ham_data!AD:AD,ham_data!$J:$J,'DETAY-yaslandırma'!$B260,ham_data!$E:$E,'DETAY-yaslandırma'!$A260)</f>
        <v>0</v>
      </c>
      <c r="G260" s="24">
        <f>SUMIFS(ham_data!AE:AE,ham_data!$J:$J,'DETAY-yaslandırma'!$B260,ham_data!$E:$E,'DETAY-yaslandırma'!$A260)</f>
        <v>0</v>
      </c>
      <c r="H260" s="24">
        <f>SUMIFS(ham_data!AF:AF,ham_data!$J:$J,'DETAY-yaslandırma'!$B260,ham_data!$E:$E,'DETAY-yaslandırma'!$A260)</f>
        <v>0</v>
      </c>
      <c r="I260" s="24">
        <f>SUMIFS(ham_data!AG:AG,ham_data!$J:$J,'DETAY-yaslandırma'!$B260,ham_data!$E:$E,'DETAY-yaslandırma'!$A260)</f>
        <v>0</v>
      </c>
      <c r="J260" s="24">
        <f>SUMIFS(ham_data!AH:AH,ham_data!$J:$J,'DETAY-yaslandırma'!$B260,ham_data!$E:$E,'DETAY-yaslandırma'!$A260)</f>
        <v>0</v>
      </c>
      <c r="K260" s="25">
        <f>SUMIFS(DETAY!D:D,DETAY!A:A,'DETAY-yaslandırma'!A260,DETAY!B:B,'DETAY-yaslandırma'!B260)</f>
        <v>0</v>
      </c>
      <c r="L260" s="25">
        <f>SUMIFS(ham_data!U:U,ham_data!$J:$J,'DETAY-yaslandırma'!$B260,ham_data!$E:$E,'DETAY-yaslandırma'!$A260)</f>
        <v>0</v>
      </c>
      <c r="M260" s="25">
        <f>SUMIFS(ham_data!V:V,ham_data!$J:$J,'DETAY-yaslandırma'!$B260,ham_data!$E:$E,'DETAY-yaslandırma'!$A260)</f>
        <v>0</v>
      </c>
      <c r="N260" s="25">
        <f>SUMIFS(ham_data!W:W,ham_data!$J:$J,'DETAY-yaslandırma'!$B260,ham_data!$E:$E,'DETAY-yaslandırma'!$A260)</f>
        <v>0</v>
      </c>
      <c r="O260" s="25">
        <f>SUMIFS(ham_data!X:X,ham_data!$J:$J,'DETAY-yaslandırma'!$B260,ham_data!$E:$E,'DETAY-yaslandırma'!$A260)</f>
        <v>0</v>
      </c>
      <c r="P260" s="25">
        <f>SUMIFS(ham_data!Y:Y,ham_data!$J:$J,'DETAY-yaslandırma'!$B260,ham_data!$E:$E,'DETAY-yaslandırma'!$A260)</f>
        <v>0</v>
      </c>
      <c r="Q260" s="25">
        <f>SUMIFS(ham_data!Z:Z,ham_data!$J:$J,'DETAY-yaslandırma'!$B260,ham_data!$E:$E,'DETAY-yaslandırma'!$A260)</f>
        <v>0</v>
      </c>
      <c r="R260" s="25">
        <f>SUMIFS(ham_data!AA:AA,ham_data!$J:$J,'DETAY-yaslandırma'!$B260,ham_data!$E:$E,'DETAY-yaslandırma'!$A260)</f>
        <v>0</v>
      </c>
      <c r="S260" s="16">
        <f>SUMIFS(DETAY!E:E,DETAY!A:A,'DETAY-yaslandırma'!A260,DETAY!B:B,'DETAY-yaslandırma'!B260)</f>
        <v>0</v>
      </c>
      <c r="T260" s="16">
        <f t="shared" si="56"/>
        <v>0</v>
      </c>
      <c r="U260" s="17">
        <f t="shared" si="57"/>
        <v>0</v>
      </c>
    </row>
    <row r="261" spans="1:21" ht="15" thickBot="1" x14ac:dyDescent="0.4">
      <c r="A261" t="s">
        <v>570</v>
      </c>
      <c r="B261" s="12" t="s">
        <v>11</v>
      </c>
      <c r="C261" s="24">
        <f>SUMIFS(DETAY!C:C,DETAY!A:A,'DETAY-yaslandırma'!A261,DETAY!B:B,'DETAY-yaslandırma'!B261)</f>
        <v>19575.7</v>
      </c>
      <c r="D261" s="24">
        <f>SUMIFS(ham_data!AB:AB,ham_data!$J:$J,'DETAY-yaslandırma'!$B261,ham_data!$E:$E,'DETAY-yaslandırma'!$A261)</f>
        <v>0</v>
      </c>
      <c r="E261" s="24">
        <f>SUMIFS(ham_data!AC:AC,ham_data!$J:$J,'DETAY-yaslandırma'!$B261,ham_data!$E:$E,'DETAY-yaslandırma'!$A261)</f>
        <v>19575.7</v>
      </c>
      <c r="F261" s="24">
        <f>SUMIFS(ham_data!AD:AD,ham_data!$J:$J,'DETAY-yaslandırma'!$B261,ham_data!$E:$E,'DETAY-yaslandırma'!$A261)</f>
        <v>0</v>
      </c>
      <c r="G261" s="24">
        <f>SUMIFS(ham_data!AE:AE,ham_data!$J:$J,'DETAY-yaslandırma'!$B261,ham_data!$E:$E,'DETAY-yaslandırma'!$A261)</f>
        <v>0</v>
      </c>
      <c r="H261" s="24">
        <f>SUMIFS(ham_data!AF:AF,ham_data!$J:$J,'DETAY-yaslandırma'!$B261,ham_data!$E:$E,'DETAY-yaslandırma'!$A261)</f>
        <v>0</v>
      </c>
      <c r="I261" s="24">
        <f>SUMIFS(ham_data!AG:AG,ham_data!$J:$J,'DETAY-yaslandırma'!$B261,ham_data!$E:$E,'DETAY-yaslandırma'!$A261)</f>
        <v>0</v>
      </c>
      <c r="J261" s="24">
        <f>SUMIFS(ham_data!AH:AH,ham_data!$J:$J,'DETAY-yaslandırma'!$B261,ham_data!$E:$E,'DETAY-yaslandırma'!$A261)</f>
        <v>0</v>
      </c>
      <c r="K261" s="25">
        <f>SUMIFS(DETAY!D:D,DETAY!A:A,'DETAY-yaslandırma'!A261,DETAY!B:B,'DETAY-yaslandırma'!B261)</f>
        <v>0</v>
      </c>
      <c r="L261" s="25">
        <f>SUMIFS(ham_data!U:U,ham_data!$J:$J,'DETAY-yaslandırma'!$B261,ham_data!$E:$E,'DETAY-yaslandırma'!$A261)</f>
        <v>0</v>
      </c>
      <c r="M261" s="25">
        <f>SUMIFS(ham_data!V:V,ham_data!$J:$J,'DETAY-yaslandırma'!$B261,ham_data!$E:$E,'DETAY-yaslandırma'!$A261)</f>
        <v>0</v>
      </c>
      <c r="N261" s="25">
        <f>SUMIFS(ham_data!W:W,ham_data!$J:$J,'DETAY-yaslandırma'!$B261,ham_data!$E:$E,'DETAY-yaslandırma'!$A261)</f>
        <v>0</v>
      </c>
      <c r="O261" s="25">
        <f>SUMIFS(ham_data!X:X,ham_data!$J:$J,'DETAY-yaslandırma'!$B261,ham_data!$E:$E,'DETAY-yaslandırma'!$A261)</f>
        <v>0</v>
      </c>
      <c r="P261" s="25">
        <f>SUMIFS(ham_data!Y:Y,ham_data!$J:$J,'DETAY-yaslandırma'!$B261,ham_data!$E:$E,'DETAY-yaslandırma'!$A261)</f>
        <v>0</v>
      </c>
      <c r="Q261" s="25">
        <f>SUMIFS(ham_data!Z:Z,ham_data!$J:$J,'DETAY-yaslandırma'!$B261,ham_data!$E:$E,'DETAY-yaslandırma'!$A261)</f>
        <v>0</v>
      </c>
      <c r="R261" s="25">
        <f>SUMIFS(ham_data!AA:AA,ham_data!$J:$J,'DETAY-yaslandırma'!$B261,ham_data!$E:$E,'DETAY-yaslandırma'!$A261)</f>
        <v>0</v>
      </c>
      <c r="S261" s="16">
        <f>SUMIFS(DETAY!E:E,DETAY!A:A,'DETAY-yaslandırma'!A261,DETAY!B:B,'DETAY-yaslandırma'!B261)</f>
        <v>19575.7</v>
      </c>
      <c r="T261" s="16">
        <f t="shared" si="56"/>
        <v>0</v>
      </c>
      <c r="U261" s="17">
        <f t="shared" si="57"/>
        <v>0</v>
      </c>
    </row>
    <row r="262" spans="1:21" ht="15" thickBot="1" x14ac:dyDescent="0.4">
      <c r="A262" t="s">
        <v>627</v>
      </c>
      <c r="B262" s="12" t="s">
        <v>11</v>
      </c>
      <c r="C262" s="24">
        <f>SUMIFS(DETAY!C:C,DETAY!A:A,'DETAY-yaslandırma'!A262,DETAY!B:B,'DETAY-yaslandırma'!B262)</f>
        <v>0</v>
      </c>
      <c r="D262" s="24">
        <f>SUMIFS(ham_data!AB:AB,ham_data!$J:$J,'DETAY-yaslandırma'!$B262,ham_data!$E:$E,'DETAY-yaslandırma'!$A262)</f>
        <v>0</v>
      </c>
      <c r="E262" s="24">
        <f>SUMIFS(ham_data!AC:AC,ham_data!$J:$J,'DETAY-yaslandırma'!$B262,ham_data!$E:$E,'DETAY-yaslandırma'!$A262)</f>
        <v>0</v>
      </c>
      <c r="F262" s="24">
        <f>SUMIFS(ham_data!AD:AD,ham_data!$J:$J,'DETAY-yaslandırma'!$B262,ham_data!$E:$E,'DETAY-yaslandırma'!$A262)</f>
        <v>0</v>
      </c>
      <c r="G262" s="24">
        <f>SUMIFS(ham_data!AE:AE,ham_data!$J:$J,'DETAY-yaslandırma'!$B262,ham_data!$E:$E,'DETAY-yaslandırma'!$A262)</f>
        <v>0</v>
      </c>
      <c r="H262" s="24">
        <f>SUMIFS(ham_data!AF:AF,ham_data!$J:$J,'DETAY-yaslandırma'!$B262,ham_data!$E:$E,'DETAY-yaslandırma'!$A262)</f>
        <v>0</v>
      </c>
      <c r="I262" s="24">
        <f>SUMIFS(ham_data!AG:AG,ham_data!$J:$J,'DETAY-yaslandırma'!$B262,ham_data!$E:$E,'DETAY-yaslandırma'!$A262)</f>
        <v>0</v>
      </c>
      <c r="J262" s="24">
        <f>SUMIFS(ham_data!AH:AH,ham_data!$J:$J,'DETAY-yaslandırma'!$B262,ham_data!$E:$E,'DETAY-yaslandırma'!$A262)</f>
        <v>0</v>
      </c>
      <c r="K262" s="25">
        <f>SUMIFS(DETAY!D:D,DETAY!A:A,'DETAY-yaslandırma'!A262,DETAY!B:B,'DETAY-yaslandırma'!B262)</f>
        <v>0</v>
      </c>
      <c r="L262" s="25">
        <f>SUMIFS(ham_data!U:U,ham_data!$J:$J,'DETAY-yaslandırma'!$B262,ham_data!$E:$E,'DETAY-yaslandırma'!$A262)</f>
        <v>0</v>
      </c>
      <c r="M262" s="25">
        <f>SUMIFS(ham_data!V:V,ham_data!$J:$J,'DETAY-yaslandırma'!$B262,ham_data!$E:$E,'DETAY-yaslandırma'!$A262)</f>
        <v>0</v>
      </c>
      <c r="N262" s="25">
        <f>SUMIFS(ham_data!W:W,ham_data!$J:$J,'DETAY-yaslandırma'!$B262,ham_data!$E:$E,'DETAY-yaslandırma'!$A262)</f>
        <v>0</v>
      </c>
      <c r="O262" s="25">
        <f>SUMIFS(ham_data!X:X,ham_data!$J:$J,'DETAY-yaslandırma'!$B262,ham_data!$E:$E,'DETAY-yaslandırma'!$A262)</f>
        <v>0</v>
      </c>
      <c r="P262" s="25">
        <f>SUMIFS(ham_data!Y:Y,ham_data!$J:$J,'DETAY-yaslandırma'!$B262,ham_data!$E:$E,'DETAY-yaslandırma'!$A262)</f>
        <v>0</v>
      </c>
      <c r="Q262" s="25">
        <f>SUMIFS(ham_data!Z:Z,ham_data!$J:$J,'DETAY-yaslandırma'!$B262,ham_data!$E:$E,'DETAY-yaslandırma'!$A262)</f>
        <v>0</v>
      </c>
      <c r="R262" s="25">
        <f>SUMIFS(ham_data!AA:AA,ham_data!$J:$J,'DETAY-yaslandırma'!$B262,ham_data!$E:$E,'DETAY-yaslandırma'!$A262)</f>
        <v>0</v>
      </c>
      <c r="S262" s="16">
        <f>SUMIFS(DETAY!E:E,DETAY!A:A,'DETAY-yaslandırma'!A262,DETAY!B:B,'DETAY-yaslandırma'!B262)</f>
        <v>0</v>
      </c>
      <c r="T262" s="16">
        <f t="shared" ref="T262" si="58">C262-SUM(D262:J262)</f>
        <v>0</v>
      </c>
      <c r="U262" s="17">
        <f t="shared" ref="U262" si="59">K262-SUM(L262:R262)</f>
        <v>0</v>
      </c>
    </row>
    <row r="263" spans="1:21" ht="15" thickBot="1" x14ac:dyDescent="0.4">
      <c r="A263" t="s">
        <v>647</v>
      </c>
      <c r="B263" t="s">
        <v>11</v>
      </c>
      <c r="C263" s="24">
        <f>SUMIFS(DETAY!C:C,DETAY!A:A,'DETAY-yaslandırma'!A263,DETAY!B:B,'DETAY-yaslandırma'!B263)</f>
        <v>0</v>
      </c>
      <c r="D263" s="24">
        <f>SUMIFS(ham_data!AB:AB,ham_data!$J:$J,'DETAY-yaslandırma'!$B263,ham_data!$E:$E,'DETAY-yaslandırma'!$A263)</f>
        <v>0</v>
      </c>
      <c r="E263" s="24">
        <f>SUMIFS(ham_data!AC:AC,ham_data!$J:$J,'DETAY-yaslandırma'!$B263,ham_data!$E:$E,'DETAY-yaslandırma'!$A263)</f>
        <v>0</v>
      </c>
      <c r="F263" s="24">
        <f>SUMIFS(ham_data!AD:AD,ham_data!$J:$J,'DETAY-yaslandırma'!$B263,ham_data!$E:$E,'DETAY-yaslandırma'!$A263)</f>
        <v>0</v>
      </c>
      <c r="G263" s="24">
        <f>SUMIFS(ham_data!AE:AE,ham_data!$J:$J,'DETAY-yaslandırma'!$B263,ham_data!$E:$E,'DETAY-yaslandırma'!$A263)</f>
        <v>0</v>
      </c>
      <c r="H263" s="24">
        <f>SUMIFS(ham_data!AF:AF,ham_data!$J:$J,'DETAY-yaslandırma'!$B263,ham_data!$E:$E,'DETAY-yaslandırma'!$A263)</f>
        <v>0</v>
      </c>
      <c r="I263" s="24">
        <f>SUMIFS(ham_data!AG:AG,ham_data!$J:$J,'DETAY-yaslandırma'!$B263,ham_data!$E:$E,'DETAY-yaslandırma'!$A263)</f>
        <v>0</v>
      </c>
      <c r="J263" s="24">
        <f>SUMIFS(ham_data!AH:AH,ham_data!$J:$J,'DETAY-yaslandırma'!$B263,ham_data!$E:$E,'DETAY-yaslandırma'!$A263)</f>
        <v>0</v>
      </c>
      <c r="K263" s="25">
        <f>SUMIFS(DETAY!D:D,DETAY!A:A,'DETAY-yaslandırma'!A263,DETAY!B:B,'DETAY-yaslandırma'!B263)</f>
        <v>0</v>
      </c>
      <c r="L263" s="25">
        <f>SUMIFS(ham_data!U:U,ham_data!$J:$J,'DETAY-yaslandırma'!$B263,ham_data!$E:$E,'DETAY-yaslandırma'!$A263)</f>
        <v>0</v>
      </c>
      <c r="M263" s="25">
        <f>SUMIFS(ham_data!V:V,ham_data!$J:$J,'DETAY-yaslandırma'!$B263,ham_data!$E:$E,'DETAY-yaslandırma'!$A263)</f>
        <v>0</v>
      </c>
      <c r="N263" s="25">
        <f>SUMIFS(ham_data!W:W,ham_data!$J:$J,'DETAY-yaslandırma'!$B263,ham_data!$E:$E,'DETAY-yaslandırma'!$A263)</f>
        <v>0</v>
      </c>
      <c r="O263" s="25">
        <f>SUMIFS(ham_data!X:X,ham_data!$J:$J,'DETAY-yaslandırma'!$B263,ham_data!$E:$E,'DETAY-yaslandırma'!$A263)</f>
        <v>0</v>
      </c>
      <c r="P263" s="25">
        <f>SUMIFS(ham_data!Y:Y,ham_data!$J:$J,'DETAY-yaslandırma'!$B263,ham_data!$E:$E,'DETAY-yaslandırma'!$A263)</f>
        <v>0</v>
      </c>
      <c r="Q263" s="25">
        <f>SUMIFS(ham_data!Z:Z,ham_data!$J:$J,'DETAY-yaslandırma'!$B263,ham_data!$E:$E,'DETAY-yaslandırma'!$A263)</f>
        <v>0</v>
      </c>
      <c r="R263" s="25">
        <f>SUMIFS(ham_data!AA:AA,ham_data!$J:$J,'DETAY-yaslandırma'!$B263,ham_data!$E:$E,'DETAY-yaslandırma'!$A263)</f>
        <v>0</v>
      </c>
      <c r="S263" s="16">
        <f>SUMIFS(DETAY!E:E,DETAY!A:A,'DETAY-yaslandırma'!A263,DETAY!B:B,'DETAY-yaslandırma'!B263)</f>
        <v>0</v>
      </c>
      <c r="T263" s="16">
        <f t="shared" ref="T263:T267" si="60">C263-SUM(D263:J263)</f>
        <v>0</v>
      </c>
      <c r="U263" s="17">
        <f t="shared" ref="U263:U267" si="61">K263-SUM(L263:R263)</f>
        <v>0</v>
      </c>
    </row>
    <row r="264" spans="1:21" ht="15" thickBot="1" x14ac:dyDescent="0.4">
      <c r="A264" t="s">
        <v>56</v>
      </c>
      <c r="B264" t="s">
        <v>19</v>
      </c>
      <c r="C264" s="24">
        <f>SUMIFS(DETAY!C:C,DETAY!A:A,'DETAY-yaslandırma'!A264,DETAY!B:B,'DETAY-yaslandırma'!B264)</f>
        <v>0</v>
      </c>
      <c r="D264" s="24">
        <f>SUMIFS(ham_data!AB:AB,ham_data!$J:$J,'DETAY-yaslandırma'!$B264,ham_data!$E:$E,'DETAY-yaslandırma'!$A264)</f>
        <v>0</v>
      </c>
      <c r="E264" s="24">
        <f>SUMIFS(ham_data!AC:AC,ham_data!$J:$J,'DETAY-yaslandırma'!$B264,ham_data!$E:$E,'DETAY-yaslandırma'!$A264)</f>
        <v>0</v>
      </c>
      <c r="F264" s="24">
        <f>SUMIFS(ham_data!AD:AD,ham_data!$J:$J,'DETAY-yaslandırma'!$B264,ham_data!$E:$E,'DETAY-yaslandırma'!$A264)</f>
        <v>0</v>
      </c>
      <c r="G264" s="24">
        <f>SUMIFS(ham_data!AE:AE,ham_data!$J:$J,'DETAY-yaslandırma'!$B264,ham_data!$E:$E,'DETAY-yaslandırma'!$A264)</f>
        <v>0</v>
      </c>
      <c r="H264" s="24">
        <f>SUMIFS(ham_data!AF:AF,ham_data!$J:$J,'DETAY-yaslandırma'!$B264,ham_data!$E:$E,'DETAY-yaslandırma'!$A264)</f>
        <v>0</v>
      </c>
      <c r="I264" s="24">
        <f>SUMIFS(ham_data!AG:AG,ham_data!$J:$J,'DETAY-yaslandırma'!$B264,ham_data!$E:$E,'DETAY-yaslandırma'!$A264)</f>
        <v>0</v>
      </c>
      <c r="J264" s="24">
        <f>SUMIFS(ham_data!AH:AH,ham_data!$J:$J,'DETAY-yaslandırma'!$B264,ham_data!$E:$E,'DETAY-yaslandırma'!$A264)</f>
        <v>0</v>
      </c>
      <c r="K264" s="25">
        <f>SUMIFS(DETAY!D:D,DETAY!A:A,'DETAY-yaslandırma'!A264,DETAY!B:B,'DETAY-yaslandırma'!B264)</f>
        <v>55170</v>
      </c>
      <c r="L264" s="25">
        <f>SUMIFS(ham_data!U:U,ham_data!$J:$J,'DETAY-yaslandırma'!$B264,ham_data!$E:$E,'DETAY-yaslandırma'!$A264)</f>
        <v>55170</v>
      </c>
      <c r="M264" s="25">
        <f>SUMIFS(ham_data!V:V,ham_data!$J:$J,'DETAY-yaslandırma'!$B264,ham_data!$E:$E,'DETAY-yaslandırma'!$A264)</f>
        <v>0</v>
      </c>
      <c r="N264" s="25">
        <f>SUMIFS(ham_data!W:W,ham_data!$J:$J,'DETAY-yaslandırma'!$B264,ham_data!$E:$E,'DETAY-yaslandırma'!$A264)</f>
        <v>0</v>
      </c>
      <c r="O264" s="25">
        <f>SUMIFS(ham_data!X:X,ham_data!$J:$J,'DETAY-yaslandırma'!$B264,ham_data!$E:$E,'DETAY-yaslandırma'!$A264)</f>
        <v>0</v>
      </c>
      <c r="P264" s="25">
        <f>SUMIFS(ham_data!Y:Y,ham_data!$J:$J,'DETAY-yaslandırma'!$B264,ham_data!$E:$E,'DETAY-yaslandırma'!$A264)</f>
        <v>0</v>
      </c>
      <c r="Q264" s="25">
        <f>SUMIFS(ham_data!Z:Z,ham_data!$J:$J,'DETAY-yaslandırma'!$B264,ham_data!$E:$E,'DETAY-yaslandırma'!$A264)</f>
        <v>0</v>
      </c>
      <c r="R264" s="25">
        <f>SUMIFS(ham_data!AA:AA,ham_data!$J:$J,'DETAY-yaslandırma'!$B264,ham_data!$E:$E,'DETAY-yaslandırma'!$A264)</f>
        <v>0</v>
      </c>
      <c r="S264" s="16">
        <f>SUMIFS(DETAY!E:E,DETAY!A:A,'DETAY-yaslandırma'!A264,DETAY!B:B,'DETAY-yaslandırma'!B264)</f>
        <v>55170</v>
      </c>
      <c r="T264" s="16">
        <f t="shared" si="60"/>
        <v>0</v>
      </c>
      <c r="U264" s="17">
        <f t="shared" si="61"/>
        <v>0</v>
      </c>
    </row>
    <row r="265" spans="1:21" ht="15" thickBot="1" x14ac:dyDescent="0.4">
      <c r="A265" t="s">
        <v>708</v>
      </c>
      <c r="B265" t="s">
        <v>11</v>
      </c>
      <c r="C265" s="24">
        <f>SUMIFS(DETAY!C:C,DETAY!A:A,'DETAY-yaslandırma'!A265,DETAY!B:B,'DETAY-yaslandırma'!B265)</f>
        <v>0</v>
      </c>
      <c r="D265" s="24">
        <f>SUMIFS(ham_data!AB:AB,ham_data!$J:$J,'DETAY-yaslandırma'!$B265,ham_data!$E:$E,'DETAY-yaslandırma'!$A265)</f>
        <v>0</v>
      </c>
      <c r="E265" s="24">
        <f>SUMIFS(ham_data!AC:AC,ham_data!$J:$J,'DETAY-yaslandırma'!$B265,ham_data!$E:$E,'DETAY-yaslandırma'!$A265)</f>
        <v>0</v>
      </c>
      <c r="F265" s="24">
        <f>SUMIFS(ham_data!AD:AD,ham_data!$J:$J,'DETAY-yaslandırma'!$B265,ham_data!$E:$E,'DETAY-yaslandırma'!$A265)</f>
        <v>0</v>
      </c>
      <c r="G265" s="24">
        <f>SUMIFS(ham_data!AE:AE,ham_data!$J:$J,'DETAY-yaslandırma'!$B265,ham_data!$E:$E,'DETAY-yaslandırma'!$A265)</f>
        <v>0</v>
      </c>
      <c r="H265" s="24">
        <f>SUMIFS(ham_data!AF:AF,ham_data!$J:$J,'DETAY-yaslandırma'!$B265,ham_data!$E:$E,'DETAY-yaslandırma'!$A265)</f>
        <v>0</v>
      </c>
      <c r="I265" s="24">
        <f>SUMIFS(ham_data!AG:AG,ham_data!$J:$J,'DETAY-yaslandırma'!$B265,ham_data!$E:$E,'DETAY-yaslandırma'!$A265)</f>
        <v>0</v>
      </c>
      <c r="J265" s="24">
        <f>SUMIFS(ham_data!AH:AH,ham_data!$J:$J,'DETAY-yaslandırma'!$B265,ham_data!$E:$E,'DETAY-yaslandırma'!$A265)</f>
        <v>0</v>
      </c>
      <c r="K265" s="25">
        <f>SUMIFS(DETAY!D:D,DETAY!A:A,'DETAY-yaslandırma'!A265,DETAY!B:B,'DETAY-yaslandırma'!B265)</f>
        <v>11515.5</v>
      </c>
      <c r="L265" s="25">
        <f>SUMIFS(ham_data!U:U,ham_data!$J:$J,'DETAY-yaslandırma'!$B265,ham_data!$E:$E,'DETAY-yaslandırma'!$A265)</f>
        <v>11515.5</v>
      </c>
      <c r="M265" s="25">
        <f>SUMIFS(ham_data!V:V,ham_data!$J:$J,'DETAY-yaslandırma'!$B265,ham_data!$E:$E,'DETAY-yaslandırma'!$A265)</f>
        <v>0</v>
      </c>
      <c r="N265" s="25">
        <f>SUMIFS(ham_data!W:W,ham_data!$J:$J,'DETAY-yaslandırma'!$B265,ham_data!$E:$E,'DETAY-yaslandırma'!$A265)</f>
        <v>0</v>
      </c>
      <c r="O265" s="25">
        <f>SUMIFS(ham_data!X:X,ham_data!$J:$J,'DETAY-yaslandırma'!$B265,ham_data!$E:$E,'DETAY-yaslandırma'!$A265)</f>
        <v>0</v>
      </c>
      <c r="P265" s="25">
        <f>SUMIFS(ham_data!Y:Y,ham_data!$J:$J,'DETAY-yaslandırma'!$B265,ham_data!$E:$E,'DETAY-yaslandırma'!$A265)</f>
        <v>0</v>
      </c>
      <c r="Q265" s="25">
        <f>SUMIFS(ham_data!Z:Z,ham_data!$J:$J,'DETAY-yaslandırma'!$B265,ham_data!$E:$E,'DETAY-yaslandırma'!$A265)</f>
        <v>0</v>
      </c>
      <c r="R265" s="25">
        <f>SUMIFS(ham_data!AA:AA,ham_data!$J:$J,'DETAY-yaslandırma'!$B265,ham_data!$E:$E,'DETAY-yaslandırma'!$A265)</f>
        <v>0</v>
      </c>
      <c r="S265" s="16">
        <f>SUMIFS(DETAY!E:E,DETAY!A:A,'DETAY-yaslandırma'!A265,DETAY!B:B,'DETAY-yaslandırma'!B265)</f>
        <v>11515.5</v>
      </c>
      <c r="T265" s="16">
        <f t="shared" si="60"/>
        <v>0</v>
      </c>
      <c r="U265" s="17">
        <f t="shared" si="61"/>
        <v>0</v>
      </c>
    </row>
    <row r="266" spans="1:21" ht="15" thickBot="1" x14ac:dyDescent="0.4">
      <c r="A266" t="s">
        <v>705</v>
      </c>
      <c r="B266" t="s">
        <v>11</v>
      </c>
      <c r="C266" s="24">
        <f>SUMIFS(DETAY!C:C,DETAY!A:A,'DETAY-yaslandırma'!A266,DETAY!B:B,'DETAY-yaslandırma'!B266)</f>
        <v>0</v>
      </c>
      <c r="D266" s="24">
        <f>SUMIFS(ham_data!AB:AB,ham_data!$J:$J,'DETAY-yaslandırma'!$B266,ham_data!$E:$E,'DETAY-yaslandırma'!$A266)</f>
        <v>0</v>
      </c>
      <c r="E266" s="24">
        <f>SUMIFS(ham_data!AC:AC,ham_data!$J:$J,'DETAY-yaslandırma'!$B266,ham_data!$E:$E,'DETAY-yaslandırma'!$A266)</f>
        <v>0</v>
      </c>
      <c r="F266" s="24">
        <f>SUMIFS(ham_data!AD:AD,ham_data!$J:$J,'DETAY-yaslandırma'!$B266,ham_data!$E:$E,'DETAY-yaslandırma'!$A266)</f>
        <v>0</v>
      </c>
      <c r="G266" s="24">
        <f>SUMIFS(ham_data!AE:AE,ham_data!$J:$J,'DETAY-yaslandırma'!$B266,ham_data!$E:$E,'DETAY-yaslandırma'!$A266)</f>
        <v>0</v>
      </c>
      <c r="H266" s="24">
        <f>SUMIFS(ham_data!AF:AF,ham_data!$J:$J,'DETAY-yaslandırma'!$B266,ham_data!$E:$E,'DETAY-yaslandırma'!$A266)</f>
        <v>0</v>
      </c>
      <c r="I266" s="24">
        <f>SUMIFS(ham_data!AG:AG,ham_data!$J:$J,'DETAY-yaslandırma'!$B266,ham_data!$E:$E,'DETAY-yaslandırma'!$A266)</f>
        <v>0</v>
      </c>
      <c r="J266" s="24">
        <f>SUMIFS(ham_data!AH:AH,ham_data!$J:$J,'DETAY-yaslandırma'!$B266,ham_data!$E:$E,'DETAY-yaslandırma'!$A266)</f>
        <v>0</v>
      </c>
      <c r="K266" s="25">
        <f>SUMIFS(DETAY!D:D,DETAY!A:A,'DETAY-yaslandırma'!A266,DETAY!B:B,'DETAY-yaslandırma'!B266)</f>
        <v>11515.5</v>
      </c>
      <c r="L266" s="25">
        <f>SUMIFS(ham_data!U:U,ham_data!$J:$J,'DETAY-yaslandırma'!$B266,ham_data!$E:$E,'DETAY-yaslandırma'!$A266)</f>
        <v>11515.5</v>
      </c>
      <c r="M266" s="25">
        <f>SUMIFS(ham_data!V:V,ham_data!$J:$J,'DETAY-yaslandırma'!$B266,ham_data!$E:$E,'DETAY-yaslandırma'!$A266)</f>
        <v>0</v>
      </c>
      <c r="N266" s="25">
        <f>SUMIFS(ham_data!W:W,ham_data!$J:$J,'DETAY-yaslandırma'!$B266,ham_data!$E:$E,'DETAY-yaslandırma'!$A266)</f>
        <v>0</v>
      </c>
      <c r="O266" s="25">
        <f>SUMIFS(ham_data!X:X,ham_data!$J:$J,'DETAY-yaslandırma'!$B266,ham_data!$E:$E,'DETAY-yaslandırma'!$A266)</f>
        <v>0</v>
      </c>
      <c r="P266" s="25">
        <f>SUMIFS(ham_data!Y:Y,ham_data!$J:$J,'DETAY-yaslandırma'!$B266,ham_data!$E:$E,'DETAY-yaslandırma'!$A266)</f>
        <v>0</v>
      </c>
      <c r="Q266" s="25">
        <f>SUMIFS(ham_data!Z:Z,ham_data!$J:$J,'DETAY-yaslandırma'!$B266,ham_data!$E:$E,'DETAY-yaslandırma'!$A266)</f>
        <v>0</v>
      </c>
      <c r="R266" s="25">
        <f>SUMIFS(ham_data!AA:AA,ham_data!$J:$J,'DETAY-yaslandırma'!$B266,ham_data!$E:$E,'DETAY-yaslandırma'!$A266)</f>
        <v>0</v>
      </c>
      <c r="S266" s="16">
        <f>SUMIFS(DETAY!E:E,DETAY!A:A,'DETAY-yaslandırma'!A266,DETAY!B:B,'DETAY-yaslandırma'!B266)</f>
        <v>11515.5</v>
      </c>
      <c r="T266" s="16">
        <f t="shared" si="60"/>
        <v>0</v>
      </c>
      <c r="U266" s="17">
        <f t="shared" si="61"/>
        <v>0</v>
      </c>
    </row>
    <row r="267" spans="1:21" ht="15" thickBot="1" x14ac:dyDescent="0.4">
      <c r="A267" t="s">
        <v>674</v>
      </c>
      <c r="B267" t="s">
        <v>11</v>
      </c>
      <c r="C267" s="24">
        <f>SUMIFS(DETAY!C:C,DETAY!A:A,'DETAY-yaslandırma'!A267,DETAY!B:B,'DETAY-yaslandırma'!B267)</f>
        <v>108942.01</v>
      </c>
      <c r="D267" s="24">
        <f>SUMIFS(ham_data!AB:AB,ham_data!$J:$J,'DETAY-yaslandırma'!$B267,ham_data!$E:$E,'DETAY-yaslandırma'!$A267)</f>
        <v>108942.01</v>
      </c>
      <c r="E267" s="24">
        <f>SUMIFS(ham_data!AC:AC,ham_data!$J:$J,'DETAY-yaslandırma'!$B267,ham_data!$E:$E,'DETAY-yaslandırma'!$A267)</f>
        <v>0</v>
      </c>
      <c r="F267" s="24">
        <f>SUMIFS(ham_data!AD:AD,ham_data!$J:$J,'DETAY-yaslandırma'!$B267,ham_data!$E:$E,'DETAY-yaslandırma'!$A267)</f>
        <v>0</v>
      </c>
      <c r="G267" s="24">
        <f>SUMIFS(ham_data!AE:AE,ham_data!$J:$J,'DETAY-yaslandırma'!$B267,ham_data!$E:$E,'DETAY-yaslandırma'!$A267)</f>
        <v>0</v>
      </c>
      <c r="H267" s="24">
        <f>SUMIFS(ham_data!AF:AF,ham_data!$J:$J,'DETAY-yaslandırma'!$B267,ham_data!$E:$E,'DETAY-yaslandırma'!$A267)</f>
        <v>0</v>
      </c>
      <c r="I267" s="24">
        <f>SUMIFS(ham_data!AG:AG,ham_data!$J:$J,'DETAY-yaslandırma'!$B267,ham_data!$E:$E,'DETAY-yaslandırma'!$A267)</f>
        <v>0</v>
      </c>
      <c r="J267" s="24">
        <f>SUMIFS(ham_data!AH:AH,ham_data!$J:$J,'DETAY-yaslandırma'!$B267,ham_data!$E:$E,'DETAY-yaslandırma'!$A267)</f>
        <v>0</v>
      </c>
      <c r="K267" s="25">
        <f>SUMIFS(DETAY!D:D,DETAY!A:A,'DETAY-yaslandırma'!A267,DETAY!B:B,'DETAY-yaslandırma'!B267)</f>
        <v>0</v>
      </c>
      <c r="L267" s="25">
        <f>SUMIFS(ham_data!U:U,ham_data!$J:$J,'DETAY-yaslandırma'!$B267,ham_data!$E:$E,'DETAY-yaslandırma'!$A267)</f>
        <v>0</v>
      </c>
      <c r="M267" s="25">
        <f>SUMIFS(ham_data!V:V,ham_data!$J:$J,'DETAY-yaslandırma'!$B267,ham_data!$E:$E,'DETAY-yaslandırma'!$A267)</f>
        <v>0</v>
      </c>
      <c r="N267" s="25">
        <f>SUMIFS(ham_data!W:W,ham_data!$J:$J,'DETAY-yaslandırma'!$B267,ham_data!$E:$E,'DETAY-yaslandırma'!$A267)</f>
        <v>0</v>
      </c>
      <c r="O267" s="25">
        <f>SUMIFS(ham_data!X:X,ham_data!$J:$J,'DETAY-yaslandırma'!$B267,ham_data!$E:$E,'DETAY-yaslandırma'!$A267)</f>
        <v>0</v>
      </c>
      <c r="P267" s="25">
        <f>SUMIFS(ham_data!Y:Y,ham_data!$J:$J,'DETAY-yaslandırma'!$B267,ham_data!$E:$E,'DETAY-yaslandırma'!$A267)</f>
        <v>0</v>
      </c>
      <c r="Q267" s="25">
        <f>SUMIFS(ham_data!Z:Z,ham_data!$J:$J,'DETAY-yaslandırma'!$B267,ham_data!$E:$E,'DETAY-yaslandırma'!$A267)</f>
        <v>0</v>
      </c>
      <c r="R267" s="25">
        <f>SUMIFS(ham_data!AA:AA,ham_data!$J:$J,'DETAY-yaslandırma'!$B267,ham_data!$E:$E,'DETAY-yaslandırma'!$A267)</f>
        <v>0</v>
      </c>
      <c r="S267" s="16">
        <f>SUMIFS(DETAY!E:E,DETAY!A:A,'DETAY-yaslandırma'!A267,DETAY!B:B,'DETAY-yaslandırma'!B267)</f>
        <v>108942.01</v>
      </c>
      <c r="T267" s="16">
        <f t="shared" si="60"/>
        <v>0</v>
      </c>
      <c r="U267" s="17">
        <f t="shared" si="61"/>
        <v>0</v>
      </c>
    </row>
    <row r="268" spans="1:21" ht="15" thickBot="1" x14ac:dyDescent="0.4">
      <c r="A268" t="s">
        <v>797</v>
      </c>
      <c r="B268" t="s">
        <v>11</v>
      </c>
      <c r="C268" s="24">
        <f>SUMIFS(DETAY!C:C,DETAY!A:A,'DETAY-yaslandırma'!A268,DETAY!B:B,'DETAY-yaslandırma'!B268)</f>
        <v>0</v>
      </c>
      <c r="D268" s="24">
        <f>SUMIFS(ham_data!AB:AB,ham_data!$J:$J,'DETAY-yaslandırma'!$B268,ham_data!$E:$E,'DETAY-yaslandırma'!$A268)</f>
        <v>0</v>
      </c>
      <c r="E268" s="24">
        <f>SUMIFS(ham_data!AC:AC,ham_data!$J:$J,'DETAY-yaslandırma'!$B268,ham_data!$E:$E,'DETAY-yaslandırma'!$A268)</f>
        <v>0</v>
      </c>
      <c r="F268" s="24">
        <f>SUMIFS(ham_data!AD:AD,ham_data!$J:$J,'DETAY-yaslandırma'!$B268,ham_data!$E:$E,'DETAY-yaslandırma'!$A268)</f>
        <v>0</v>
      </c>
      <c r="G268" s="24">
        <f>SUMIFS(ham_data!AE:AE,ham_data!$J:$J,'DETAY-yaslandırma'!$B268,ham_data!$E:$E,'DETAY-yaslandırma'!$A268)</f>
        <v>0</v>
      </c>
      <c r="H268" s="24">
        <f>SUMIFS(ham_data!AF:AF,ham_data!$J:$J,'DETAY-yaslandırma'!$B268,ham_data!$E:$E,'DETAY-yaslandırma'!$A268)</f>
        <v>0</v>
      </c>
      <c r="I268" s="24">
        <f>SUMIFS(ham_data!AG:AG,ham_data!$J:$J,'DETAY-yaslandırma'!$B268,ham_data!$E:$E,'DETAY-yaslandırma'!$A268)</f>
        <v>0</v>
      </c>
      <c r="J268" s="24">
        <f>SUMIFS(ham_data!AH:AH,ham_data!$J:$J,'DETAY-yaslandırma'!$B268,ham_data!$E:$E,'DETAY-yaslandırma'!$A268)</f>
        <v>0</v>
      </c>
      <c r="K268" s="25">
        <f>SUMIFS(DETAY!D:D,DETAY!A:A,'DETAY-yaslandırma'!A268,DETAY!B:B,'DETAY-yaslandırma'!B268)</f>
        <v>55046.34</v>
      </c>
      <c r="L268" s="25">
        <f>SUMIFS(ham_data!U:U,ham_data!$J:$J,'DETAY-yaslandırma'!$B268,ham_data!$E:$E,'DETAY-yaslandırma'!$A268)</f>
        <v>0</v>
      </c>
      <c r="M268" s="25">
        <f>SUMIFS(ham_data!V:V,ham_data!$J:$J,'DETAY-yaslandırma'!$B268,ham_data!$E:$E,'DETAY-yaslandırma'!$A268)</f>
        <v>0</v>
      </c>
      <c r="N268" s="25">
        <f>SUMIFS(ham_data!W:W,ham_data!$J:$J,'DETAY-yaslandırma'!$B268,ham_data!$E:$E,'DETAY-yaslandırma'!$A268)</f>
        <v>55046.34</v>
      </c>
      <c r="O268" s="25">
        <f>SUMIFS(ham_data!X:X,ham_data!$J:$J,'DETAY-yaslandırma'!$B268,ham_data!$E:$E,'DETAY-yaslandırma'!$A268)</f>
        <v>0</v>
      </c>
      <c r="P268" s="25">
        <f>SUMIFS(ham_data!Y:Y,ham_data!$J:$J,'DETAY-yaslandırma'!$B268,ham_data!$E:$E,'DETAY-yaslandırma'!$A268)</f>
        <v>0</v>
      </c>
      <c r="Q268" s="25">
        <f>SUMIFS(ham_data!Z:Z,ham_data!$J:$J,'DETAY-yaslandırma'!$B268,ham_data!$E:$E,'DETAY-yaslandırma'!$A268)</f>
        <v>0</v>
      </c>
      <c r="R268" s="25">
        <f>SUMIFS(ham_data!AA:AA,ham_data!$J:$J,'DETAY-yaslandırma'!$B268,ham_data!$E:$E,'DETAY-yaslandırma'!$A268)</f>
        <v>0</v>
      </c>
      <c r="S268" s="16">
        <f>SUMIFS(DETAY!E:E,DETAY!A:A,'DETAY-yaslandırma'!A268,DETAY!B:B,'DETAY-yaslandırma'!B268)</f>
        <v>55046.34</v>
      </c>
      <c r="T268" s="16">
        <f t="shared" ref="T268" si="62">C268-SUM(D268:J268)</f>
        <v>0</v>
      </c>
      <c r="U268" s="17">
        <f t="shared" ref="U268" si="63">K268-SUM(L268:R268)</f>
        <v>0</v>
      </c>
    </row>
  </sheetData>
  <mergeCells count="2">
    <mergeCell ref="C3:J3"/>
    <mergeCell ref="K3:R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226B-0655-4E99-9A0F-8F37EF12610D}">
  <sheetPr codeName="Sheet5"/>
  <dimension ref="A1:H115"/>
  <sheetViews>
    <sheetView workbookViewId="0">
      <selection activeCell="A6" sqref="A6"/>
    </sheetView>
  </sheetViews>
  <sheetFormatPr defaultRowHeight="14.5" x14ac:dyDescent="0.35"/>
  <cols>
    <col min="1" max="1" width="48" customWidth="1"/>
    <col min="2" max="2" width="4.7265625" customWidth="1"/>
    <col min="3" max="3" width="13.453125" style="1" bestFit="1" customWidth="1"/>
    <col min="4" max="4" width="15.54296875" style="1" bestFit="1" customWidth="1"/>
    <col min="5" max="5" width="13.453125" style="1" bestFit="1" customWidth="1"/>
    <col min="6" max="6" width="12.36328125" style="1" bestFit="1" customWidth="1"/>
    <col min="7" max="7" width="0" hidden="1" customWidth="1"/>
  </cols>
  <sheetData>
    <row r="1" spans="1:8" x14ac:dyDescent="0.35">
      <c r="F1" s="1" t="s">
        <v>223</v>
      </c>
    </row>
    <row r="2" spans="1:8" x14ac:dyDescent="0.35">
      <c r="C2" s="1">
        <f>SUBTOTAL(9,C5:C1048576)</f>
        <v>240743342.76000002</v>
      </c>
      <c r="D2" s="1">
        <f>SUBTOTAL(9,D5:D1048576)</f>
        <v>182870184.49000007</v>
      </c>
      <c r="E2" s="1">
        <f>SUBTOTAL(9,E5:E1048576)</f>
        <v>423613527.24999994</v>
      </c>
      <c r="F2" s="1">
        <f>E2-SUM(ham_data!R2:R1048576)</f>
        <v>0</v>
      </c>
    </row>
    <row r="3" spans="1:8" x14ac:dyDescent="0.35">
      <c r="A3" t="s">
        <v>222</v>
      </c>
      <c r="C3" s="1" t="s">
        <v>219</v>
      </c>
      <c r="G3" s="1" t="s">
        <v>386</v>
      </c>
    </row>
    <row r="4" spans="1:8" x14ac:dyDescent="0.35">
      <c r="A4" t="s">
        <v>158</v>
      </c>
      <c r="B4" t="s">
        <v>147</v>
      </c>
      <c r="C4" s="1" t="s">
        <v>220</v>
      </c>
      <c r="D4" s="1" t="s">
        <v>221</v>
      </c>
      <c r="E4" s="1" t="s">
        <v>150</v>
      </c>
      <c r="F4" s="1" t="s">
        <v>144</v>
      </c>
      <c r="G4" t="str" cm="1">
        <f t="array" ref="G4">INDEX('[1]DETAY-yaşlandırma'!A:A,MATCH(1,('[1]DETAY-yaşlandırma'!A:A=DETAY!A4)*('[1]DETAY-yaşlandırma'!B:B=DETAY!B4),0),)</f>
        <v>Customer Name</v>
      </c>
      <c r="H4" s="1"/>
    </row>
    <row r="5" spans="1:8" x14ac:dyDescent="0.35">
      <c r="A5" t="s">
        <v>9</v>
      </c>
      <c r="B5" t="s">
        <v>11</v>
      </c>
      <c r="C5" s="1">
        <v>81119839.640000001</v>
      </c>
      <c r="D5" s="1">
        <v>17332734.140000001</v>
      </c>
      <c r="E5" s="1">
        <v>98452573.780000001</v>
      </c>
      <c r="F5" s="1" t="s">
        <v>448</v>
      </c>
      <c r="G5" t="str" cm="1">
        <f t="array" ref="G5">INDEX('[1]DETAY-yaşlandırma'!A:A,MATCH(1,('[1]DETAY-yaşlandırma'!A:A=DETAY!A5)*('[1]DETAY-yaşlandırma'!B:B=DETAY!B5),0),)</f>
        <v>TAV GAZİPAŞA ALANYA HAVALİMANI İŞLETMECİLİĞİ A.Ş.</v>
      </c>
    </row>
    <row r="6" spans="1:8" x14ac:dyDescent="0.35">
      <c r="A6" t="s">
        <v>68</v>
      </c>
      <c r="B6" t="s">
        <v>11</v>
      </c>
      <c r="C6" s="1">
        <v>69342595</v>
      </c>
      <c r="D6" s="1">
        <v>27745187.43</v>
      </c>
      <c r="E6" s="1">
        <v>97087782.430000007</v>
      </c>
      <c r="F6" s="1" t="s">
        <v>448</v>
      </c>
      <c r="G6" t="str" cm="1">
        <f t="array" ref="G6">INDEX('[1]DETAY-yaşlandırma'!A:A,MATCH(1,('[1]DETAY-yaşlandırma'!A:A=DETAY!A6)*('[1]DETAY-yaşlandırma'!B:B=DETAY!B6),0),)</f>
        <v>TAV MİLAS BODRUM TERMİNAL İŞL.A.Ş.</v>
      </c>
    </row>
    <row r="7" spans="1:8" x14ac:dyDescent="0.35">
      <c r="A7" t="s">
        <v>136</v>
      </c>
      <c r="B7" t="s">
        <v>11</v>
      </c>
      <c r="C7" s="1">
        <v>23280224.829999998</v>
      </c>
      <c r="D7" s="1">
        <v>17585656.800000001</v>
      </c>
      <c r="E7" s="1">
        <v>40865881.629999995</v>
      </c>
      <c r="F7" s="1" t="s">
        <v>448</v>
      </c>
      <c r="G7" t="str" cm="1">
        <f t="array" ref="G7">INDEX('[1]DETAY-yaşlandırma'!A:A,MATCH(1,('[1]DETAY-yaşlandırma'!A:A=DETAY!A7)*('[1]DETAY-yaşlandırma'!B:B=DETAY!B7),0),)</f>
        <v>TAV EGE TERMİNAL YAT.YAP.VE İŞL.A.Ş.</v>
      </c>
    </row>
    <row r="8" spans="1:8" x14ac:dyDescent="0.35">
      <c r="A8" t="s">
        <v>111</v>
      </c>
      <c r="B8" t="s">
        <v>11</v>
      </c>
      <c r="C8" s="1">
        <v>14522885.409999996</v>
      </c>
      <c r="D8" s="1">
        <v>7904386.0200000014</v>
      </c>
      <c r="E8" s="1">
        <v>22427271.43</v>
      </c>
      <c r="F8" s="1" t="s">
        <v>448</v>
      </c>
      <c r="G8" t="str" cm="1">
        <f t="array" ref="G8">INDEX('[1]DETAY-yaşlandırma'!A:A,MATCH(1,('[1]DETAY-yaşlandırma'!A:A=DETAY!A8)*('[1]DETAY-yaşlandırma'!B:B=DETAY!B8),0),)</f>
        <v>AEROSER ENTEGRE YÖNETİM VE DESTEK HİZMETLERİ A.Ş.</v>
      </c>
    </row>
    <row r="9" spans="1:8" x14ac:dyDescent="0.35">
      <c r="A9" t="s">
        <v>92</v>
      </c>
      <c r="B9" t="s">
        <v>11</v>
      </c>
      <c r="C9" s="1">
        <v>6160844.6400000006</v>
      </c>
      <c r="E9" s="1">
        <v>6160844.6400000006</v>
      </c>
      <c r="F9" s="1" t="s">
        <v>448</v>
      </c>
      <c r="G9" t="str" cm="1">
        <f t="array" ref="G9">INDEX('[1]DETAY-yaşlandırma'!A:A,MATCH(1,('[1]DETAY-yaşlandırma'!A:A=DETAY!A9)*('[1]DETAY-yaşlandırma'!B:B=DETAY!B9),0),)</f>
        <v>POLYAK EYNEZ ENERJİ ÜRETİM MADENCİLİK SAN. VE TİC. A.Ş.</v>
      </c>
    </row>
    <row r="10" spans="1:8" x14ac:dyDescent="0.35">
      <c r="A10" t="s">
        <v>228</v>
      </c>
      <c r="B10" t="s">
        <v>11</v>
      </c>
      <c r="C10" s="1">
        <v>5551326.7599999979</v>
      </c>
      <c r="D10" s="1">
        <v>268198.09999999998</v>
      </c>
      <c r="E10" s="1">
        <v>5819524.8599999975</v>
      </c>
      <c r="F10" s="1" t="s">
        <v>448</v>
      </c>
      <c r="G10" t="str" cm="1">
        <f t="array" ref="G10">INDEX('[1]DETAY-yaşlandırma'!A:A,MATCH(1,('[1]DETAY-yaşlandırma'!A:A=DETAY!A10)*('[1]DETAY-yaşlandırma'!B:B=DETAY!B10),0),)</f>
        <v>ANTALYA TAV SERA ADİ ORTAKLIĞI</v>
      </c>
    </row>
    <row r="11" spans="1:8" x14ac:dyDescent="0.35">
      <c r="A11" t="s">
        <v>462</v>
      </c>
      <c r="B11" t="s">
        <v>11</v>
      </c>
      <c r="C11" s="1">
        <v>3815077.47</v>
      </c>
      <c r="E11" s="1">
        <v>3815077.47</v>
      </c>
      <c r="F11" s="1" t="s">
        <v>448</v>
      </c>
      <c r="G11" t="e" cm="1">
        <f t="array" ref="G11">INDEX('[1]DETAY-yaşlandırma'!A:A,MATCH(1,('[1]DETAY-yaşlandırma'!A:A=DETAY!A11)*('[1]DETAY-yaşlandırma'!B:B=DETAY!B11),0),)</f>
        <v>#N/A</v>
      </c>
    </row>
    <row r="12" spans="1:8" x14ac:dyDescent="0.35">
      <c r="A12" t="s">
        <v>48</v>
      </c>
      <c r="B12" t="s">
        <v>11</v>
      </c>
      <c r="C12" s="1">
        <v>3222570.09</v>
      </c>
      <c r="D12" s="1">
        <v>4732580.1899999995</v>
      </c>
      <c r="E12" s="1">
        <v>7955150.2799999993</v>
      </c>
      <c r="F12" s="1" t="s">
        <v>448</v>
      </c>
      <c r="G12" t="str" cm="1">
        <f t="array" ref="G12">INDEX('[1]DETAY-yaşlandırma'!A:A,MATCH(1,('[1]DETAY-yaşlandırma'!A:A=DETAY!A12)*('[1]DETAY-yaşlandırma'!B:B=DETAY!B12),0),)</f>
        <v>FMV IŞIK ÜNİVERSİTESİ</v>
      </c>
    </row>
    <row r="13" spans="1:8" x14ac:dyDescent="0.35">
      <c r="A13" t="s">
        <v>263</v>
      </c>
      <c r="B13" t="s">
        <v>11</v>
      </c>
      <c r="C13" s="1">
        <v>2821517.16</v>
      </c>
      <c r="E13" s="1">
        <v>2821517.16</v>
      </c>
      <c r="F13" s="1" t="s">
        <v>448</v>
      </c>
      <c r="G13" t="str" cm="1">
        <f t="array" ref="G13">INDEX('[1]DETAY-yaşlandırma'!A:A,MATCH(1,('[1]DETAY-yaşlandırma'!A:A=DETAY!A13)*('[1]DETAY-yaşlandırma'!B:B=DETAY!B13),0),)</f>
        <v>EGİS TÜNEL İŞLETMECİLİĞİ A.Ş.</v>
      </c>
    </row>
    <row r="14" spans="1:8" x14ac:dyDescent="0.35">
      <c r="A14" t="s">
        <v>236</v>
      </c>
      <c r="B14" t="s">
        <v>11</v>
      </c>
      <c r="C14" s="1">
        <v>2678755.08</v>
      </c>
      <c r="E14" s="1">
        <v>2678755.08</v>
      </c>
      <c r="F14" s="1" t="s">
        <v>448</v>
      </c>
      <c r="G14" t="str" cm="1">
        <f t="array" ref="G14">INDEX('[1]DETAY-yaşlandırma'!A:A,MATCH(1,('[1]DETAY-yaşlandırma'!A:A=DETAY!A14)*('[1]DETAY-yaşlandırma'!B:B=DETAY!B14),0),)</f>
        <v>AGROBEST GRUP TARIM İLAÇLARI TOH.İML.İTH.İHR.SAN.VE TİC.A.Ş.</v>
      </c>
    </row>
    <row r="15" spans="1:8" x14ac:dyDescent="0.35">
      <c r="A15" t="s">
        <v>371</v>
      </c>
      <c r="B15" t="s">
        <v>11</v>
      </c>
      <c r="C15" s="1">
        <v>2530453.37</v>
      </c>
      <c r="D15" s="1">
        <v>2557162.94</v>
      </c>
      <c r="E15" s="1">
        <v>5087616.3100000005</v>
      </c>
      <c r="F15" s="1" t="s">
        <v>448</v>
      </c>
      <c r="G15" t="str" cm="1">
        <f t="array" ref="G15">INDEX('[1]DETAY-yaşlandırma'!A:A,MATCH(1,('[1]DETAY-yaşlandırma'!A:A=DETAY!A15)*('[1]DETAY-yaşlandırma'!B:B=DETAY!B15),0),)</f>
        <v>NİDA YÖNETİM VE HİZMET A.Ş.</v>
      </c>
    </row>
    <row r="16" spans="1:8" x14ac:dyDescent="0.35">
      <c r="A16" t="s">
        <v>365</v>
      </c>
      <c r="B16" t="s">
        <v>11</v>
      </c>
      <c r="C16" s="1">
        <v>2379897.27</v>
      </c>
      <c r="D16" s="1">
        <v>2128065.87</v>
      </c>
      <c r="E16" s="1">
        <v>4507963.1400000006</v>
      </c>
      <c r="F16" s="1" t="s">
        <v>448</v>
      </c>
      <c r="G16" t="str" cm="1">
        <f t="array" ref="G16">INDEX('[1]DETAY-yaşlandırma'!A:A,MATCH(1,('[1]DETAY-yaşlandırma'!A:A=DETAY!A16)*('[1]DETAY-yaşlandırma'!B:B=DETAY!B16),0),)</f>
        <v>BTA UNLU MAMULLER GIDA ÜRETİM SAN.VE TİC.A.Ş.</v>
      </c>
    </row>
    <row r="17" spans="1:7" x14ac:dyDescent="0.35">
      <c r="A17" t="s">
        <v>80</v>
      </c>
      <c r="B17" t="s">
        <v>11</v>
      </c>
      <c r="C17" s="1">
        <v>2285789.6800000002</v>
      </c>
      <c r="E17" s="1">
        <v>2285789.6800000002</v>
      </c>
      <c r="F17" s="1" t="s">
        <v>448</v>
      </c>
      <c r="G17" t="str" cm="1">
        <f t="array" ref="G17">INDEX('[1]DETAY-yaşlandırma'!A:A,MATCH(1,('[1]DETAY-yaşlandırma'!A:A=DETAY!A17)*('[1]DETAY-yaşlandırma'!B:B=DETAY!B17),0),)</f>
        <v>T.C. DEMİROĞLU BİLİM ÜNİVERSİTESİ</v>
      </c>
    </row>
    <row r="18" spans="1:7" x14ac:dyDescent="0.35">
      <c r="A18" t="s">
        <v>54</v>
      </c>
      <c r="B18" t="s">
        <v>11</v>
      </c>
      <c r="C18" s="1">
        <v>2160661.4500000002</v>
      </c>
      <c r="E18" s="1">
        <v>2160661.4500000002</v>
      </c>
      <c r="F18" s="1" t="s">
        <v>448</v>
      </c>
      <c r="G18" t="str" cm="1">
        <f t="array" ref="G18">INDEX('[1]DETAY-yaşlandırma'!A:A,MATCH(1,('[1]DETAY-yaşlandırma'!A:A=DETAY!A18)*('[1]DETAY-yaşlandırma'!B:B=DETAY!B18),0),)</f>
        <v>FULYA SAĞLIK TESİSLERİ A.Ş.</v>
      </c>
    </row>
    <row r="19" spans="1:7" x14ac:dyDescent="0.35">
      <c r="A19" t="s">
        <v>268</v>
      </c>
      <c r="B19" t="s">
        <v>11</v>
      </c>
      <c r="C19" s="1">
        <v>1988077.92</v>
      </c>
      <c r="E19" s="1">
        <v>1988077.92</v>
      </c>
      <c r="F19" s="1" t="s">
        <v>448</v>
      </c>
      <c r="G19" t="str" cm="1">
        <f t="array" ref="G19">INDEX('[1]DETAY-yaşlandırma'!A:A,MATCH(1,('[1]DETAY-yaşlandırma'!A:A=DETAY!A19)*('[1]DETAY-yaşlandırma'!B:B=DETAY!B19),0),)</f>
        <v>İSTANBUL FLORENCE NIGHTINGALE HASTANESİ A.Ş.</v>
      </c>
    </row>
    <row r="20" spans="1:7" x14ac:dyDescent="0.35">
      <c r="A20" t="s">
        <v>45</v>
      </c>
      <c r="B20" t="s">
        <v>11</v>
      </c>
      <c r="C20" s="1">
        <v>1867712.35</v>
      </c>
      <c r="E20" s="1">
        <v>1867712.35</v>
      </c>
      <c r="F20" s="1" t="s">
        <v>448</v>
      </c>
      <c r="G20" t="str" cm="1">
        <f t="array" ref="G20">INDEX('[1]DETAY-yaşlandırma'!A:A,MATCH(1,('[1]DETAY-yaşlandırma'!A:A=DETAY!A20)*('[1]DETAY-yaşlandırma'!B:B=DETAY!B20),0),)</f>
        <v>FLORYA EKŞİNAR KONAKLARI VE İŞYERİ BİNASI SİTE YÖNETİMİ</v>
      </c>
    </row>
    <row r="21" spans="1:7" x14ac:dyDescent="0.35">
      <c r="A21" t="s">
        <v>86</v>
      </c>
      <c r="B21" t="s">
        <v>11</v>
      </c>
      <c r="C21" s="1">
        <v>1516828.21</v>
      </c>
      <c r="E21" s="1">
        <v>1516828.21</v>
      </c>
      <c r="F21" s="1" t="s">
        <v>448</v>
      </c>
      <c r="G21" t="str" cm="1">
        <f t="array" ref="G21">INDEX('[1]DETAY-yaşlandırma'!A:A,MATCH(1,('[1]DETAY-yaşlandırma'!A:A=DETAY!A21)*('[1]DETAY-yaşlandırma'!B:B=DETAY!B21),0),)</f>
        <v>FİNANSKENT SİTE YÖNETİMİ</v>
      </c>
    </row>
    <row r="22" spans="1:7" x14ac:dyDescent="0.35">
      <c r="A22" t="s">
        <v>148</v>
      </c>
      <c r="B22" t="s">
        <v>11</v>
      </c>
      <c r="C22" s="1">
        <v>1435720.02</v>
      </c>
      <c r="E22" s="1">
        <v>1435720.02</v>
      </c>
      <c r="F22" s="1" t="s">
        <v>448</v>
      </c>
      <c r="G22" t="str" cm="1">
        <f t="array" ref="G22">INDEX('[1]DETAY-yaşlandırma'!A:A,MATCH(1,('[1]DETAY-yaşlandırma'!A:A=DETAY!A22)*('[1]DETAY-yaşlandırma'!B:B=DETAY!B22),0),)</f>
        <v>5K YÜZEY TEKNOLOJİLERİ ORMAN ÜRÜNLERİ MOB.SAN.VE TİC.A.Ş.</v>
      </c>
    </row>
    <row r="23" spans="1:7" x14ac:dyDescent="0.35">
      <c r="A23" t="s">
        <v>259</v>
      </c>
      <c r="B23" t="s">
        <v>11</v>
      </c>
      <c r="C23" s="1">
        <v>1281300.6000000001</v>
      </c>
      <c r="E23" s="1">
        <v>1281300.6000000001</v>
      </c>
      <c r="F23" s="1" t="s">
        <v>448</v>
      </c>
      <c r="G23" t="str" cm="1">
        <f t="array" ref="G23">INDEX('[1]DETAY-yaşlandırma'!A:A,MATCH(1,('[1]DETAY-yaşlandırma'!A:A=DETAY!A23)*('[1]DETAY-yaşlandırma'!B:B=DETAY!B23),0),)</f>
        <v>AVRUPA KONAKLARI FLORYA SİTE YÖNETİMİ</v>
      </c>
    </row>
    <row r="24" spans="1:7" x14ac:dyDescent="0.35">
      <c r="A24" t="s">
        <v>361</v>
      </c>
      <c r="B24" t="s">
        <v>11</v>
      </c>
      <c r="C24" s="1">
        <v>1207159.73</v>
      </c>
      <c r="D24" s="1">
        <v>2072099.4300000002</v>
      </c>
      <c r="E24" s="1">
        <v>3279259.16</v>
      </c>
      <c r="F24" s="1" t="s">
        <v>448</v>
      </c>
      <c r="G24" t="str" cm="1">
        <f t="array" ref="G24">INDEX('[1]DETAY-yaşlandırma'!A:A,MATCH(1,('[1]DETAY-yaşlandırma'!A:A=DETAY!A24)*('[1]DETAY-yaşlandırma'!B:B=DETAY!B24),0),)</f>
        <v>HAKCEL GROUP OTELCİLİK VE YATIRIM A.Ş.</v>
      </c>
    </row>
    <row r="25" spans="1:7" x14ac:dyDescent="0.35">
      <c r="A25" t="s">
        <v>100</v>
      </c>
      <c r="B25" t="s">
        <v>11</v>
      </c>
      <c r="C25" s="1">
        <v>1149520.8999999999</v>
      </c>
      <c r="E25" s="1">
        <v>1149520.8999999999</v>
      </c>
      <c r="F25" s="1" t="s">
        <v>448</v>
      </c>
      <c r="G25" t="str" cm="1">
        <f t="array" ref="G25">INDEX('[1]DETAY-yaşlandırma'!A:A,MATCH(1,('[1]DETAY-yaşlandırma'!A:A=DETAY!A25)*('[1]DETAY-yaşlandırma'!B:B=DETAY!B25),0),)</f>
        <v>FLORENCE NIGHTINGALE TIP MERKEZİ A.Ş.</v>
      </c>
    </row>
    <row r="26" spans="1:7" x14ac:dyDescent="0.35">
      <c r="A26" t="s">
        <v>461</v>
      </c>
      <c r="B26" t="s">
        <v>11</v>
      </c>
      <c r="C26" s="1">
        <v>1090132.52</v>
      </c>
      <c r="E26" s="1">
        <v>1090132.52</v>
      </c>
      <c r="F26" s="1" t="s">
        <v>448</v>
      </c>
      <c r="G26" t="e" cm="1">
        <f t="array" ref="G26">INDEX('[1]DETAY-yaşlandırma'!A:A,MATCH(1,('[1]DETAY-yaşlandırma'!A:A=DETAY!A26)*('[1]DETAY-yaşlandırma'!B:B=DETAY!B26),0),)</f>
        <v>#N/A</v>
      </c>
    </row>
    <row r="27" spans="1:7" x14ac:dyDescent="0.35">
      <c r="A27" t="s">
        <v>327</v>
      </c>
      <c r="B27" t="s">
        <v>11</v>
      </c>
      <c r="C27" s="1">
        <v>1019543.75</v>
      </c>
      <c r="E27" s="1">
        <v>1019543.75</v>
      </c>
      <c r="F27" s="1" t="s">
        <v>448</v>
      </c>
      <c r="G27" t="str" cm="1">
        <f t="array" ref="G27">INDEX('[1]DETAY-yaşlandırma'!A:A,MATCH(1,('[1]DETAY-yaşlandırma'!A:A=DETAY!A27)*('[1]DETAY-yaşlandırma'!B:B=DETAY!B27),0),)</f>
        <v>MEŞEBÜKÜ TURİZM İŞLETMELERİ A.Ş.</v>
      </c>
    </row>
    <row r="28" spans="1:7" x14ac:dyDescent="0.35">
      <c r="A28" t="s">
        <v>23</v>
      </c>
      <c r="B28" t="s">
        <v>11</v>
      </c>
      <c r="C28" s="1">
        <v>945236.29</v>
      </c>
      <c r="D28" s="1">
        <v>344519.07</v>
      </c>
      <c r="E28" s="1">
        <v>1289755.3600000001</v>
      </c>
      <c r="F28" s="1" t="s">
        <v>448</v>
      </c>
      <c r="G28" t="str" cm="1">
        <f t="array" ref="G28">INDEX('[1]DETAY-yaşlandırma'!A:A,MATCH(1,('[1]DETAY-yaşlandırma'!A:A=DETAY!A28)*('[1]DETAY-yaşlandırma'!B:B=DETAY!B28),0),)</f>
        <v>SERA YAPI END.VE TİC.A.Ş.</v>
      </c>
    </row>
    <row r="29" spans="1:7" x14ac:dyDescent="0.35">
      <c r="A29" t="s">
        <v>232</v>
      </c>
      <c r="B29" t="s">
        <v>11</v>
      </c>
      <c r="C29" s="1">
        <v>906968.83000000007</v>
      </c>
      <c r="E29" s="1">
        <v>906968.83000000007</v>
      </c>
      <c r="F29" s="1" t="s">
        <v>448</v>
      </c>
      <c r="G29" t="str" cm="1">
        <f t="array" ref="G29">INDEX('[1]DETAY-yaşlandırma'!A:A,MATCH(1,('[1]DETAY-yaşlandırma'!A:A=DETAY!A29)*('[1]DETAY-yaşlandırma'!B:B=DETAY!B29),0),)</f>
        <v>UYSALGAZİ ALIŞVERİŞ MERKEZİ TİC. A.Ş.</v>
      </c>
    </row>
    <row r="30" spans="1:7" x14ac:dyDescent="0.35">
      <c r="A30" t="s">
        <v>65</v>
      </c>
      <c r="B30" t="s">
        <v>11</v>
      </c>
      <c r="C30" s="1">
        <v>775264.48</v>
      </c>
      <c r="E30" s="1">
        <v>775264.48</v>
      </c>
      <c r="F30" s="1" t="s">
        <v>448</v>
      </c>
      <c r="G30" t="str" cm="1">
        <f t="array" ref="G30">INDEX('[1]DETAY-yaşlandırma'!A:A,MATCH(1,('[1]DETAY-yaşlandırma'!A:A=DETAY!A30)*('[1]DETAY-yaşlandırma'!B:B=DETAY!B30),0),)</f>
        <v>TAV-SERA ANKARA ADİ ORTAKLIĞI</v>
      </c>
    </row>
    <row r="31" spans="1:7" x14ac:dyDescent="0.35">
      <c r="A31" t="s">
        <v>76</v>
      </c>
      <c r="B31" t="s">
        <v>11</v>
      </c>
      <c r="C31" s="1">
        <v>668550.64</v>
      </c>
      <c r="E31" s="1">
        <v>668550.64</v>
      </c>
      <c r="F31" s="1" t="s">
        <v>448</v>
      </c>
      <c r="G31" t="str" cm="1">
        <f t="array" ref="G31">INDEX('[1]DETAY-yaşlandırma'!A:A,MATCH(1,('[1]DETAY-yaşlandırma'!A:A=DETAY!A31)*('[1]DETAY-yaşlandırma'!B:B=DETAY!B31),0),)</f>
        <v>İTOB ORGANİZE SANAYİ BÖLGESİ</v>
      </c>
    </row>
    <row r="32" spans="1:7" x14ac:dyDescent="0.35">
      <c r="A32" t="s">
        <v>312</v>
      </c>
      <c r="B32" t="s">
        <v>11</v>
      </c>
      <c r="C32" s="1">
        <v>629581.82999999996</v>
      </c>
      <c r="D32" s="1">
        <v>404162.08</v>
      </c>
      <c r="E32" s="1">
        <v>1033743.9099999999</v>
      </c>
      <c r="F32" s="1" t="s">
        <v>448</v>
      </c>
      <c r="G32" t="str" cm="1">
        <f t="array" ref="G32">INDEX('[1]DETAY-yaşlandırma'!A:A,MATCH(1,('[1]DETAY-yaşlandırma'!A:A=DETAY!A32)*('[1]DETAY-yaşlandırma'!B:B=DETAY!B32),0),)</f>
        <v>BFA  ANTALYA  HAVALİMANI  YİYECEK  VE  İÇECEK  HİZM.A.Ş.</v>
      </c>
    </row>
    <row r="33" spans="1:7" x14ac:dyDescent="0.35">
      <c r="A33" t="s">
        <v>83</v>
      </c>
      <c r="B33" t="s">
        <v>11</v>
      </c>
      <c r="C33" s="1">
        <v>304267.5</v>
      </c>
      <c r="D33" s="1">
        <v>304267.5</v>
      </c>
      <c r="E33" s="1">
        <v>608535</v>
      </c>
      <c r="F33" s="1" t="s">
        <v>448</v>
      </c>
      <c r="G33" t="str" cm="1">
        <f t="array" ref="G33">INDEX('[1]DETAY-yaşlandırma'!A:A,MATCH(1,('[1]DETAY-yaşlandırma'!A:A=DETAY!A33)*('[1]DETAY-yaşlandırma'!B:B=DETAY!B33),0),)</f>
        <v>IMPERİUM NO 1 RESİDENCE BİNA YÖNETİCİLİĞİ</v>
      </c>
    </row>
    <row r="34" spans="1:7" x14ac:dyDescent="0.35">
      <c r="A34" t="s">
        <v>114</v>
      </c>
      <c r="B34" t="s">
        <v>11</v>
      </c>
      <c r="C34" s="1">
        <v>300000</v>
      </c>
      <c r="D34" s="1">
        <v>735538.18</v>
      </c>
      <c r="E34" s="1">
        <v>1035538.18</v>
      </c>
      <c r="F34" s="1" t="s">
        <v>448</v>
      </c>
      <c r="G34" t="str" cm="1">
        <f t="array" ref="G34">INDEX('[1]DETAY-yaşlandırma'!A:A,MATCH(1,('[1]DETAY-yaşlandırma'!A:A=DETAY!A34)*('[1]DETAY-yaşlandırma'!B:B=DETAY!B34),0),)</f>
        <v>BOTİM İŞLETME YÖNETİM VE TİCARET A.Ş.</v>
      </c>
    </row>
    <row r="35" spans="1:7" x14ac:dyDescent="0.35">
      <c r="A35" t="s">
        <v>269</v>
      </c>
      <c r="B35" t="s">
        <v>11</v>
      </c>
      <c r="C35" s="1">
        <v>274708.62</v>
      </c>
      <c r="E35" s="1">
        <v>274708.62</v>
      </c>
      <c r="F35" s="1" t="s">
        <v>448</v>
      </c>
      <c r="G35" t="str" cm="1">
        <f t="array" ref="G35">INDEX('[1]DETAY-yaşlandırma'!A:A,MATCH(1,('[1]DETAY-yaşlandırma'!A:A=DETAY!A35)*('[1]DETAY-yaşlandırma'!B:B=DETAY!B35),0),)</f>
        <v>TALU TEKSTİL SANAYİ VE TİCARET A.Ş.</v>
      </c>
    </row>
    <row r="36" spans="1:7" x14ac:dyDescent="0.35">
      <c r="A36" t="s">
        <v>252</v>
      </c>
      <c r="B36" t="s">
        <v>11</v>
      </c>
      <c r="C36" s="1">
        <v>272481.71000000002</v>
      </c>
      <c r="E36" s="1">
        <v>272481.71000000002</v>
      </c>
      <c r="F36" s="1" t="s">
        <v>448</v>
      </c>
      <c r="G36" t="str" cm="1">
        <f t="array" ref="G36">INDEX('[1]DETAY-yaşlandırma'!A:A,MATCH(1,('[1]DETAY-yaşlandırma'!A:A=DETAY!A36)*('[1]DETAY-yaşlandırma'!B:B=DETAY!B36),0),)</f>
        <v>ULAK HABERLEŞME A.Ş.</v>
      </c>
    </row>
    <row r="37" spans="1:7" x14ac:dyDescent="0.35">
      <c r="A37" t="s">
        <v>394</v>
      </c>
      <c r="B37" t="s">
        <v>11</v>
      </c>
      <c r="C37" s="1">
        <v>250313.77</v>
      </c>
      <c r="E37" s="1">
        <v>250313.77</v>
      </c>
      <c r="F37" s="1" t="s">
        <v>448</v>
      </c>
      <c r="G37" t="e" cm="1">
        <f t="array" ref="G37">INDEX('[1]DETAY-yaşlandırma'!A:A,MATCH(1,('[1]DETAY-yaşlandırma'!A:A=DETAY!A37)*('[1]DETAY-yaşlandırma'!B:B=DETAY!B37),0),)</f>
        <v>#N/A</v>
      </c>
    </row>
    <row r="38" spans="1:7" x14ac:dyDescent="0.35">
      <c r="A38" t="s">
        <v>154</v>
      </c>
      <c r="B38" t="s">
        <v>11</v>
      </c>
      <c r="C38" s="1">
        <v>237679.73</v>
      </c>
      <c r="E38" s="1">
        <v>237679.73</v>
      </c>
      <c r="F38" s="1" t="s">
        <v>448</v>
      </c>
      <c r="G38" t="str" cm="1">
        <f t="array" ref="G38">INDEX('[1]DETAY-yaşlandırma'!A:A,MATCH(1,('[1]DETAY-yaşlandırma'!A:A=DETAY!A38)*('[1]DETAY-yaşlandırma'!B:B=DETAY!B38),0),)</f>
        <v>GRUP FLORENCE NIGHTINGALE HASTANELERİ A.Ş.</v>
      </c>
    </row>
    <row r="39" spans="1:7" x14ac:dyDescent="0.35">
      <c r="A39" t="s">
        <v>349</v>
      </c>
      <c r="B39" t="s">
        <v>11</v>
      </c>
      <c r="C39" s="1">
        <v>132375.12</v>
      </c>
      <c r="D39" s="1">
        <v>203213.28000000003</v>
      </c>
      <c r="E39" s="1">
        <v>335588.4</v>
      </c>
      <c r="F39" s="1" t="s">
        <v>448</v>
      </c>
      <c r="G39" t="str" cm="1">
        <f t="array" ref="G39">INDEX('[1]DETAY-yaşlandırma'!A:A,MATCH(1,('[1]DETAY-yaşlandırma'!A:A=DETAY!A39)*('[1]DETAY-yaşlandırma'!B:B=DETAY!B39),0),)</f>
        <v>SHAYA MAĞAZACILIK A.Ş.</v>
      </c>
    </row>
    <row r="40" spans="1:7" x14ac:dyDescent="0.35">
      <c r="A40" t="s">
        <v>566</v>
      </c>
      <c r="B40" t="s">
        <v>11</v>
      </c>
      <c r="C40" s="1">
        <v>113750.7</v>
      </c>
      <c r="E40" s="1">
        <v>113750.7</v>
      </c>
      <c r="F40" s="1" t="s">
        <v>448</v>
      </c>
      <c r="G40" t="e" cm="1">
        <f t="array" ref="G40">INDEX('[1]DETAY-yaşlandırma'!A:A,MATCH(1,('[1]DETAY-yaşlandırma'!A:A=DETAY!A40)*('[1]DETAY-yaşlandırma'!B:B=DETAY!B40),0),)</f>
        <v>#N/A</v>
      </c>
    </row>
    <row r="41" spans="1:7" x14ac:dyDescent="0.35">
      <c r="A41" t="s">
        <v>674</v>
      </c>
      <c r="B41" t="s">
        <v>11</v>
      </c>
      <c r="C41" s="1">
        <v>108942.01</v>
      </c>
      <c r="E41" s="1">
        <v>108942.01</v>
      </c>
      <c r="F41" s="1" t="s">
        <v>448</v>
      </c>
      <c r="G41" t="e" cm="1">
        <f t="array" ref="G41">INDEX('[1]DETAY-yaşlandırma'!A:A,MATCH(1,('[1]DETAY-yaşlandırma'!A:A=DETAY!A41)*('[1]DETAY-yaşlandırma'!B:B=DETAY!B41),0),)</f>
        <v>#N/A</v>
      </c>
    </row>
    <row r="42" spans="1:7" x14ac:dyDescent="0.35">
      <c r="A42" t="s">
        <v>475</v>
      </c>
      <c r="B42" t="s">
        <v>11</v>
      </c>
      <c r="C42" s="1">
        <v>78650</v>
      </c>
      <c r="E42" s="1">
        <v>78650</v>
      </c>
      <c r="F42" s="1" t="s">
        <v>448</v>
      </c>
      <c r="G42" t="e" cm="1">
        <f t="array" ref="G42">INDEX('[1]DETAY-yaşlandırma'!A:A,MATCH(1,('[1]DETAY-yaşlandırma'!A:A=DETAY!A42)*('[1]DETAY-yaşlandırma'!B:B=DETAY!B42),0),)</f>
        <v>#N/A</v>
      </c>
    </row>
    <row r="43" spans="1:7" x14ac:dyDescent="0.35">
      <c r="A43" t="s">
        <v>113</v>
      </c>
      <c r="B43" t="s">
        <v>11</v>
      </c>
      <c r="C43" s="1">
        <v>77021.83</v>
      </c>
      <c r="D43" s="1">
        <v>75366.06</v>
      </c>
      <c r="E43" s="1">
        <v>152387.89000000001</v>
      </c>
      <c r="F43" s="1" t="s">
        <v>448</v>
      </c>
      <c r="G43" t="str" cm="1">
        <f t="array" ref="G43">INDEX('[1]DETAY-yaşlandırma'!A:A,MATCH(1,('[1]DETAY-yaşlandırma'!A:A=DETAY!A43)*('[1]DETAY-yaşlandırma'!B:B=DETAY!B43),0),)</f>
        <v>TAV AKADEMİ EĞİTİM VE DAN.HİZ.A.Ş.</v>
      </c>
    </row>
    <row r="44" spans="1:7" x14ac:dyDescent="0.35">
      <c r="A44" t="s">
        <v>332</v>
      </c>
      <c r="B44" t="s">
        <v>11</v>
      </c>
      <c r="C44" s="1">
        <v>59546.83</v>
      </c>
      <c r="E44" s="1">
        <v>59546.83</v>
      </c>
      <c r="F44" s="1" t="s">
        <v>448</v>
      </c>
      <c r="G44" t="str" cm="1">
        <f t="array" ref="G44">INDEX('[1]DETAY-yaşlandırma'!A:A,MATCH(1,('[1]DETAY-yaşlandırma'!A:A=DETAY!A44)*('[1]DETAY-yaşlandırma'!B:B=DETAY!B44),0),)</f>
        <v>ASTAŞ YAPI VE YAPI ADİ ORTAKLIĞI</v>
      </c>
    </row>
    <row r="45" spans="1:7" x14ac:dyDescent="0.35">
      <c r="A45" t="s">
        <v>120</v>
      </c>
      <c r="B45" t="s">
        <v>11</v>
      </c>
      <c r="C45" s="1">
        <v>53856.99</v>
      </c>
      <c r="E45" s="1">
        <v>53856.99</v>
      </c>
      <c r="F45" s="1" t="s">
        <v>448</v>
      </c>
      <c r="G45" t="str" cm="1">
        <f t="array" ref="G45">INDEX('[1]DETAY-yaşlandırma'!A:A,MATCH(1,('[1]DETAY-yaşlandırma'!A:A=DETAY!A45)*('[1]DETAY-yaşlandırma'!B:B=DETAY!B45),0),)</f>
        <v>ÖZEL ATAKENT KOLEJ EĞİTİM YAYIN BASIM HİZ.TİC.VE SAN.A.Ş.</v>
      </c>
    </row>
    <row r="46" spans="1:7" x14ac:dyDescent="0.35">
      <c r="A46" t="s">
        <v>124</v>
      </c>
      <c r="B46" t="s">
        <v>11</v>
      </c>
      <c r="C46" s="1">
        <v>42922.720000000001</v>
      </c>
      <c r="E46" s="1">
        <v>42922.720000000001</v>
      </c>
      <c r="F46" s="1" t="s">
        <v>448</v>
      </c>
      <c r="G46" t="str" cm="1">
        <f t="array" ref="G46">INDEX('[1]DETAY-yaşlandırma'!A:A,MATCH(1,('[1]DETAY-yaşlandırma'!A:A=DETAY!A46)*('[1]DETAY-yaşlandırma'!B:B=DETAY!B46),0),)</f>
        <v>INTERGLOBE AVIATION LTD.JANPATH/NEW DELHI</v>
      </c>
    </row>
    <row r="47" spans="1:7" x14ac:dyDescent="0.35">
      <c r="A47" t="s">
        <v>134</v>
      </c>
      <c r="B47" t="s">
        <v>11</v>
      </c>
      <c r="C47" s="1">
        <v>34675</v>
      </c>
      <c r="D47" s="1">
        <v>106000</v>
      </c>
      <c r="E47" s="1">
        <v>140675</v>
      </c>
      <c r="F47" s="1" t="s">
        <v>448</v>
      </c>
      <c r="G47" t="str" cm="1">
        <f t="array" ref="G47">INDEX('[1]DETAY-yaşlandırma'!A:A,MATCH(1,('[1]DETAY-yaşlandırma'!A:A=DETAY!A47)*('[1]DETAY-yaşlandırma'!B:B=DETAY!B47),0),)</f>
        <v>TAV ÖZEL GÜVENLİK PERSONEL EĞİTİM</v>
      </c>
    </row>
    <row r="48" spans="1:7" x14ac:dyDescent="0.35">
      <c r="A48" t="s">
        <v>570</v>
      </c>
      <c r="B48" t="s">
        <v>11</v>
      </c>
      <c r="C48" s="1">
        <v>19575.7</v>
      </c>
      <c r="E48" s="1">
        <v>19575.7</v>
      </c>
      <c r="F48" s="1" t="s">
        <v>448</v>
      </c>
      <c r="G48" t="e" cm="1">
        <f t="array" ref="G48">INDEX('[1]DETAY-yaşlandırma'!A:A,MATCH(1,('[1]DETAY-yaşlandırma'!A:A=DETAY!A48)*('[1]DETAY-yaşlandırma'!B:B=DETAY!B48),0),)</f>
        <v>#N/A</v>
      </c>
    </row>
    <row r="49" spans="1:7" x14ac:dyDescent="0.35">
      <c r="A49" t="s">
        <v>129</v>
      </c>
      <c r="B49" t="s">
        <v>11</v>
      </c>
      <c r="C49" s="1">
        <v>14320</v>
      </c>
      <c r="E49" s="1">
        <v>14320</v>
      </c>
      <c r="F49" s="1" t="s">
        <v>448</v>
      </c>
      <c r="G49" t="str" cm="1">
        <f t="array" ref="G49">INDEX('[1]DETAY-yaşlandırma'!A:A,MATCH(1,('[1]DETAY-yaşlandırma'!A:A=DETAY!A49)*('[1]DETAY-yaşlandırma'!B:B=DETAY!B49),0),)</f>
        <v>ATLASJET HAVACILIK A.Ş.</v>
      </c>
    </row>
    <row r="50" spans="1:7" x14ac:dyDescent="0.35">
      <c r="A50" t="s">
        <v>366</v>
      </c>
      <c r="B50" t="s">
        <v>11</v>
      </c>
      <c r="C50" s="1">
        <v>11933.33</v>
      </c>
      <c r="E50" s="1">
        <v>11933.33</v>
      </c>
      <c r="F50" s="1" t="s">
        <v>448</v>
      </c>
      <c r="G50" t="str" cm="1">
        <f t="array" ref="G50">INDEX('[1]DETAY-yaşlandırma'!A:A,MATCH(1,('[1]DETAY-yaşlandırma'!A:A=DETAY!A50)*('[1]DETAY-yaşlandırma'!B:B=DETAY!B50),0),)</f>
        <v>TAV ANKARA YATIRIM YAPIM VE İŞLETME A.Ş.</v>
      </c>
    </row>
    <row r="51" spans="1:7" x14ac:dyDescent="0.35">
      <c r="A51" t="s">
        <v>139</v>
      </c>
      <c r="B51" t="s">
        <v>11</v>
      </c>
      <c r="C51" s="1">
        <v>886.78</v>
      </c>
      <c r="E51" s="1">
        <v>886.78</v>
      </c>
      <c r="F51" s="1" t="s">
        <v>448</v>
      </c>
      <c r="G51" t="str" cm="1">
        <f t="array" ref="G51">INDEX('[1]DETAY-yaşlandırma'!A:A,MATCH(1,('[1]DETAY-yaşlandırma'!A:A=DETAY!A51)*('[1]DETAY-yaşlandırma'!B:B=DETAY!B51),0),)</f>
        <v>GÖKSU DAMLA TEKSTİL KONFEKSİYON SAN.VE TİC.LTD.ŞTİ.</v>
      </c>
    </row>
    <row r="52" spans="1:7" x14ac:dyDescent="0.35">
      <c r="A52" t="s">
        <v>328</v>
      </c>
      <c r="B52" t="s">
        <v>37</v>
      </c>
      <c r="C52" s="1">
        <v>560</v>
      </c>
      <c r="D52" s="1">
        <v>7696</v>
      </c>
      <c r="E52" s="1">
        <v>8256</v>
      </c>
      <c r="F52" s="1" t="s">
        <v>448</v>
      </c>
      <c r="G52" t="str" cm="1">
        <f t="array" ref="G52">INDEX('[1]DETAY-yaşlandırma'!A:A,MATCH(1,('[1]DETAY-yaşlandırma'!A:A=DETAY!A52)*('[1]DETAY-yaşlandırma'!B:B=DETAY!B52),0),)</f>
        <v>Ryanair UK Limited.</v>
      </c>
    </row>
    <row r="53" spans="1:7" x14ac:dyDescent="0.35">
      <c r="A53" t="s">
        <v>106</v>
      </c>
      <c r="B53" t="s">
        <v>37</v>
      </c>
      <c r="C53" s="1">
        <v>517.20000000000005</v>
      </c>
      <c r="D53" s="1">
        <v>327</v>
      </c>
      <c r="E53" s="1">
        <v>844.2</v>
      </c>
      <c r="F53" s="1" t="s">
        <v>448</v>
      </c>
      <c r="G53" t="str" cm="1">
        <f t="array" ref="G53">INDEX('[1]DETAY-yaşlandırma'!A:A,MATCH(1,('[1]DETAY-yaşlandırma'!A:A=DETAY!A53)*('[1]DETAY-yaşlandırma'!B:B=DETAY!B53),0),)</f>
        <v>PEGASUS HAVA TAŞIMACILIĞI A.Ş.</v>
      </c>
    </row>
    <row r="54" spans="1:7" x14ac:dyDescent="0.35">
      <c r="A54" t="s">
        <v>344</v>
      </c>
      <c r="B54" t="s">
        <v>37</v>
      </c>
      <c r="C54" s="1">
        <v>188.47</v>
      </c>
      <c r="E54" s="1">
        <v>188.47</v>
      </c>
      <c r="F54" s="1" t="s">
        <v>448</v>
      </c>
      <c r="G54" t="str" cm="1">
        <f t="array" ref="G54">INDEX('[1]DETAY-yaşlandırma'!A:A,MATCH(1,('[1]DETAY-yaşlandırma'!A:A=DETAY!A54)*('[1]DETAY-yaşlandırma'!B:B=DETAY!B54),0),)</f>
        <v>TRANSAVIA HOLLAND B.V.</v>
      </c>
    </row>
    <row r="55" spans="1:7" x14ac:dyDescent="0.35">
      <c r="A55" t="s">
        <v>490</v>
      </c>
      <c r="B55" t="s">
        <v>37</v>
      </c>
      <c r="C55" s="1">
        <v>110</v>
      </c>
      <c r="E55" s="1">
        <v>110</v>
      </c>
      <c r="F55" s="1" t="s">
        <v>448</v>
      </c>
      <c r="G55" t="e" cm="1">
        <f t="array" ref="G55">INDEX('[1]DETAY-yaşlandırma'!A:A,MATCH(1,('[1]DETAY-yaşlandırma'!A:A=DETAY!A55)*('[1]DETAY-yaşlandırma'!B:B=DETAY!B55),0),)</f>
        <v>#N/A</v>
      </c>
    </row>
    <row r="56" spans="1:7" x14ac:dyDescent="0.35">
      <c r="A56" t="s">
        <v>364</v>
      </c>
      <c r="B56" t="s">
        <v>37</v>
      </c>
      <c r="C56" s="1">
        <v>22</v>
      </c>
      <c r="E56" s="1">
        <v>22</v>
      </c>
      <c r="F56" s="1" t="s">
        <v>448</v>
      </c>
      <c r="G56" t="str" cm="1">
        <f t="array" ref="G56">INDEX('[1]DETAY-yaşlandırma'!A:A,MATCH(1,('[1]DETAY-yaşlandırma'!A:A=DETAY!A56)*('[1]DETAY-yaşlandırma'!B:B=DETAY!B56),0),)</f>
        <v>AIR ANKA HAVAYOLLARI A.Ş.</v>
      </c>
    </row>
    <row r="57" spans="1:7" x14ac:dyDescent="0.35">
      <c r="A57" t="s">
        <v>423</v>
      </c>
      <c r="B57" t="s">
        <v>11</v>
      </c>
      <c r="C57" s="1">
        <v>0.3</v>
      </c>
      <c r="E57" s="1">
        <v>0.3</v>
      </c>
      <c r="F57" s="1" t="s">
        <v>448</v>
      </c>
      <c r="G57" t="e" cm="1">
        <f t="array" ref="G57">INDEX('[1]DETAY-yaşlandırma'!A:A,MATCH(1,('[1]DETAY-yaşlandırma'!A:A=DETAY!A57)*('[1]DETAY-yaşlandırma'!B:B=DETAY!B57),0),)</f>
        <v>#N/A</v>
      </c>
    </row>
    <row r="58" spans="1:7" x14ac:dyDescent="0.35">
      <c r="A58" t="s">
        <v>372</v>
      </c>
      <c r="B58" t="s">
        <v>11</v>
      </c>
      <c r="C58" s="1">
        <v>0.22</v>
      </c>
      <c r="E58" s="1">
        <v>0.22</v>
      </c>
      <c r="F58" s="1" t="s">
        <v>448</v>
      </c>
      <c r="G58" t="str" cm="1">
        <f t="array" ref="G58">INDEX('[1]DETAY-yaşlandırma'!A:A,MATCH(1,('[1]DETAY-yaşlandırma'!A:A=DETAY!A58)*('[1]DETAY-yaşlandırma'!B:B=DETAY!B58),0),)</f>
        <v>TERRACE PLUS SİTE YÖNETİMİ</v>
      </c>
    </row>
    <row r="59" spans="1:7" x14ac:dyDescent="0.35">
      <c r="A59" t="s">
        <v>243</v>
      </c>
      <c r="B59" t="s">
        <v>11</v>
      </c>
      <c r="C59" s="1">
        <v>0.11</v>
      </c>
      <c r="E59" s="1">
        <v>0.11</v>
      </c>
      <c r="F59" s="1" t="s">
        <v>448</v>
      </c>
      <c r="G59" t="str" cm="1">
        <f t="array" ref="G59">INDEX('[1]DETAY-yaşlandırma'!A:A,MATCH(1,('[1]DETAY-yaşlandırma'!A:A=DETAY!A59)*('[1]DETAY-yaşlandırma'!B:B=DETAY!B59),0),)</f>
        <v>OFİS YEM GIDA SANAYİ TİCARET A.Ş</v>
      </c>
    </row>
    <row r="60" spans="1:7" x14ac:dyDescent="0.35">
      <c r="A60" t="s">
        <v>537</v>
      </c>
      <c r="B60" t="s">
        <v>11</v>
      </c>
      <c r="C60" s="1">
        <v>0.08</v>
      </c>
      <c r="D60" s="1">
        <v>147012.25</v>
      </c>
      <c r="E60" s="1">
        <v>147012.32999999999</v>
      </c>
      <c r="F60" s="1" t="s">
        <v>448</v>
      </c>
      <c r="G60" t="e" cm="1">
        <f t="array" ref="G60">INDEX('[1]DETAY-yaşlandırma'!A:A,MATCH(1,('[1]DETAY-yaşlandırma'!A:A=DETAY!A60)*('[1]DETAY-yaşlandırma'!B:B=DETAY!B60),0),)</f>
        <v>#N/A</v>
      </c>
    </row>
    <row r="61" spans="1:7" x14ac:dyDescent="0.35">
      <c r="A61" t="s">
        <v>384</v>
      </c>
      <c r="B61" t="s">
        <v>11</v>
      </c>
      <c r="C61" s="1">
        <v>0.04</v>
      </c>
      <c r="E61" s="1">
        <v>0.04</v>
      </c>
      <c r="F61" s="1" t="s">
        <v>448</v>
      </c>
      <c r="G61" t="str" cm="1">
        <f t="array" ref="G61">INDEX('[1]DETAY-yaşlandırma'!A:A,MATCH(1,('[1]DETAY-yaşlandırma'!A:A=DETAY!A61)*('[1]DETAY-yaşlandırma'!B:B=DETAY!B61),0),)</f>
        <v>AIRPORT OTEL TIC.A.Ş.</v>
      </c>
    </row>
    <row r="62" spans="1:7" x14ac:dyDescent="0.35">
      <c r="A62" t="s">
        <v>367</v>
      </c>
      <c r="B62" t="s">
        <v>11</v>
      </c>
      <c r="C62" s="1">
        <v>0.03</v>
      </c>
      <c r="E62" s="1">
        <v>0.03</v>
      </c>
      <c r="F62" s="1" t="s">
        <v>448</v>
      </c>
      <c r="G62" t="str" cm="1">
        <f t="array" ref="G62">INDEX('[1]DETAY-yaşlandırma'!A:A,MATCH(1,('[1]DETAY-yaşlandırma'!A:A=DETAY!A62)*('[1]DETAY-yaşlandırma'!B:B=DETAY!B62),0),)</f>
        <v>ATELYE KEPİ DEKORASYON VE MOBİLYA SAN.TİC.LTD.ŞTİ</v>
      </c>
    </row>
    <row r="63" spans="1:7" x14ac:dyDescent="0.35">
      <c r="A63" t="s">
        <v>32</v>
      </c>
      <c r="B63" t="s">
        <v>11</v>
      </c>
      <c r="C63" s="1">
        <v>0.02</v>
      </c>
      <c r="D63" s="1">
        <v>251168.09000000003</v>
      </c>
      <c r="E63" s="1">
        <v>251168.11000000002</v>
      </c>
      <c r="F63" s="1" t="s">
        <v>448</v>
      </c>
      <c r="G63" t="str" cm="1">
        <f t="array" ref="G63">INDEX('[1]DETAY-yaşlandırma'!A:A,MATCH(1,('[1]DETAY-yaşlandırma'!A:A=DETAY!A63)*('[1]DETAY-yaşlandırma'!B:B=DETAY!B63),0),)</f>
        <v>NORTHSTAR DENİZ ARAÇLARI ÜRETİMİ A.Ş.</v>
      </c>
    </row>
    <row r="64" spans="1:7" x14ac:dyDescent="0.35">
      <c r="A64" t="s">
        <v>428</v>
      </c>
      <c r="B64" t="s">
        <v>11</v>
      </c>
      <c r="C64" s="1">
        <v>0.01</v>
      </c>
      <c r="E64" s="1">
        <v>0.01</v>
      </c>
      <c r="F64" s="1" t="s">
        <v>448</v>
      </c>
      <c r="G64" t="e" cm="1">
        <f t="array" ref="G64">INDEX('[1]DETAY-yaşlandırma'!A:A,MATCH(1,('[1]DETAY-yaşlandırma'!A:A=DETAY!A64)*('[1]DETAY-yaşlandırma'!B:B=DETAY!B64),0),)</f>
        <v>#N/A</v>
      </c>
    </row>
    <row r="65" spans="1:7" x14ac:dyDescent="0.35">
      <c r="A65" t="s">
        <v>230</v>
      </c>
      <c r="B65" t="s">
        <v>11</v>
      </c>
      <c r="C65" s="1">
        <v>0.01</v>
      </c>
      <c r="E65" s="1">
        <v>0.01</v>
      </c>
      <c r="F65" s="1" t="s">
        <v>448</v>
      </c>
      <c r="G65" t="str" cm="1">
        <f t="array" ref="G65">INDEX('[1]DETAY-yaşlandırma'!A:A,MATCH(1,('[1]DETAY-yaşlandırma'!A:A=DETAY!A65)*('[1]DETAY-yaşlandırma'!B:B=DETAY!B65),0),)</f>
        <v>MİLAGRO TARIM VE GIDA SAN.TİC.LTD.ŞTİ</v>
      </c>
    </row>
    <row r="66" spans="1:7" x14ac:dyDescent="0.35">
      <c r="A66" t="s">
        <v>317</v>
      </c>
      <c r="B66" t="s">
        <v>11</v>
      </c>
      <c r="C66" s="1">
        <v>0.01</v>
      </c>
      <c r="D66" s="1">
        <v>719955.73</v>
      </c>
      <c r="E66" s="1">
        <v>719955.74</v>
      </c>
      <c r="F66" s="1" t="s">
        <v>448</v>
      </c>
      <c r="G66" t="str" cm="1">
        <f t="array" ref="G66">INDEX('[1]DETAY-yaşlandırma'!A:A,MATCH(1,('[1]DETAY-yaşlandırma'!A:A=DETAY!A66)*('[1]DETAY-yaşlandırma'!B:B=DETAY!B66),0),)</f>
        <v>SİENZİ LOJİSTİK ANTREPO VE DIŞ TİC. LTD. ŞTİ</v>
      </c>
    </row>
    <row r="67" spans="1:7" x14ac:dyDescent="0.35">
      <c r="A67" t="s">
        <v>56</v>
      </c>
      <c r="B67" t="s">
        <v>19</v>
      </c>
      <c r="D67" s="1">
        <v>55170</v>
      </c>
      <c r="E67" s="1">
        <v>55170</v>
      </c>
      <c r="F67" s="1" t="s">
        <v>448</v>
      </c>
      <c r="G67" t="e" cm="1">
        <f t="array" ref="G67">INDEX('[1]DETAY-yaşlandırma'!A:A,MATCH(1,('[1]DETAY-yaşlandırma'!A:A=DETAY!A67)*('[1]DETAY-yaşlandırma'!B:B=DETAY!B67),0),)</f>
        <v>#N/A</v>
      </c>
    </row>
    <row r="68" spans="1:7" x14ac:dyDescent="0.35">
      <c r="A68" t="s">
        <v>95</v>
      </c>
      <c r="B68" t="s">
        <v>37</v>
      </c>
      <c r="D68" s="1">
        <v>3016.7799999999997</v>
      </c>
      <c r="E68" s="1">
        <v>3016.7799999999997</v>
      </c>
      <c r="F68" s="1" t="s">
        <v>448</v>
      </c>
      <c r="G68" t="str" cm="1">
        <f t="array" ref="G68">INDEX('[1]DETAY-yaşlandırma'!A:A,MATCH(1,('[1]DETAY-yaşlandırma'!A:A=DETAY!A68)*('[1]DETAY-yaşlandırma'!B:B=DETAY!B68),0),)</f>
        <v>AJET HAVA TAŞIMACILIĞI A.Ş.</v>
      </c>
    </row>
    <row r="69" spans="1:7" x14ac:dyDescent="0.35">
      <c r="A69" t="s">
        <v>95</v>
      </c>
      <c r="B69" t="s">
        <v>11</v>
      </c>
      <c r="D69" s="1">
        <v>5592594.2699999996</v>
      </c>
      <c r="E69" s="1">
        <v>5592594.2699999996</v>
      </c>
      <c r="F69" s="1" t="s">
        <v>448</v>
      </c>
      <c r="G69" t="str" cm="1">
        <f t="array" ref="G69">INDEX('[1]DETAY-yaşlandırma'!A:A,MATCH(1,('[1]DETAY-yaşlandırma'!A:A=DETAY!A69)*('[1]DETAY-yaşlandırma'!B:B=DETAY!B69),0),)</f>
        <v>AJET HAVA TAŞIMACILIĞI A.Ş.</v>
      </c>
    </row>
    <row r="70" spans="1:7" x14ac:dyDescent="0.35">
      <c r="A70" t="s">
        <v>247</v>
      </c>
      <c r="B70" t="s">
        <v>11</v>
      </c>
      <c r="D70" s="1">
        <v>1255405.9299999997</v>
      </c>
      <c r="E70" s="1">
        <v>1255405.9299999997</v>
      </c>
      <c r="F70" s="1" t="s">
        <v>448</v>
      </c>
      <c r="G70" t="str" cm="1">
        <f t="array" ref="G70">INDEX('[1]DETAY-yaşlandırma'!A:A,MATCH(1,('[1]DETAY-yaşlandırma'!A:A=DETAY!A70)*('[1]DETAY-yaşlandırma'!B:B=DETAY!B70),0),)</f>
        <v>ASAV LOJİSTİK HİZMETLERİ A.Ş.</v>
      </c>
    </row>
    <row r="71" spans="1:7" x14ac:dyDescent="0.35">
      <c r="A71" t="s">
        <v>329</v>
      </c>
      <c r="B71" t="s">
        <v>11</v>
      </c>
      <c r="D71" s="1">
        <v>999542.2</v>
      </c>
      <c r="E71" s="1">
        <v>999542.2</v>
      </c>
      <c r="F71" s="1" t="s">
        <v>448</v>
      </c>
    </row>
    <row r="72" spans="1:7" x14ac:dyDescent="0.35">
      <c r="A72" t="s">
        <v>93</v>
      </c>
      <c r="B72" t="s">
        <v>37</v>
      </c>
      <c r="D72" s="1">
        <v>341</v>
      </c>
      <c r="E72" s="1">
        <v>341</v>
      </c>
      <c r="F72" s="1" t="s">
        <v>448</v>
      </c>
    </row>
    <row r="73" spans="1:7" x14ac:dyDescent="0.35">
      <c r="A73" t="s">
        <v>288</v>
      </c>
      <c r="B73" t="s">
        <v>11</v>
      </c>
      <c r="D73" s="1">
        <v>941437.45</v>
      </c>
      <c r="E73" s="1">
        <v>941437.45</v>
      </c>
      <c r="F73" s="1" t="s">
        <v>448</v>
      </c>
    </row>
    <row r="74" spans="1:7" x14ac:dyDescent="0.35">
      <c r="A74" t="s">
        <v>257</v>
      </c>
      <c r="B74" t="s">
        <v>11</v>
      </c>
      <c r="D74" s="1">
        <v>829952.84</v>
      </c>
      <c r="E74" s="1">
        <v>829952.84</v>
      </c>
      <c r="F74" s="1" t="s">
        <v>448</v>
      </c>
    </row>
    <row r="75" spans="1:7" x14ac:dyDescent="0.35">
      <c r="A75" t="s">
        <v>385</v>
      </c>
      <c r="B75" t="s">
        <v>37</v>
      </c>
      <c r="D75" s="1">
        <v>1550</v>
      </c>
      <c r="E75" s="1">
        <v>1550</v>
      </c>
      <c r="F75" s="1" t="s">
        <v>448</v>
      </c>
    </row>
    <row r="76" spans="1:7" x14ac:dyDescent="0.35">
      <c r="A76" t="s">
        <v>145</v>
      </c>
      <c r="B76" t="s">
        <v>37</v>
      </c>
      <c r="D76" s="1">
        <v>7062</v>
      </c>
      <c r="E76" s="1">
        <v>7062</v>
      </c>
      <c r="F76" s="1" t="s">
        <v>448</v>
      </c>
    </row>
    <row r="77" spans="1:7" x14ac:dyDescent="0.35">
      <c r="A77" t="s">
        <v>145</v>
      </c>
      <c r="B77" t="s">
        <v>11</v>
      </c>
      <c r="D77" s="1">
        <v>255507.76</v>
      </c>
      <c r="E77" s="1">
        <v>255507.76</v>
      </c>
      <c r="F77" s="1" t="s">
        <v>448</v>
      </c>
    </row>
    <row r="78" spans="1:7" x14ac:dyDescent="0.35">
      <c r="A78" t="s">
        <v>88</v>
      </c>
      <c r="B78" t="s">
        <v>11</v>
      </c>
      <c r="D78" s="1">
        <v>12813751.800000001</v>
      </c>
      <c r="E78" s="1">
        <v>12813751.800000001</v>
      </c>
      <c r="F78" s="1" t="s">
        <v>448</v>
      </c>
    </row>
    <row r="79" spans="1:7" x14ac:dyDescent="0.35">
      <c r="A79" t="s">
        <v>360</v>
      </c>
      <c r="B79" t="s">
        <v>11</v>
      </c>
      <c r="D79" s="1">
        <v>2974751.47</v>
      </c>
      <c r="E79" s="1">
        <v>2974751.47</v>
      </c>
      <c r="F79" s="1" t="s">
        <v>448</v>
      </c>
    </row>
    <row r="80" spans="1:7" x14ac:dyDescent="0.35">
      <c r="A80" t="s">
        <v>274</v>
      </c>
      <c r="B80" t="s">
        <v>19</v>
      </c>
      <c r="D80" s="1">
        <v>19355</v>
      </c>
      <c r="E80" s="1">
        <v>19355</v>
      </c>
      <c r="F80" s="1" t="s">
        <v>448</v>
      </c>
    </row>
    <row r="81" spans="1:6" x14ac:dyDescent="0.35">
      <c r="A81" t="s">
        <v>60</v>
      </c>
      <c r="B81" t="s">
        <v>11</v>
      </c>
      <c r="D81" s="1">
        <v>651512.69999999995</v>
      </c>
      <c r="E81" s="1">
        <v>651512.69999999995</v>
      </c>
      <c r="F81" s="1" t="s">
        <v>448</v>
      </c>
    </row>
    <row r="82" spans="1:6" x14ac:dyDescent="0.35">
      <c r="A82" t="s">
        <v>313</v>
      </c>
      <c r="B82" t="s">
        <v>11</v>
      </c>
      <c r="D82" s="1">
        <v>130861.96</v>
      </c>
      <c r="E82" s="1">
        <v>130861.96</v>
      </c>
      <c r="F82" s="1" t="s">
        <v>448</v>
      </c>
    </row>
    <row r="83" spans="1:6" x14ac:dyDescent="0.35">
      <c r="A83" t="s">
        <v>102</v>
      </c>
      <c r="B83" t="s">
        <v>11</v>
      </c>
      <c r="D83" s="1">
        <v>13391102.180000002</v>
      </c>
      <c r="E83" s="1">
        <v>13391102.180000002</v>
      </c>
      <c r="F83" s="1" t="s">
        <v>448</v>
      </c>
    </row>
    <row r="84" spans="1:6" x14ac:dyDescent="0.35">
      <c r="A84" t="s">
        <v>279</v>
      </c>
      <c r="B84" t="s">
        <v>11</v>
      </c>
      <c r="D84" s="1">
        <v>248690.32</v>
      </c>
      <c r="E84" s="1">
        <v>248690.32</v>
      </c>
      <c r="F84" s="1" t="s">
        <v>448</v>
      </c>
    </row>
    <row r="85" spans="1:6" x14ac:dyDescent="0.35">
      <c r="A85" t="s">
        <v>708</v>
      </c>
      <c r="B85" t="s">
        <v>11</v>
      </c>
      <c r="D85" s="1">
        <v>11515.5</v>
      </c>
      <c r="E85" s="1">
        <v>11515.5</v>
      </c>
      <c r="F85" s="1" t="s">
        <v>448</v>
      </c>
    </row>
    <row r="86" spans="1:6" x14ac:dyDescent="0.35">
      <c r="A86" t="s">
        <v>468</v>
      </c>
      <c r="B86" t="s">
        <v>37</v>
      </c>
      <c r="D86" s="1">
        <v>59005.88</v>
      </c>
      <c r="E86" s="1">
        <v>59005.88</v>
      </c>
      <c r="F86" s="1" t="s">
        <v>448</v>
      </c>
    </row>
    <row r="87" spans="1:6" x14ac:dyDescent="0.35">
      <c r="A87" t="s">
        <v>74</v>
      </c>
      <c r="B87" t="s">
        <v>11</v>
      </c>
      <c r="D87" s="1">
        <v>1648018.4999999998</v>
      </c>
      <c r="E87" s="1">
        <v>1648018.4999999998</v>
      </c>
      <c r="F87" s="1" t="s">
        <v>448</v>
      </c>
    </row>
    <row r="88" spans="1:6" x14ac:dyDescent="0.35">
      <c r="A88" t="s">
        <v>122</v>
      </c>
      <c r="B88" t="s">
        <v>11</v>
      </c>
      <c r="D88" s="1">
        <v>893689.73</v>
      </c>
      <c r="E88" s="1">
        <v>893689.73</v>
      </c>
      <c r="F88" s="1" t="s">
        <v>448</v>
      </c>
    </row>
    <row r="89" spans="1:6" x14ac:dyDescent="0.35">
      <c r="A89" t="s">
        <v>549</v>
      </c>
      <c r="B89" t="s">
        <v>11</v>
      </c>
      <c r="D89" s="1">
        <v>54309.29</v>
      </c>
      <c r="E89" s="1">
        <v>54309.29</v>
      </c>
      <c r="F89" s="1" t="s">
        <v>448</v>
      </c>
    </row>
    <row r="90" spans="1:6" x14ac:dyDescent="0.35">
      <c r="A90" t="s">
        <v>62</v>
      </c>
      <c r="B90" t="s">
        <v>37</v>
      </c>
      <c r="D90" s="1">
        <v>10199</v>
      </c>
      <c r="E90" s="1">
        <v>10199</v>
      </c>
      <c r="F90" s="1" t="s">
        <v>448</v>
      </c>
    </row>
    <row r="91" spans="1:6" x14ac:dyDescent="0.35">
      <c r="A91" t="s">
        <v>62</v>
      </c>
      <c r="B91" t="s">
        <v>11</v>
      </c>
      <c r="D91" s="1">
        <v>9240884.910000002</v>
      </c>
      <c r="E91" s="1">
        <v>9240884.910000002</v>
      </c>
      <c r="F91" s="1" t="s">
        <v>448</v>
      </c>
    </row>
    <row r="92" spans="1:6" x14ac:dyDescent="0.35">
      <c r="A92" t="s">
        <v>705</v>
      </c>
      <c r="B92" t="s">
        <v>11</v>
      </c>
      <c r="D92" s="1">
        <v>11515.5</v>
      </c>
      <c r="E92" s="1">
        <v>11515.5</v>
      </c>
      <c r="F92" s="1" t="s">
        <v>448</v>
      </c>
    </row>
    <row r="93" spans="1:6" x14ac:dyDescent="0.35">
      <c r="A93" t="s">
        <v>124</v>
      </c>
      <c r="B93" t="s">
        <v>37</v>
      </c>
      <c r="D93" s="1">
        <v>26745.5</v>
      </c>
      <c r="E93" s="1">
        <v>26745.5</v>
      </c>
      <c r="F93" s="1" t="s">
        <v>448</v>
      </c>
    </row>
    <row r="94" spans="1:6" x14ac:dyDescent="0.35">
      <c r="A94" t="s">
        <v>320</v>
      </c>
      <c r="B94" t="s">
        <v>11</v>
      </c>
      <c r="D94" s="1">
        <v>2783597.27</v>
      </c>
      <c r="E94" s="1">
        <v>2783597.27</v>
      </c>
      <c r="F94" s="1" t="s">
        <v>448</v>
      </c>
    </row>
    <row r="95" spans="1:6" x14ac:dyDescent="0.35">
      <c r="A95" t="s">
        <v>354</v>
      </c>
      <c r="B95" t="s">
        <v>11</v>
      </c>
      <c r="D95" s="1">
        <v>6027693.3499999996</v>
      </c>
      <c r="E95" s="1">
        <v>6027693.3499999996</v>
      </c>
      <c r="F95" s="1" t="s">
        <v>448</v>
      </c>
    </row>
    <row r="96" spans="1:6" x14ac:dyDescent="0.35">
      <c r="A96" t="s">
        <v>115</v>
      </c>
      <c r="B96" t="s">
        <v>11</v>
      </c>
      <c r="D96" s="1">
        <v>1019976.98</v>
      </c>
      <c r="E96" s="1">
        <v>1019976.98</v>
      </c>
      <c r="F96" s="1" t="s">
        <v>448</v>
      </c>
    </row>
    <row r="97" spans="1:6" x14ac:dyDescent="0.35">
      <c r="A97" t="s">
        <v>79</v>
      </c>
      <c r="B97" t="s">
        <v>11</v>
      </c>
      <c r="D97" s="1">
        <v>77871.899999999994</v>
      </c>
      <c r="E97" s="1">
        <v>77871.899999999994</v>
      </c>
      <c r="F97" s="1" t="s">
        <v>448</v>
      </c>
    </row>
    <row r="98" spans="1:6" x14ac:dyDescent="0.35">
      <c r="A98" t="s">
        <v>117</v>
      </c>
      <c r="B98" t="s">
        <v>11</v>
      </c>
      <c r="D98" s="1">
        <v>456288.52</v>
      </c>
      <c r="E98" s="1">
        <v>456288.52</v>
      </c>
      <c r="F98" s="1" t="s">
        <v>448</v>
      </c>
    </row>
    <row r="99" spans="1:6" x14ac:dyDescent="0.35">
      <c r="A99" t="s">
        <v>152</v>
      </c>
      <c r="B99" t="s">
        <v>11</v>
      </c>
      <c r="D99" s="1">
        <v>1270116.53</v>
      </c>
      <c r="E99" s="1">
        <v>1270116.53</v>
      </c>
      <c r="F99" s="1" t="s">
        <v>448</v>
      </c>
    </row>
    <row r="100" spans="1:6" x14ac:dyDescent="0.35">
      <c r="A100" t="s">
        <v>97</v>
      </c>
      <c r="B100" t="s">
        <v>11</v>
      </c>
      <c r="D100" s="1">
        <v>2624350.92</v>
      </c>
      <c r="E100" s="1">
        <v>2624350.92</v>
      </c>
      <c r="F100" s="1" t="s">
        <v>448</v>
      </c>
    </row>
    <row r="101" spans="1:6" x14ac:dyDescent="0.35">
      <c r="A101" t="s">
        <v>106</v>
      </c>
      <c r="B101" t="s">
        <v>11</v>
      </c>
      <c r="D101" s="1">
        <v>739420.27</v>
      </c>
      <c r="E101" s="1">
        <v>739420.27</v>
      </c>
      <c r="F101" s="1" t="s">
        <v>448</v>
      </c>
    </row>
    <row r="102" spans="1:6" x14ac:dyDescent="0.35">
      <c r="A102" t="s">
        <v>51</v>
      </c>
      <c r="B102" t="s">
        <v>11</v>
      </c>
      <c r="D102" s="1">
        <v>193344.6</v>
      </c>
      <c r="E102" s="1">
        <v>193344.6</v>
      </c>
      <c r="F102" s="1" t="s">
        <v>448</v>
      </c>
    </row>
    <row r="103" spans="1:6" x14ac:dyDescent="0.35">
      <c r="A103" t="s">
        <v>797</v>
      </c>
      <c r="B103" t="s">
        <v>11</v>
      </c>
      <c r="D103" s="1">
        <v>55046.34</v>
      </c>
      <c r="E103" s="1">
        <v>55046.34</v>
      </c>
      <c r="F103" s="1" t="s">
        <v>448</v>
      </c>
    </row>
    <row r="104" spans="1:6" x14ac:dyDescent="0.35">
      <c r="A104" t="s">
        <v>406</v>
      </c>
      <c r="B104" t="s">
        <v>19</v>
      </c>
      <c r="D104" s="1">
        <v>8527.0499999999993</v>
      </c>
      <c r="E104" s="1">
        <v>8527.0499999999993</v>
      </c>
      <c r="F104" s="1" t="s">
        <v>448</v>
      </c>
    </row>
    <row r="105" spans="1:6" x14ac:dyDescent="0.35">
      <c r="A105" t="s">
        <v>78</v>
      </c>
      <c r="B105" t="s">
        <v>11</v>
      </c>
      <c r="D105" s="1">
        <v>230694.05</v>
      </c>
      <c r="E105" s="1">
        <v>230694.05</v>
      </c>
      <c r="F105" s="1" t="s">
        <v>448</v>
      </c>
    </row>
    <row r="106" spans="1:6" x14ac:dyDescent="0.35">
      <c r="A106" t="s">
        <v>347</v>
      </c>
      <c r="B106" t="s">
        <v>11</v>
      </c>
      <c r="D106" s="1">
        <v>4775658.09</v>
      </c>
      <c r="E106" s="1">
        <v>4775658.09</v>
      </c>
      <c r="F106" s="1" t="s">
        <v>448</v>
      </c>
    </row>
    <row r="107" spans="1:6" x14ac:dyDescent="0.35">
      <c r="A107" t="s">
        <v>40</v>
      </c>
      <c r="B107" t="s">
        <v>37</v>
      </c>
      <c r="D107" s="1">
        <v>56</v>
      </c>
      <c r="E107" s="1">
        <v>56</v>
      </c>
      <c r="F107" s="1" t="s">
        <v>448</v>
      </c>
    </row>
    <row r="108" spans="1:6" x14ac:dyDescent="0.35">
      <c r="A108" t="s">
        <v>226</v>
      </c>
      <c r="B108" t="s">
        <v>11</v>
      </c>
      <c r="D108" s="1">
        <v>2374792.9099999997</v>
      </c>
      <c r="E108" s="1">
        <v>2374792.9099999997</v>
      </c>
      <c r="F108" s="1" t="s">
        <v>448</v>
      </c>
    </row>
    <row r="109" spans="1:6" x14ac:dyDescent="0.35">
      <c r="A109" t="s">
        <v>141</v>
      </c>
      <c r="B109" t="s">
        <v>11</v>
      </c>
      <c r="D109" s="1">
        <v>3053434.1999999997</v>
      </c>
      <c r="E109" s="1">
        <v>3053434.1999999997</v>
      </c>
      <c r="F109" s="1" t="s">
        <v>448</v>
      </c>
    </row>
    <row r="110" spans="1:6" x14ac:dyDescent="0.35">
      <c r="A110" t="s">
        <v>36</v>
      </c>
      <c r="B110" t="s">
        <v>37</v>
      </c>
      <c r="D110" s="1">
        <v>16674.27</v>
      </c>
      <c r="E110" s="1">
        <v>16674.27</v>
      </c>
      <c r="F110" s="1" t="s">
        <v>448</v>
      </c>
    </row>
    <row r="111" spans="1:6" x14ac:dyDescent="0.35">
      <c r="A111" t="s">
        <v>34</v>
      </c>
      <c r="B111" t="s">
        <v>11</v>
      </c>
      <c r="D111" s="1">
        <v>74862.3</v>
      </c>
      <c r="E111" s="1">
        <v>74862.3</v>
      </c>
      <c r="F111" s="1" t="s">
        <v>448</v>
      </c>
    </row>
    <row r="112" spans="1:6" x14ac:dyDescent="0.35">
      <c r="A112" t="s">
        <v>218</v>
      </c>
      <c r="B112" t="s">
        <v>11</v>
      </c>
      <c r="D112" s="1">
        <v>15924549.210000001</v>
      </c>
      <c r="E112" s="1">
        <v>15924549.210000001</v>
      </c>
      <c r="F112" s="1" t="s">
        <v>448</v>
      </c>
    </row>
    <row r="113" spans="1:6" x14ac:dyDescent="0.35">
      <c r="A113" t="s">
        <v>272</v>
      </c>
      <c r="B113" t="s">
        <v>11</v>
      </c>
      <c r="D113" s="1">
        <v>232475.56</v>
      </c>
      <c r="E113" s="1">
        <v>232475.56</v>
      </c>
      <c r="F113" s="1" t="s">
        <v>448</v>
      </c>
    </row>
    <row r="114" spans="1:6" x14ac:dyDescent="0.35">
      <c r="A114" t="s">
        <v>271</v>
      </c>
      <c r="B114" t="s">
        <v>11</v>
      </c>
      <c r="D114" s="1">
        <v>2884101.12</v>
      </c>
      <c r="E114" s="1">
        <v>2884101.12</v>
      </c>
      <c r="F114" s="1" t="s">
        <v>448</v>
      </c>
    </row>
    <row r="115" spans="1:6" x14ac:dyDescent="0.35">
      <c r="A115" t="s">
        <v>234</v>
      </c>
      <c r="B115" t="s">
        <v>11</v>
      </c>
      <c r="D115" s="1">
        <v>293867.42</v>
      </c>
      <c r="E115" s="1">
        <v>293867.42</v>
      </c>
      <c r="F115" s="1" t="s">
        <v>448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2C2D-6999-4B25-931D-216857195DC4}">
  <dimension ref="A1:F115"/>
  <sheetViews>
    <sheetView topLeftCell="A92" workbookViewId="0">
      <selection sqref="A1:F115"/>
    </sheetView>
  </sheetViews>
  <sheetFormatPr defaultRowHeight="14.5" x14ac:dyDescent="0.35"/>
  <cols>
    <col min="1" max="1" width="59.453125" bestFit="1" customWidth="1"/>
    <col min="2" max="2" width="21.81640625" bestFit="1" customWidth="1"/>
    <col min="3" max="3" width="14.7265625" style="1" bestFit="1" customWidth="1"/>
    <col min="4" max="4" width="15.6328125" style="1" bestFit="1" customWidth="1"/>
    <col min="5" max="5" width="13.54296875" style="1" bestFit="1" customWidth="1"/>
    <col min="6" max="6" width="8.7265625" style="1"/>
  </cols>
  <sheetData>
    <row r="1" spans="1:6" x14ac:dyDescent="0.35">
      <c r="F1" s="1" t="s">
        <v>223</v>
      </c>
    </row>
    <row r="2" spans="1:6" x14ac:dyDescent="0.35">
      <c r="C2" s="1">
        <f>SUBTOTAL(9,C5:C1048576)</f>
        <v>240743342.76000002</v>
      </c>
      <c r="D2" s="1">
        <f>SUBTOTAL(9,D5:D1048576)</f>
        <v>182870184.49000007</v>
      </c>
      <c r="E2" s="1">
        <f>SUBTOTAL(9,E5:E1048576)</f>
        <v>423613527.24999994</v>
      </c>
      <c r="F2" s="1">
        <f>E2-SUM(ham_data!R2:R1048576)</f>
        <v>0</v>
      </c>
    </row>
    <row r="3" spans="1:6" x14ac:dyDescent="0.35">
      <c r="A3" t="s">
        <v>222</v>
      </c>
      <c r="C3" s="1" t="s">
        <v>219</v>
      </c>
    </row>
    <row r="4" spans="1:6" x14ac:dyDescent="0.35">
      <c r="A4" t="s">
        <v>158</v>
      </c>
      <c r="B4" t="s">
        <v>147</v>
      </c>
      <c r="C4" s="1" t="s">
        <v>220</v>
      </c>
      <c r="D4" s="1" t="s">
        <v>221</v>
      </c>
      <c r="E4" s="1" t="s">
        <v>150</v>
      </c>
      <c r="F4" s="1" t="s">
        <v>144</v>
      </c>
    </row>
    <row r="5" spans="1:6" x14ac:dyDescent="0.35">
      <c r="A5" t="s">
        <v>9</v>
      </c>
      <c r="B5" t="s">
        <v>11</v>
      </c>
      <c r="C5" s="1">
        <v>81119839.640000001</v>
      </c>
      <c r="D5" s="1">
        <v>17332734.140000001</v>
      </c>
      <c r="E5" s="1">
        <v>98452573.780000001</v>
      </c>
      <c r="F5" s="1" t="s">
        <v>448</v>
      </c>
    </row>
    <row r="6" spans="1:6" x14ac:dyDescent="0.35">
      <c r="A6" t="s">
        <v>68</v>
      </c>
      <c r="B6" t="s">
        <v>11</v>
      </c>
      <c r="C6" s="1">
        <v>69342595</v>
      </c>
      <c r="D6" s="1">
        <v>27745187.43</v>
      </c>
      <c r="E6" s="1">
        <v>97087782.430000007</v>
      </c>
      <c r="F6" s="1" t="s">
        <v>448</v>
      </c>
    </row>
    <row r="7" spans="1:6" x14ac:dyDescent="0.35">
      <c r="A7" t="s">
        <v>136</v>
      </c>
      <c r="B7" t="s">
        <v>11</v>
      </c>
      <c r="C7" s="1">
        <v>23280224.829999998</v>
      </c>
      <c r="D7" s="1">
        <v>17585656.800000001</v>
      </c>
      <c r="E7" s="1">
        <v>40865881.629999995</v>
      </c>
      <c r="F7" s="1" t="s">
        <v>448</v>
      </c>
    </row>
    <row r="8" spans="1:6" x14ac:dyDescent="0.35">
      <c r="A8" t="s">
        <v>111</v>
      </c>
      <c r="B8" t="s">
        <v>11</v>
      </c>
      <c r="C8" s="1">
        <v>14522885.409999996</v>
      </c>
      <c r="D8" s="1">
        <v>7904386.0200000014</v>
      </c>
      <c r="E8" s="1">
        <v>22427271.43</v>
      </c>
      <c r="F8" s="1" t="s">
        <v>448</v>
      </c>
    </row>
    <row r="9" spans="1:6" x14ac:dyDescent="0.35">
      <c r="A9" t="s">
        <v>92</v>
      </c>
      <c r="B9" t="s">
        <v>11</v>
      </c>
      <c r="C9" s="1">
        <v>6160844.6400000006</v>
      </c>
      <c r="E9" s="1">
        <v>6160844.6400000006</v>
      </c>
      <c r="F9" s="1" t="s">
        <v>448</v>
      </c>
    </row>
    <row r="10" spans="1:6" x14ac:dyDescent="0.35">
      <c r="A10" t="s">
        <v>228</v>
      </c>
      <c r="B10" t="s">
        <v>11</v>
      </c>
      <c r="C10" s="1">
        <v>5551326.7599999979</v>
      </c>
      <c r="D10" s="1">
        <v>268198.09999999998</v>
      </c>
      <c r="E10" s="1">
        <v>5819524.8599999975</v>
      </c>
      <c r="F10" s="1" t="s">
        <v>448</v>
      </c>
    </row>
    <row r="11" spans="1:6" x14ac:dyDescent="0.35">
      <c r="A11" t="s">
        <v>462</v>
      </c>
      <c r="B11" t="s">
        <v>11</v>
      </c>
      <c r="C11" s="1">
        <v>3815077.47</v>
      </c>
      <c r="E11" s="1">
        <v>3815077.47</v>
      </c>
      <c r="F11" s="1" t="s">
        <v>448</v>
      </c>
    </row>
    <row r="12" spans="1:6" x14ac:dyDescent="0.35">
      <c r="A12" t="s">
        <v>48</v>
      </c>
      <c r="B12" t="s">
        <v>11</v>
      </c>
      <c r="C12" s="1">
        <v>3222570.09</v>
      </c>
      <c r="D12" s="1">
        <v>4732580.1899999995</v>
      </c>
      <c r="E12" s="1">
        <v>7955150.2799999993</v>
      </c>
      <c r="F12" s="1" t="s">
        <v>448</v>
      </c>
    </row>
    <row r="13" spans="1:6" x14ac:dyDescent="0.35">
      <c r="A13" t="s">
        <v>263</v>
      </c>
      <c r="B13" t="s">
        <v>11</v>
      </c>
      <c r="C13" s="1">
        <v>2821517.16</v>
      </c>
      <c r="E13" s="1">
        <v>2821517.16</v>
      </c>
      <c r="F13" s="1" t="s">
        <v>448</v>
      </c>
    </row>
    <row r="14" spans="1:6" x14ac:dyDescent="0.35">
      <c r="A14" t="s">
        <v>236</v>
      </c>
      <c r="B14" t="s">
        <v>11</v>
      </c>
      <c r="C14" s="1">
        <v>2678755.08</v>
      </c>
      <c r="E14" s="1">
        <v>2678755.08</v>
      </c>
      <c r="F14" s="1" t="s">
        <v>448</v>
      </c>
    </row>
    <row r="15" spans="1:6" x14ac:dyDescent="0.35">
      <c r="A15" t="s">
        <v>371</v>
      </c>
      <c r="B15" t="s">
        <v>11</v>
      </c>
      <c r="C15" s="1">
        <v>2530453.37</v>
      </c>
      <c r="D15" s="1">
        <v>2557162.94</v>
      </c>
      <c r="E15" s="1">
        <v>5087616.3100000005</v>
      </c>
      <c r="F15" s="1" t="s">
        <v>448</v>
      </c>
    </row>
    <row r="16" spans="1:6" x14ac:dyDescent="0.35">
      <c r="A16" t="s">
        <v>365</v>
      </c>
      <c r="B16" t="s">
        <v>11</v>
      </c>
      <c r="C16" s="1">
        <v>2379897.27</v>
      </c>
      <c r="D16" s="1">
        <v>2128065.87</v>
      </c>
      <c r="E16" s="1">
        <v>4507963.1400000006</v>
      </c>
      <c r="F16" s="1" t="s">
        <v>448</v>
      </c>
    </row>
    <row r="17" spans="1:6" x14ac:dyDescent="0.35">
      <c r="A17" t="s">
        <v>80</v>
      </c>
      <c r="B17" t="s">
        <v>11</v>
      </c>
      <c r="C17" s="1">
        <v>2285789.6800000002</v>
      </c>
      <c r="E17" s="1">
        <v>2285789.6800000002</v>
      </c>
      <c r="F17" s="1" t="s">
        <v>448</v>
      </c>
    </row>
    <row r="18" spans="1:6" x14ac:dyDescent="0.35">
      <c r="A18" t="s">
        <v>54</v>
      </c>
      <c r="B18" t="s">
        <v>11</v>
      </c>
      <c r="C18" s="1">
        <v>2160661.4500000002</v>
      </c>
      <c r="E18" s="1">
        <v>2160661.4500000002</v>
      </c>
      <c r="F18" s="1" t="s">
        <v>448</v>
      </c>
    </row>
    <row r="19" spans="1:6" x14ac:dyDescent="0.35">
      <c r="A19" t="s">
        <v>268</v>
      </c>
      <c r="B19" t="s">
        <v>11</v>
      </c>
      <c r="C19" s="1">
        <v>1988077.92</v>
      </c>
      <c r="E19" s="1">
        <v>1988077.92</v>
      </c>
      <c r="F19" s="1" t="s">
        <v>448</v>
      </c>
    </row>
    <row r="20" spans="1:6" x14ac:dyDescent="0.35">
      <c r="A20" t="s">
        <v>45</v>
      </c>
      <c r="B20" t="s">
        <v>11</v>
      </c>
      <c r="C20" s="1">
        <v>1867712.35</v>
      </c>
      <c r="E20" s="1">
        <v>1867712.35</v>
      </c>
      <c r="F20" s="1" t="s">
        <v>448</v>
      </c>
    </row>
    <row r="21" spans="1:6" x14ac:dyDescent="0.35">
      <c r="A21" t="s">
        <v>86</v>
      </c>
      <c r="B21" t="s">
        <v>11</v>
      </c>
      <c r="C21" s="1">
        <v>1516828.21</v>
      </c>
      <c r="E21" s="1">
        <v>1516828.21</v>
      </c>
      <c r="F21" s="1" t="s">
        <v>448</v>
      </c>
    </row>
    <row r="22" spans="1:6" x14ac:dyDescent="0.35">
      <c r="A22" t="s">
        <v>148</v>
      </c>
      <c r="B22" t="s">
        <v>11</v>
      </c>
      <c r="C22" s="1">
        <v>1435720.02</v>
      </c>
      <c r="E22" s="1">
        <v>1435720.02</v>
      </c>
      <c r="F22" s="1" t="s">
        <v>448</v>
      </c>
    </row>
    <row r="23" spans="1:6" x14ac:dyDescent="0.35">
      <c r="A23" t="s">
        <v>259</v>
      </c>
      <c r="B23" t="s">
        <v>11</v>
      </c>
      <c r="C23" s="1">
        <v>1281300.6000000001</v>
      </c>
      <c r="E23" s="1">
        <v>1281300.6000000001</v>
      </c>
      <c r="F23" s="1" t="s">
        <v>448</v>
      </c>
    </row>
    <row r="24" spans="1:6" x14ac:dyDescent="0.35">
      <c r="A24" t="s">
        <v>361</v>
      </c>
      <c r="B24" t="s">
        <v>11</v>
      </c>
      <c r="C24" s="1">
        <v>1207159.73</v>
      </c>
      <c r="D24" s="1">
        <v>2072099.4300000002</v>
      </c>
      <c r="E24" s="1">
        <v>3279259.16</v>
      </c>
      <c r="F24" s="1" t="s">
        <v>448</v>
      </c>
    </row>
    <row r="25" spans="1:6" x14ac:dyDescent="0.35">
      <c r="A25" t="s">
        <v>100</v>
      </c>
      <c r="B25" t="s">
        <v>11</v>
      </c>
      <c r="C25" s="1">
        <v>1149520.8999999999</v>
      </c>
      <c r="E25" s="1">
        <v>1149520.8999999999</v>
      </c>
      <c r="F25" s="1" t="s">
        <v>448</v>
      </c>
    </row>
    <row r="26" spans="1:6" x14ac:dyDescent="0.35">
      <c r="A26" t="s">
        <v>461</v>
      </c>
      <c r="B26" t="s">
        <v>11</v>
      </c>
      <c r="C26" s="1">
        <v>1090132.52</v>
      </c>
      <c r="E26" s="1">
        <v>1090132.52</v>
      </c>
      <c r="F26" s="1" t="s">
        <v>448</v>
      </c>
    </row>
    <row r="27" spans="1:6" x14ac:dyDescent="0.35">
      <c r="A27" t="s">
        <v>327</v>
      </c>
      <c r="B27" t="s">
        <v>11</v>
      </c>
      <c r="C27" s="1">
        <v>1019543.75</v>
      </c>
      <c r="E27" s="1">
        <v>1019543.75</v>
      </c>
      <c r="F27" s="1" t="s">
        <v>448</v>
      </c>
    </row>
    <row r="28" spans="1:6" x14ac:dyDescent="0.35">
      <c r="A28" t="s">
        <v>23</v>
      </c>
      <c r="B28" t="s">
        <v>11</v>
      </c>
      <c r="C28" s="1">
        <v>945236.29</v>
      </c>
      <c r="D28" s="1">
        <v>344519.07</v>
      </c>
      <c r="E28" s="1">
        <v>1289755.3600000001</v>
      </c>
      <c r="F28" s="1" t="s">
        <v>448</v>
      </c>
    </row>
    <row r="29" spans="1:6" x14ac:dyDescent="0.35">
      <c r="A29" t="s">
        <v>232</v>
      </c>
      <c r="B29" t="s">
        <v>11</v>
      </c>
      <c r="C29" s="1">
        <v>906968.83000000007</v>
      </c>
      <c r="E29" s="1">
        <v>906968.83000000007</v>
      </c>
      <c r="F29" s="1" t="s">
        <v>448</v>
      </c>
    </row>
    <row r="30" spans="1:6" x14ac:dyDescent="0.35">
      <c r="A30" t="s">
        <v>65</v>
      </c>
      <c r="B30" t="s">
        <v>11</v>
      </c>
      <c r="C30" s="1">
        <v>775264.48</v>
      </c>
      <c r="E30" s="1">
        <v>775264.48</v>
      </c>
      <c r="F30" s="1" t="s">
        <v>448</v>
      </c>
    </row>
    <row r="31" spans="1:6" x14ac:dyDescent="0.35">
      <c r="A31" t="s">
        <v>76</v>
      </c>
      <c r="B31" t="s">
        <v>11</v>
      </c>
      <c r="C31" s="1">
        <v>668550.64</v>
      </c>
      <c r="E31" s="1">
        <v>668550.64</v>
      </c>
      <c r="F31" s="1" t="s">
        <v>448</v>
      </c>
    </row>
    <row r="32" spans="1:6" x14ac:dyDescent="0.35">
      <c r="A32" t="s">
        <v>312</v>
      </c>
      <c r="B32" t="s">
        <v>11</v>
      </c>
      <c r="C32" s="1">
        <v>629581.82999999996</v>
      </c>
      <c r="D32" s="1">
        <v>404162.08</v>
      </c>
      <c r="E32" s="1">
        <v>1033743.9099999999</v>
      </c>
      <c r="F32" s="1" t="s">
        <v>448</v>
      </c>
    </row>
    <row r="33" spans="1:6" x14ac:dyDescent="0.35">
      <c r="A33" t="s">
        <v>83</v>
      </c>
      <c r="B33" t="s">
        <v>11</v>
      </c>
      <c r="C33" s="1">
        <v>304267.5</v>
      </c>
      <c r="D33" s="1">
        <v>304267.5</v>
      </c>
      <c r="E33" s="1">
        <v>608535</v>
      </c>
      <c r="F33" s="1" t="s">
        <v>448</v>
      </c>
    </row>
    <row r="34" spans="1:6" x14ac:dyDescent="0.35">
      <c r="A34" t="s">
        <v>114</v>
      </c>
      <c r="B34" t="s">
        <v>11</v>
      </c>
      <c r="C34" s="1">
        <v>300000</v>
      </c>
      <c r="D34" s="1">
        <v>735538.18</v>
      </c>
      <c r="E34" s="1">
        <v>1035538.18</v>
      </c>
      <c r="F34" s="1" t="s">
        <v>448</v>
      </c>
    </row>
    <row r="35" spans="1:6" x14ac:dyDescent="0.35">
      <c r="A35" t="s">
        <v>269</v>
      </c>
      <c r="B35" t="s">
        <v>11</v>
      </c>
      <c r="C35" s="1">
        <v>274708.62</v>
      </c>
      <c r="E35" s="1">
        <v>274708.62</v>
      </c>
      <c r="F35" s="1" t="s">
        <v>448</v>
      </c>
    </row>
    <row r="36" spans="1:6" x14ac:dyDescent="0.35">
      <c r="A36" t="s">
        <v>252</v>
      </c>
      <c r="B36" t="s">
        <v>11</v>
      </c>
      <c r="C36" s="1">
        <v>272481.71000000002</v>
      </c>
      <c r="E36" s="1">
        <v>272481.71000000002</v>
      </c>
      <c r="F36" s="1" t="s">
        <v>448</v>
      </c>
    </row>
    <row r="37" spans="1:6" x14ac:dyDescent="0.35">
      <c r="A37" t="s">
        <v>394</v>
      </c>
      <c r="B37" t="s">
        <v>11</v>
      </c>
      <c r="C37" s="1">
        <v>250313.77</v>
      </c>
      <c r="E37" s="1">
        <v>250313.77</v>
      </c>
      <c r="F37" s="1" t="s">
        <v>448</v>
      </c>
    </row>
    <row r="38" spans="1:6" x14ac:dyDescent="0.35">
      <c r="A38" t="s">
        <v>154</v>
      </c>
      <c r="B38" t="s">
        <v>11</v>
      </c>
      <c r="C38" s="1">
        <v>237679.73</v>
      </c>
      <c r="E38" s="1">
        <v>237679.73</v>
      </c>
      <c r="F38" s="1" t="s">
        <v>448</v>
      </c>
    </row>
    <row r="39" spans="1:6" x14ac:dyDescent="0.35">
      <c r="A39" t="s">
        <v>349</v>
      </c>
      <c r="B39" t="s">
        <v>11</v>
      </c>
      <c r="C39" s="1">
        <v>132375.12</v>
      </c>
      <c r="D39" s="1">
        <v>203213.28000000003</v>
      </c>
      <c r="E39" s="1">
        <v>335588.4</v>
      </c>
      <c r="F39" s="1" t="s">
        <v>448</v>
      </c>
    </row>
    <row r="40" spans="1:6" x14ac:dyDescent="0.35">
      <c r="A40" t="s">
        <v>566</v>
      </c>
      <c r="B40" t="s">
        <v>11</v>
      </c>
      <c r="C40" s="1">
        <v>113750.7</v>
      </c>
      <c r="E40" s="1">
        <v>113750.7</v>
      </c>
      <c r="F40" s="1" t="s">
        <v>448</v>
      </c>
    </row>
    <row r="41" spans="1:6" x14ac:dyDescent="0.35">
      <c r="A41" t="s">
        <v>674</v>
      </c>
      <c r="B41" t="s">
        <v>11</v>
      </c>
      <c r="C41" s="1">
        <v>108942.01</v>
      </c>
      <c r="E41" s="1">
        <v>108942.01</v>
      </c>
      <c r="F41" s="1" t="s">
        <v>448</v>
      </c>
    </row>
    <row r="42" spans="1:6" x14ac:dyDescent="0.35">
      <c r="A42" t="s">
        <v>475</v>
      </c>
      <c r="B42" t="s">
        <v>11</v>
      </c>
      <c r="C42" s="1">
        <v>78650</v>
      </c>
      <c r="E42" s="1">
        <v>78650</v>
      </c>
      <c r="F42" s="1" t="s">
        <v>448</v>
      </c>
    </row>
    <row r="43" spans="1:6" x14ac:dyDescent="0.35">
      <c r="A43" t="s">
        <v>113</v>
      </c>
      <c r="B43" t="s">
        <v>11</v>
      </c>
      <c r="C43" s="1">
        <v>77021.83</v>
      </c>
      <c r="D43" s="1">
        <v>75366.06</v>
      </c>
      <c r="E43" s="1">
        <v>152387.89000000001</v>
      </c>
      <c r="F43" s="1" t="s">
        <v>448</v>
      </c>
    </row>
    <row r="44" spans="1:6" x14ac:dyDescent="0.35">
      <c r="A44" t="s">
        <v>332</v>
      </c>
      <c r="B44" t="s">
        <v>11</v>
      </c>
      <c r="C44" s="1">
        <v>59546.83</v>
      </c>
      <c r="E44" s="1">
        <v>59546.83</v>
      </c>
      <c r="F44" s="1" t="s">
        <v>448</v>
      </c>
    </row>
    <row r="45" spans="1:6" x14ac:dyDescent="0.35">
      <c r="A45" t="s">
        <v>120</v>
      </c>
      <c r="B45" t="s">
        <v>11</v>
      </c>
      <c r="C45" s="1">
        <v>53856.99</v>
      </c>
      <c r="E45" s="1">
        <v>53856.99</v>
      </c>
      <c r="F45" s="1" t="s">
        <v>448</v>
      </c>
    </row>
    <row r="46" spans="1:6" x14ac:dyDescent="0.35">
      <c r="A46" t="s">
        <v>124</v>
      </c>
      <c r="B46" t="s">
        <v>11</v>
      </c>
      <c r="C46" s="1">
        <v>42922.720000000001</v>
      </c>
      <c r="E46" s="1">
        <v>42922.720000000001</v>
      </c>
      <c r="F46" s="1" t="s">
        <v>448</v>
      </c>
    </row>
    <row r="47" spans="1:6" x14ac:dyDescent="0.35">
      <c r="A47" t="s">
        <v>134</v>
      </c>
      <c r="B47" t="s">
        <v>11</v>
      </c>
      <c r="C47" s="1">
        <v>34675</v>
      </c>
      <c r="D47" s="1">
        <v>106000</v>
      </c>
      <c r="E47" s="1">
        <v>140675</v>
      </c>
      <c r="F47" s="1" t="s">
        <v>448</v>
      </c>
    </row>
    <row r="48" spans="1:6" x14ac:dyDescent="0.35">
      <c r="A48" t="s">
        <v>570</v>
      </c>
      <c r="B48" t="s">
        <v>11</v>
      </c>
      <c r="C48" s="1">
        <v>19575.7</v>
      </c>
      <c r="E48" s="1">
        <v>19575.7</v>
      </c>
      <c r="F48" s="1" t="s">
        <v>448</v>
      </c>
    </row>
    <row r="49" spans="1:6" x14ac:dyDescent="0.35">
      <c r="A49" t="s">
        <v>129</v>
      </c>
      <c r="B49" t="s">
        <v>11</v>
      </c>
      <c r="C49" s="1">
        <v>14320</v>
      </c>
      <c r="E49" s="1">
        <v>14320</v>
      </c>
      <c r="F49" s="1" t="s">
        <v>448</v>
      </c>
    </row>
    <row r="50" spans="1:6" x14ac:dyDescent="0.35">
      <c r="A50" t="s">
        <v>366</v>
      </c>
      <c r="B50" t="s">
        <v>11</v>
      </c>
      <c r="C50" s="1">
        <v>11933.33</v>
      </c>
      <c r="E50" s="1">
        <v>11933.33</v>
      </c>
      <c r="F50" s="1" t="s">
        <v>448</v>
      </c>
    </row>
    <row r="51" spans="1:6" x14ac:dyDescent="0.35">
      <c r="A51" t="s">
        <v>139</v>
      </c>
      <c r="B51" t="s">
        <v>11</v>
      </c>
      <c r="C51" s="1">
        <v>886.78</v>
      </c>
      <c r="E51" s="1">
        <v>886.78</v>
      </c>
      <c r="F51" s="1" t="s">
        <v>448</v>
      </c>
    </row>
    <row r="52" spans="1:6" x14ac:dyDescent="0.35">
      <c r="A52" t="s">
        <v>328</v>
      </c>
      <c r="B52" t="s">
        <v>37</v>
      </c>
      <c r="C52" s="1">
        <v>560</v>
      </c>
      <c r="D52" s="1">
        <v>7696</v>
      </c>
      <c r="E52" s="1">
        <v>8256</v>
      </c>
      <c r="F52" s="1" t="s">
        <v>448</v>
      </c>
    </row>
    <row r="53" spans="1:6" x14ac:dyDescent="0.35">
      <c r="A53" t="s">
        <v>106</v>
      </c>
      <c r="B53" t="s">
        <v>37</v>
      </c>
      <c r="C53" s="1">
        <v>517.20000000000005</v>
      </c>
      <c r="D53" s="1">
        <v>327</v>
      </c>
      <c r="E53" s="1">
        <v>844.2</v>
      </c>
      <c r="F53" s="1" t="s">
        <v>448</v>
      </c>
    </row>
    <row r="54" spans="1:6" x14ac:dyDescent="0.35">
      <c r="A54" t="s">
        <v>344</v>
      </c>
      <c r="B54" t="s">
        <v>37</v>
      </c>
      <c r="C54" s="1">
        <v>188.47</v>
      </c>
      <c r="E54" s="1">
        <v>188.47</v>
      </c>
      <c r="F54" s="1" t="s">
        <v>448</v>
      </c>
    </row>
    <row r="55" spans="1:6" x14ac:dyDescent="0.35">
      <c r="A55" t="s">
        <v>490</v>
      </c>
      <c r="B55" t="s">
        <v>37</v>
      </c>
      <c r="C55" s="1">
        <v>110</v>
      </c>
      <c r="E55" s="1">
        <v>110</v>
      </c>
      <c r="F55" s="1" t="s">
        <v>448</v>
      </c>
    </row>
    <row r="56" spans="1:6" x14ac:dyDescent="0.35">
      <c r="A56" t="s">
        <v>364</v>
      </c>
      <c r="B56" t="s">
        <v>37</v>
      </c>
      <c r="C56" s="1">
        <v>22</v>
      </c>
      <c r="E56" s="1">
        <v>22</v>
      </c>
      <c r="F56" s="1" t="s">
        <v>448</v>
      </c>
    </row>
    <row r="57" spans="1:6" x14ac:dyDescent="0.35">
      <c r="A57" t="s">
        <v>423</v>
      </c>
      <c r="B57" t="s">
        <v>11</v>
      </c>
      <c r="C57" s="1">
        <v>0.3</v>
      </c>
      <c r="E57" s="1">
        <v>0.3</v>
      </c>
      <c r="F57" s="1" t="s">
        <v>448</v>
      </c>
    </row>
    <row r="58" spans="1:6" x14ac:dyDescent="0.35">
      <c r="A58" t="s">
        <v>372</v>
      </c>
      <c r="B58" t="s">
        <v>11</v>
      </c>
      <c r="C58" s="1">
        <v>0.22</v>
      </c>
      <c r="E58" s="1">
        <v>0.22</v>
      </c>
      <c r="F58" s="1" t="s">
        <v>448</v>
      </c>
    </row>
    <row r="59" spans="1:6" x14ac:dyDescent="0.35">
      <c r="A59" t="s">
        <v>243</v>
      </c>
      <c r="B59" t="s">
        <v>11</v>
      </c>
      <c r="C59" s="1">
        <v>0.11</v>
      </c>
      <c r="E59" s="1">
        <v>0.11</v>
      </c>
      <c r="F59" s="1" t="s">
        <v>448</v>
      </c>
    </row>
    <row r="60" spans="1:6" x14ac:dyDescent="0.35">
      <c r="A60" t="s">
        <v>537</v>
      </c>
      <c r="B60" t="s">
        <v>11</v>
      </c>
      <c r="C60" s="1">
        <v>0.08</v>
      </c>
      <c r="D60" s="1">
        <v>147012.25</v>
      </c>
      <c r="E60" s="1">
        <v>147012.32999999999</v>
      </c>
      <c r="F60" s="1" t="s">
        <v>448</v>
      </c>
    </row>
    <row r="61" spans="1:6" x14ac:dyDescent="0.35">
      <c r="A61" t="s">
        <v>384</v>
      </c>
      <c r="B61" t="s">
        <v>11</v>
      </c>
      <c r="C61" s="1">
        <v>0.04</v>
      </c>
      <c r="E61" s="1">
        <v>0.04</v>
      </c>
      <c r="F61" s="1" t="s">
        <v>448</v>
      </c>
    </row>
    <row r="62" spans="1:6" x14ac:dyDescent="0.35">
      <c r="A62" t="s">
        <v>367</v>
      </c>
      <c r="B62" t="s">
        <v>11</v>
      </c>
      <c r="C62" s="1">
        <v>0.03</v>
      </c>
      <c r="E62" s="1">
        <v>0.03</v>
      </c>
      <c r="F62" s="1" t="s">
        <v>448</v>
      </c>
    </row>
    <row r="63" spans="1:6" x14ac:dyDescent="0.35">
      <c r="A63" t="s">
        <v>32</v>
      </c>
      <c r="B63" t="s">
        <v>11</v>
      </c>
      <c r="C63" s="1">
        <v>0.02</v>
      </c>
      <c r="D63" s="1">
        <v>251168.09000000003</v>
      </c>
      <c r="E63" s="1">
        <v>251168.11000000002</v>
      </c>
      <c r="F63" s="1" t="s">
        <v>448</v>
      </c>
    </row>
    <row r="64" spans="1:6" x14ac:dyDescent="0.35">
      <c r="A64" t="s">
        <v>428</v>
      </c>
      <c r="B64" t="s">
        <v>11</v>
      </c>
      <c r="C64" s="1">
        <v>0.01</v>
      </c>
      <c r="E64" s="1">
        <v>0.01</v>
      </c>
      <c r="F64" s="1" t="s">
        <v>448</v>
      </c>
    </row>
    <row r="65" spans="1:6" x14ac:dyDescent="0.35">
      <c r="A65" t="s">
        <v>230</v>
      </c>
      <c r="B65" t="s">
        <v>11</v>
      </c>
      <c r="C65" s="1">
        <v>0.01</v>
      </c>
      <c r="E65" s="1">
        <v>0.01</v>
      </c>
      <c r="F65" s="1" t="s">
        <v>448</v>
      </c>
    </row>
    <row r="66" spans="1:6" x14ac:dyDescent="0.35">
      <c r="A66" t="s">
        <v>317</v>
      </c>
      <c r="B66" t="s">
        <v>11</v>
      </c>
      <c r="C66" s="1">
        <v>0.01</v>
      </c>
      <c r="D66" s="1">
        <v>719955.73</v>
      </c>
      <c r="E66" s="1">
        <v>719955.74</v>
      </c>
      <c r="F66" s="1" t="s">
        <v>448</v>
      </c>
    </row>
    <row r="67" spans="1:6" x14ac:dyDescent="0.35">
      <c r="A67" t="s">
        <v>56</v>
      </c>
      <c r="B67" t="s">
        <v>19</v>
      </c>
      <c r="D67" s="1">
        <v>55170</v>
      </c>
      <c r="E67" s="1">
        <v>55170</v>
      </c>
      <c r="F67" s="1" t="s">
        <v>448</v>
      </c>
    </row>
    <row r="68" spans="1:6" x14ac:dyDescent="0.35">
      <c r="A68" t="s">
        <v>95</v>
      </c>
      <c r="B68" t="s">
        <v>37</v>
      </c>
      <c r="D68" s="1">
        <v>3016.7799999999997</v>
      </c>
      <c r="E68" s="1">
        <v>3016.7799999999997</v>
      </c>
      <c r="F68" s="1" t="s">
        <v>448</v>
      </c>
    </row>
    <row r="69" spans="1:6" x14ac:dyDescent="0.35">
      <c r="A69" t="s">
        <v>95</v>
      </c>
      <c r="B69" t="s">
        <v>11</v>
      </c>
      <c r="D69" s="1">
        <v>5592594.2699999996</v>
      </c>
      <c r="E69" s="1">
        <v>5592594.2699999996</v>
      </c>
      <c r="F69" s="1" t="s">
        <v>448</v>
      </c>
    </row>
    <row r="70" spans="1:6" x14ac:dyDescent="0.35">
      <c r="A70" t="s">
        <v>247</v>
      </c>
      <c r="B70" t="s">
        <v>11</v>
      </c>
      <c r="D70" s="1">
        <v>1255405.9299999997</v>
      </c>
      <c r="E70" s="1">
        <v>1255405.9299999997</v>
      </c>
      <c r="F70" s="1" t="s">
        <v>448</v>
      </c>
    </row>
    <row r="71" spans="1:6" x14ac:dyDescent="0.35">
      <c r="A71" t="s">
        <v>329</v>
      </c>
      <c r="B71" t="s">
        <v>11</v>
      </c>
      <c r="D71" s="1">
        <v>999542.2</v>
      </c>
      <c r="E71" s="1">
        <v>999542.2</v>
      </c>
      <c r="F71" s="1" t="s">
        <v>448</v>
      </c>
    </row>
    <row r="72" spans="1:6" x14ac:dyDescent="0.35">
      <c r="A72" t="s">
        <v>93</v>
      </c>
      <c r="B72" t="s">
        <v>37</v>
      </c>
      <c r="D72" s="1">
        <v>341</v>
      </c>
      <c r="E72" s="1">
        <v>341</v>
      </c>
      <c r="F72" s="1" t="s">
        <v>448</v>
      </c>
    </row>
    <row r="73" spans="1:6" x14ac:dyDescent="0.35">
      <c r="A73" t="s">
        <v>288</v>
      </c>
      <c r="B73" t="s">
        <v>11</v>
      </c>
      <c r="D73" s="1">
        <v>941437.45</v>
      </c>
      <c r="E73" s="1">
        <v>941437.45</v>
      </c>
      <c r="F73" s="1" t="s">
        <v>448</v>
      </c>
    </row>
    <row r="74" spans="1:6" x14ac:dyDescent="0.35">
      <c r="A74" t="s">
        <v>257</v>
      </c>
      <c r="B74" t="s">
        <v>11</v>
      </c>
      <c r="D74" s="1">
        <v>829952.84</v>
      </c>
      <c r="E74" s="1">
        <v>829952.84</v>
      </c>
      <c r="F74" s="1" t="s">
        <v>448</v>
      </c>
    </row>
    <row r="75" spans="1:6" x14ac:dyDescent="0.35">
      <c r="A75" t="s">
        <v>385</v>
      </c>
      <c r="B75" t="s">
        <v>37</v>
      </c>
      <c r="D75" s="1">
        <v>1550</v>
      </c>
      <c r="E75" s="1">
        <v>1550</v>
      </c>
      <c r="F75" s="1" t="s">
        <v>448</v>
      </c>
    </row>
    <row r="76" spans="1:6" x14ac:dyDescent="0.35">
      <c r="A76" t="s">
        <v>145</v>
      </c>
      <c r="B76" t="s">
        <v>37</v>
      </c>
      <c r="D76" s="1">
        <v>7062</v>
      </c>
      <c r="E76" s="1">
        <v>7062</v>
      </c>
      <c r="F76" s="1" t="s">
        <v>448</v>
      </c>
    </row>
    <row r="77" spans="1:6" x14ac:dyDescent="0.35">
      <c r="A77" t="s">
        <v>145</v>
      </c>
      <c r="B77" t="s">
        <v>11</v>
      </c>
      <c r="D77" s="1">
        <v>255507.76</v>
      </c>
      <c r="E77" s="1">
        <v>255507.76</v>
      </c>
      <c r="F77" s="1" t="s">
        <v>448</v>
      </c>
    </row>
    <row r="78" spans="1:6" x14ac:dyDescent="0.35">
      <c r="A78" t="s">
        <v>88</v>
      </c>
      <c r="B78" t="s">
        <v>11</v>
      </c>
      <c r="D78" s="1">
        <v>12813751.800000001</v>
      </c>
      <c r="E78" s="1">
        <v>12813751.800000001</v>
      </c>
      <c r="F78" s="1" t="s">
        <v>448</v>
      </c>
    </row>
    <row r="79" spans="1:6" x14ac:dyDescent="0.35">
      <c r="A79" t="s">
        <v>360</v>
      </c>
      <c r="B79" t="s">
        <v>11</v>
      </c>
      <c r="D79" s="1">
        <v>2974751.47</v>
      </c>
      <c r="E79" s="1">
        <v>2974751.47</v>
      </c>
      <c r="F79" s="1" t="s">
        <v>448</v>
      </c>
    </row>
    <row r="80" spans="1:6" x14ac:dyDescent="0.35">
      <c r="A80" t="s">
        <v>274</v>
      </c>
      <c r="B80" t="s">
        <v>19</v>
      </c>
      <c r="D80" s="1">
        <v>19355</v>
      </c>
      <c r="E80" s="1">
        <v>19355</v>
      </c>
      <c r="F80" s="1" t="s">
        <v>448</v>
      </c>
    </row>
    <row r="81" spans="1:6" x14ac:dyDescent="0.35">
      <c r="A81" t="s">
        <v>60</v>
      </c>
      <c r="B81" t="s">
        <v>11</v>
      </c>
      <c r="D81" s="1">
        <v>651512.69999999995</v>
      </c>
      <c r="E81" s="1">
        <v>651512.69999999995</v>
      </c>
      <c r="F81" s="1" t="s">
        <v>448</v>
      </c>
    </row>
    <row r="82" spans="1:6" x14ac:dyDescent="0.35">
      <c r="A82" t="s">
        <v>313</v>
      </c>
      <c r="B82" t="s">
        <v>11</v>
      </c>
      <c r="D82" s="1">
        <v>130861.96</v>
      </c>
      <c r="E82" s="1">
        <v>130861.96</v>
      </c>
      <c r="F82" s="1" t="s">
        <v>448</v>
      </c>
    </row>
    <row r="83" spans="1:6" x14ac:dyDescent="0.35">
      <c r="A83" t="s">
        <v>102</v>
      </c>
      <c r="B83" t="s">
        <v>11</v>
      </c>
      <c r="D83" s="1">
        <v>13391102.180000002</v>
      </c>
      <c r="E83" s="1">
        <v>13391102.180000002</v>
      </c>
      <c r="F83" s="1" t="s">
        <v>448</v>
      </c>
    </row>
    <row r="84" spans="1:6" x14ac:dyDescent="0.35">
      <c r="A84" t="s">
        <v>279</v>
      </c>
      <c r="B84" t="s">
        <v>11</v>
      </c>
      <c r="D84" s="1">
        <v>248690.32</v>
      </c>
      <c r="E84" s="1">
        <v>248690.32</v>
      </c>
      <c r="F84" s="1" t="s">
        <v>448</v>
      </c>
    </row>
    <row r="85" spans="1:6" x14ac:dyDescent="0.35">
      <c r="A85" t="s">
        <v>708</v>
      </c>
      <c r="B85" t="s">
        <v>11</v>
      </c>
      <c r="D85" s="1">
        <v>11515.5</v>
      </c>
      <c r="E85" s="1">
        <v>11515.5</v>
      </c>
      <c r="F85" s="1" t="s">
        <v>448</v>
      </c>
    </row>
    <row r="86" spans="1:6" x14ac:dyDescent="0.35">
      <c r="A86" t="s">
        <v>468</v>
      </c>
      <c r="B86" t="s">
        <v>37</v>
      </c>
      <c r="D86" s="1">
        <v>59005.88</v>
      </c>
      <c r="E86" s="1">
        <v>59005.88</v>
      </c>
      <c r="F86" s="1" t="s">
        <v>448</v>
      </c>
    </row>
    <row r="87" spans="1:6" x14ac:dyDescent="0.35">
      <c r="A87" t="s">
        <v>74</v>
      </c>
      <c r="B87" t="s">
        <v>11</v>
      </c>
      <c r="D87" s="1">
        <v>1648018.4999999998</v>
      </c>
      <c r="E87" s="1">
        <v>1648018.4999999998</v>
      </c>
      <c r="F87" s="1" t="s">
        <v>448</v>
      </c>
    </row>
    <row r="88" spans="1:6" x14ac:dyDescent="0.35">
      <c r="A88" t="s">
        <v>122</v>
      </c>
      <c r="B88" t="s">
        <v>11</v>
      </c>
      <c r="D88" s="1">
        <v>893689.73</v>
      </c>
      <c r="E88" s="1">
        <v>893689.73</v>
      </c>
      <c r="F88" s="1" t="s">
        <v>448</v>
      </c>
    </row>
    <row r="89" spans="1:6" x14ac:dyDescent="0.35">
      <c r="A89" t="s">
        <v>549</v>
      </c>
      <c r="B89" t="s">
        <v>11</v>
      </c>
      <c r="D89" s="1">
        <v>54309.29</v>
      </c>
      <c r="E89" s="1">
        <v>54309.29</v>
      </c>
      <c r="F89" s="1" t="s">
        <v>448</v>
      </c>
    </row>
    <row r="90" spans="1:6" x14ac:dyDescent="0.35">
      <c r="A90" t="s">
        <v>62</v>
      </c>
      <c r="B90" t="s">
        <v>37</v>
      </c>
      <c r="D90" s="1">
        <v>10199</v>
      </c>
      <c r="E90" s="1">
        <v>10199</v>
      </c>
      <c r="F90" s="1" t="s">
        <v>448</v>
      </c>
    </row>
    <row r="91" spans="1:6" x14ac:dyDescent="0.35">
      <c r="A91" t="s">
        <v>62</v>
      </c>
      <c r="B91" t="s">
        <v>11</v>
      </c>
      <c r="D91" s="1">
        <v>9240884.910000002</v>
      </c>
      <c r="E91" s="1">
        <v>9240884.910000002</v>
      </c>
      <c r="F91" s="1" t="s">
        <v>448</v>
      </c>
    </row>
    <row r="92" spans="1:6" x14ac:dyDescent="0.35">
      <c r="A92" t="s">
        <v>705</v>
      </c>
      <c r="B92" t="s">
        <v>11</v>
      </c>
      <c r="D92" s="1">
        <v>11515.5</v>
      </c>
      <c r="E92" s="1">
        <v>11515.5</v>
      </c>
      <c r="F92" s="1" t="s">
        <v>448</v>
      </c>
    </row>
    <row r="93" spans="1:6" x14ac:dyDescent="0.35">
      <c r="A93" t="s">
        <v>124</v>
      </c>
      <c r="B93" t="s">
        <v>37</v>
      </c>
      <c r="D93" s="1">
        <v>26745.5</v>
      </c>
      <c r="E93" s="1">
        <v>26745.5</v>
      </c>
      <c r="F93" s="1" t="s">
        <v>448</v>
      </c>
    </row>
    <row r="94" spans="1:6" x14ac:dyDescent="0.35">
      <c r="A94" t="s">
        <v>320</v>
      </c>
      <c r="B94" t="s">
        <v>11</v>
      </c>
      <c r="D94" s="1">
        <v>2783597.27</v>
      </c>
      <c r="E94" s="1">
        <v>2783597.27</v>
      </c>
      <c r="F94" s="1" t="s">
        <v>448</v>
      </c>
    </row>
    <row r="95" spans="1:6" x14ac:dyDescent="0.35">
      <c r="A95" t="s">
        <v>354</v>
      </c>
      <c r="B95" t="s">
        <v>11</v>
      </c>
      <c r="D95" s="1">
        <v>6027693.3499999996</v>
      </c>
      <c r="E95" s="1">
        <v>6027693.3499999996</v>
      </c>
      <c r="F95" s="1" t="s">
        <v>448</v>
      </c>
    </row>
    <row r="96" spans="1:6" x14ac:dyDescent="0.35">
      <c r="A96" t="s">
        <v>115</v>
      </c>
      <c r="B96" t="s">
        <v>11</v>
      </c>
      <c r="D96" s="1">
        <v>1019976.98</v>
      </c>
      <c r="E96" s="1">
        <v>1019976.98</v>
      </c>
      <c r="F96" s="1" t="s">
        <v>448</v>
      </c>
    </row>
    <row r="97" spans="1:6" x14ac:dyDescent="0.35">
      <c r="A97" t="s">
        <v>79</v>
      </c>
      <c r="B97" t="s">
        <v>11</v>
      </c>
      <c r="D97" s="1">
        <v>77871.899999999994</v>
      </c>
      <c r="E97" s="1">
        <v>77871.899999999994</v>
      </c>
      <c r="F97" s="1" t="s">
        <v>448</v>
      </c>
    </row>
    <row r="98" spans="1:6" x14ac:dyDescent="0.35">
      <c r="A98" t="s">
        <v>117</v>
      </c>
      <c r="B98" t="s">
        <v>11</v>
      </c>
      <c r="D98" s="1">
        <v>456288.52</v>
      </c>
      <c r="E98" s="1">
        <v>456288.52</v>
      </c>
      <c r="F98" s="1" t="s">
        <v>448</v>
      </c>
    </row>
    <row r="99" spans="1:6" x14ac:dyDescent="0.35">
      <c r="A99" t="s">
        <v>152</v>
      </c>
      <c r="B99" t="s">
        <v>11</v>
      </c>
      <c r="D99" s="1">
        <v>1270116.53</v>
      </c>
      <c r="E99" s="1">
        <v>1270116.53</v>
      </c>
      <c r="F99" s="1" t="s">
        <v>448</v>
      </c>
    </row>
    <row r="100" spans="1:6" x14ac:dyDescent="0.35">
      <c r="A100" t="s">
        <v>97</v>
      </c>
      <c r="B100" t="s">
        <v>11</v>
      </c>
      <c r="D100" s="1">
        <v>2624350.92</v>
      </c>
      <c r="E100" s="1">
        <v>2624350.92</v>
      </c>
      <c r="F100" s="1" t="s">
        <v>448</v>
      </c>
    </row>
    <row r="101" spans="1:6" x14ac:dyDescent="0.35">
      <c r="A101" t="s">
        <v>106</v>
      </c>
      <c r="B101" t="s">
        <v>11</v>
      </c>
      <c r="D101" s="1">
        <v>739420.27</v>
      </c>
      <c r="E101" s="1">
        <v>739420.27</v>
      </c>
      <c r="F101" s="1" t="s">
        <v>448</v>
      </c>
    </row>
    <row r="102" spans="1:6" x14ac:dyDescent="0.35">
      <c r="A102" t="s">
        <v>51</v>
      </c>
      <c r="B102" t="s">
        <v>11</v>
      </c>
      <c r="D102" s="1">
        <v>193344.6</v>
      </c>
      <c r="E102" s="1">
        <v>193344.6</v>
      </c>
      <c r="F102" s="1" t="s">
        <v>448</v>
      </c>
    </row>
    <row r="103" spans="1:6" x14ac:dyDescent="0.35">
      <c r="A103" t="s">
        <v>797</v>
      </c>
      <c r="B103" t="s">
        <v>11</v>
      </c>
      <c r="D103" s="1">
        <v>55046.34</v>
      </c>
      <c r="E103" s="1">
        <v>55046.34</v>
      </c>
      <c r="F103" s="1" t="s">
        <v>448</v>
      </c>
    </row>
    <row r="104" spans="1:6" x14ac:dyDescent="0.35">
      <c r="A104" t="s">
        <v>406</v>
      </c>
      <c r="B104" t="s">
        <v>19</v>
      </c>
      <c r="D104" s="1">
        <v>8527.0499999999993</v>
      </c>
      <c r="E104" s="1">
        <v>8527.0499999999993</v>
      </c>
      <c r="F104" s="1" t="s">
        <v>448</v>
      </c>
    </row>
    <row r="105" spans="1:6" x14ac:dyDescent="0.35">
      <c r="A105" t="s">
        <v>78</v>
      </c>
      <c r="B105" t="s">
        <v>11</v>
      </c>
      <c r="D105" s="1">
        <v>230694.05</v>
      </c>
      <c r="E105" s="1">
        <v>230694.05</v>
      </c>
      <c r="F105" s="1" t="s">
        <v>448</v>
      </c>
    </row>
    <row r="106" spans="1:6" x14ac:dyDescent="0.35">
      <c r="A106" t="s">
        <v>347</v>
      </c>
      <c r="B106" t="s">
        <v>11</v>
      </c>
      <c r="D106" s="1">
        <v>4775658.09</v>
      </c>
      <c r="E106" s="1">
        <v>4775658.09</v>
      </c>
      <c r="F106" s="1" t="s">
        <v>448</v>
      </c>
    </row>
    <row r="107" spans="1:6" x14ac:dyDescent="0.35">
      <c r="A107" t="s">
        <v>40</v>
      </c>
      <c r="B107" t="s">
        <v>37</v>
      </c>
      <c r="D107" s="1">
        <v>56</v>
      </c>
      <c r="E107" s="1">
        <v>56</v>
      </c>
      <c r="F107" s="1" t="s">
        <v>448</v>
      </c>
    </row>
    <row r="108" spans="1:6" x14ac:dyDescent="0.35">
      <c r="A108" t="s">
        <v>226</v>
      </c>
      <c r="B108" t="s">
        <v>11</v>
      </c>
      <c r="D108" s="1">
        <v>2374792.9099999997</v>
      </c>
      <c r="E108" s="1">
        <v>2374792.9099999997</v>
      </c>
      <c r="F108" s="1" t="s">
        <v>448</v>
      </c>
    </row>
    <row r="109" spans="1:6" x14ac:dyDescent="0.35">
      <c r="A109" t="s">
        <v>141</v>
      </c>
      <c r="B109" t="s">
        <v>11</v>
      </c>
      <c r="D109" s="1">
        <v>3053434.1999999997</v>
      </c>
      <c r="E109" s="1">
        <v>3053434.1999999997</v>
      </c>
      <c r="F109" s="1" t="s">
        <v>448</v>
      </c>
    </row>
    <row r="110" spans="1:6" x14ac:dyDescent="0.35">
      <c r="A110" t="s">
        <v>36</v>
      </c>
      <c r="B110" t="s">
        <v>37</v>
      </c>
      <c r="D110" s="1">
        <v>16674.27</v>
      </c>
      <c r="E110" s="1">
        <v>16674.27</v>
      </c>
      <c r="F110" s="1" t="s">
        <v>448</v>
      </c>
    </row>
    <row r="111" spans="1:6" x14ac:dyDescent="0.35">
      <c r="A111" t="s">
        <v>34</v>
      </c>
      <c r="B111" t="s">
        <v>11</v>
      </c>
      <c r="D111" s="1">
        <v>74862.3</v>
      </c>
      <c r="E111" s="1">
        <v>74862.3</v>
      </c>
      <c r="F111" s="1" t="s">
        <v>448</v>
      </c>
    </row>
    <row r="112" spans="1:6" x14ac:dyDescent="0.35">
      <c r="A112" t="s">
        <v>218</v>
      </c>
      <c r="B112" t="s">
        <v>11</v>
      </c>
      <c r="D112" s="1">
        <v>15924549.210000001</v>
      </c>
      <c r="E112" s="1">
        <v>15924549.210000001</v>
      </c>
      <c r="F112" s="1" t="s">
        <v>448</v>
      </c>
    </row>
    <row r="113" spans="1:6" x14ac:dyDescent="0.35">
      <c r="A113" t="s">
        <v>272</v>
      </c>
      <c r="B113" t="s">
        <v>11</v>
      </c>
      <c r="D113" s="1">
        <v>232475.56</v>
      </c>
      <c r="E113" s="1">
        <v>232475.56</v>
      </c>
      <c r="F113" s="1" t="s">
        <v>448</v>
      </c>
    </row>
    <row r="114" spans="1:6" x14ac:dyDescent="0.35">
      <c r="A114" t="s">
        <v>271</v>
      </c>
      <c r="B114" t="s">
        <v>11</v>
      </c>
      <c r="D114" s="1">
        <v>2884101.12</v>
      </c>
      <c r="E114" s="1">
        <v>2884101.12</v>
      </c>
      <c r="F114" s="1" t="s">
        <v>448</v>
      </c>
    </row>
    <row r="115" spans="1:6" x14ac:dyDescent="0.35">
      <c r="A115" t="s">
        <v>234</v>
      </c>
      <c r="B115" t="s">
        <v>11</v>
      </c>
      <c r="D115" s="1">
        <v>293867.42</v>
      </c>
      <c r="E115" s="1">
        <v>293867.42</v>
      </c>
      <c r="F115" s="1" t="s">
        <v>448</v>
      </c>
    </row>
  </sheetData>
  <sortState xmlns:xlrd2="http://schemas.microsoft.com/office/spreadsheetml/2017/richdata2" ref="A4:E115">
    <sortCondition descending="1" ref="C4:C1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C918-1A68-4A37-835D-96BFA03B64E3}">
  <sheetPr codeName="Sheet6" filterMode="1"/>
  <dimension ref="A1:BY370"/>
  <sheetViews>
    <sheetView showGridLines="0" tabSelected="1" topLeftCell="W1" workbookViewId="0">
      <selection activeCell="AE1" sqref="AE1"/>
    </sheetView>
  </sheetViews>
  <sheetFormatPr defaultRowHeight="15" customHeight="1" x14ac:dyDescent="0.35"/>
  <cols>
    <col min="1" max="1" width="11.1796875" style="4" bestFit="1" customWidth="1"/>
    <col min="2" max="3" width="15.36328125" style="4" bestFit="1" customWidth="1"/>
    <col min="4" max="4" width="12" style="4" bestFit="1" customWidth="1"/>
    <col min="5" max="5" width="41.1796875" style="4" bestFit="1" customWidth="1"/>
    <col min="6" max="6" width="23.54296875" style="4" bestFit="1" customWidth="1"/>
    <col min="7" max="9" width="7.1796875" style="4" bestFit="1" customWidth="1"/>
    <col min="10" max="10" width="14.54296875" style="4" bestFit="1" customWidth="1"/>
    <col min="11" max="11" width="9.26953125" style="4" bestFit="1" customWidth="1"/>
    <col min="12" max="13" width="9" style="4" bestFit="1" customWidth="1"/>
    <col min="14" max="14" width="10.90625" style="4" bestFit="1" customWidth="1"/>
    <col min="15" max="15" width="7.1796875" style="4" bestFit="1" customWidth="1"/>
    <col min="16" max="16" width="31.26953125" style="4" bestFit="1" customWidth="1"/>
    <col min="17" max="17" width="10.1796875" style="4" bestFit="1" customWidth="1"/>
    <col min="18" max="18" width="9.1796875" style="4" bestFit="1" customWidth="1"/>
    <col min="19" max="19" width="19.26953125" style="4" bestFit="1" customWidth="1"/>
    <col min="20" max="20" width="19.1796875" style="4" bestFit="1" customWidth="1"/>
    <col min="21" max="21" width="16.54296875" style="4" bestFit="1" customWidth="1"/>
    <col min="22" max="24" width="17.36328125" style="4" bestFit="1" customWidth="1"/>
    <col min="25" max="25" width="18.08984375" style="4" bestFit="1" customWidth="1"/>
    <col min="26" max="26" width="18.81640625" style="4" bestFit="1" customWidth="1"/>
    <col min="27" max="27" width="16.08984375" style="4" bestFit="1" customWidth="1"/>
    <col min="28" max="28" width="17.90625" style="4" bestFit="1" customWidth="1"/>
    <col min="29" max="31" width="18.6328125" style="4" bestFit="1" customWidth="1"/>
    <col min="32" max="32" width="19.7265625" style="4" bestFit="1" customWidth="1"/>
    <col min="33" max="33" width="20.453125" style="4" bestFit="1" customWidth="1"/>
    <col min="34" max="34" width="17.453125" style="4" bestFit="1" customWidth="1"/>
    <col min="35" max="35" width="19.453125" style="4" bestFit="1" customWidth="1"/>
    <col min="36" max="38" width="20.1796875" style="4" bestFit="1" customWidth="1"/>
    <col min="39" max="39" width="21" style="4" bestFit="1" customWidth="1"/>
    <col min="40" max="40" width="21.7265625" style="4" bestFit="1" customWidth="1"/>
    <col min="41" max="41" width="19" style="4" bestFit="1" customWidth="1"/>
    <col min="42" max="42" width="20.7265625" style="4" bestFit="1" customWidth="1"/>
    <col min="43" max="45" width="21.54296875" style="4" bestFit="1" customWidth="1"/>
    <col min="46" max="46" width="22.6328125" style="4" bestFit="1" customWidth="1"/>
    <col min="47" max="47" width="23.36328125" style="4" bestFit="1" customWidth="1"/>
    <col min="48" max="48" width="20.26953125" style="4" bestFit="1" customWidth="1"/>
    <col min="49" max="49" width="32.26953125" style="4" bestFit="1" customWidth="1"/>
    <col min="50" max="52" width="33" style="4" bestFit="1" customWidth="1"/>
    <col min="53" max="53" width="33.81640625" style="4" bestFit="1" customWidth="1"/>
    <col min="54" max="54" width="34.54296875" style="4" bestFit="1" customWidth="1"/>
    <col min="55" max="55" width="26.26953125" style="4" bestFit="1" customWidth="1"/>
    <col min="56" max="56" width="33.6328125" style="4" bestFit="1" customWidth="1"/>
    <col min="57" max="59" width="34.36328125" style="4" bestFit="1" customWidth="1"/>
    <col min="60" max="60" width="35.453125" style="4" bestFit="1" customWidth="1"/>
    <col min="61" max="61" width="36.1796875" style="4" bestFit="1" customWidth="1"/>
    <col min="62" max="62" width="33.1796875" style="4" bestFit="1" customWidth="1"/>
    <col min="63" max="63" width="10.54296875" style="4" bestFit="1" customWidth="1"/>
    <col min="64" max="64" width="8.453125" style="4" bestFit="1" customWidth="1"/>
    <col min="65" max="65" width="9.1796875" style="4" bestFit="1" customWidth="1"/>
    <col min="66" max="66" width="41.36328125" style="4" bestFit="1" customWidth="1"/>
    <col min="67" max="67" width="12.90625" style="4" bestFit="1" customWidth="1"/>
    <col min="68" max="68" width="3.90625" style="4" bestFit="1" customWidth="1"/>
    <col min="69" max="69" width="7.54296875" style="4" bestFit="1" customWidth="1"/>
    <col min="70" max="70" width="3.90625" style="4" bestFit="1" customWidth="1"/>
    <col min="71" max="71" width="15.54296875" style="4" bestFit="1" customWidth="1"/>
    <col min="72" max="73" width="6" style="4" bestFit="1" customWidth="1"/>
    <col min="74" max="74" width="5" style="4" bestFit="1" customWidth="1"/>
    <col min="75" max="75" width="15" style="4" bestFit="1" customWidth="1"/>
    <col min="76" max="76" width="8.81640625" style="4" bestFit="1" customWidth="1"/>
    <col min="77" max="77" width="11.36328125" style="4" bestFit="1" customWidth="1"/>
    <col min="78" max="16384" width="8.7265625" style="4"/>
  </cols>
  <sheetData>
    <row r="1" spans="1:77" ht="15" customHeight="1" x14ac:dyDescent="0.35">
      <c r="A1" s="30" t="s">
        <v>0</v>
      </c>
      <c r="B1" s="30" t="s">
        <v>155</v>
      </c>
      <c r="C1" s="30" t="s">
        <v>156</v>
      </c>
      <c r="D1" s="30" t="s">
        <v>157</v>
      </c>
      <c r="E1" s="30" t="s">
        <v>158</v>
      </c>
      <c r="F1" s="30" t="s">
        <v>159</v>
      </c>
      <c r="G1" s="30" t="s">
        <v>160</v>
      </c>
      <c r="H1" s="30" t="s">
        <v>161</v>
      </c>
      <c r="I1" s="30" t="s">
        <v>162</v>
      </c>
      <c r="J1" s="30" t="s">
        <v>147</v>
      </c>
      <c r="K1" s="30" t="s">
        <v>1</v>
      </c>
      <c r="L1" s="30" t="s">
        <v>163</v>
      </c>
      <c r="M1" s="30" t="s">
        <v>2</v>
      </c>
      <c r="N1" s="30" t="s">
        <v>164</v>
      </c>
      <c r="O1" s="30" t="s">
        <v>165</v>
      </c>
      <c r="P1" s="30" t="s">
        <v>166</v>
      </c>
      <c r="Q1" s="30" t="s">
        <v>167</v>
      </c>
      <c r="R1" s="30" t="s">
        <v>168</v>
      </c>
      <c r="S1" s="30" t="s">
        <v>3</v>
      </c>
      <c r="T1" s="30" t="s">
        <v>4</v>
      </c>
      <c r="U1" s="30" t="s">
        <v>169</v>
      </c>
      <c r="V1" s="30" t="s">
        <v>170</v>
      </c>
      <c r="W1" s="30" t="s">
        <v>171</v>
      </c>
      <c r="X1" s="30" t="s">
        <v>172</v>
      </c>
      <c r="Y1" s="30" t="s">
        <v>173</v>
      </c>
      <c r="Z1" s="30" t="s">
        <v>174</v>
      </c>
      <c r="AA1" s="30" t="s">
        <v>175</v>
      </c>
      <c r="AB1" s="30" t="s">
        <v>176</v>
      </c>
      <c r="AC1" s="30" t="s">
        <v>177</v>
      </c>
      <c r="AD1" s="30" t="s">
        <v>178</v>
      </c>
      <c r="AE1" s="30" t="s">
        <v>179</v>
      </c>
      <c r="AF1" s="30" t="s">
        <v>180</v>
      </c>
      <c r="AG1" s="30" t="s">
        <v>181</v>
      </c>
      <c r="AH1" s="30" t="s">
        <v>182</v>
      </c>
      <c r="AI1" s="30" t="s">
        <v>183</v>
      </c>
      <c r="AJ1" s="30" t="s">
        <v>184</v>
      </c>
      <c r="AK1" s="30" t="s">
        <v>185</v>
      </c>
      <c r="AL1" s="30" t="s">
        <v>186</v>
      </c>
      <c r="AM1" s="30" t="s">
        <v>187</v>
      </c>
      <c r="AN1" s="30" t="s">
        <v>188</v>
      </c>
      <c r="AO1" s="30" t="s">
        <v>189</v>
      </c>
      <c r="AP1" s="30" t="s">
        <v>190</v>
      </c>
      <c r="AQ1" s="30" t="s">
        <v>191</v>
      </c>
      <c r="AR1" s="30" t="s">
        <v>192</v>
      </c>
      <c r="AS1" s="30" t="s">
        <v>193</v>
      </c>
      <c r="AT1" s="30" t="s">
        <v>194</v>
      </c>
      <c r="AU1" s="30" t="s">
        <v>195</v>
      </c>
      <c r="AV1" s="30" t="s">
        <v>196</v>
      </c>
      <c r="AW1" s="30" t="s">
        <v>197</v>
      </c>
      <c r="AX1" s="30" t="s">
        <v>198</v>
      </c>
      <c r="AY1" s="30" t="s">
        <v>199</v>
      </c>
      <c r="AZ1" s="30" t="s">
        <v>200</v>
      </c>
      <c r="BA1" s="30" t="s">
        <v>201</v>
      </c>
      <c r="BB1" s="30" t="s">
        <v>202</v>
      </c>
      <c r="BC1" s="30" t="s">
        <v>203</v>
      </c>
      <c r="BD1" s="30" t="s">
        <v>204</v>
      </c>
      <c r="BE1" s="30" t="s">
        <v>205</v>
      </c>
      <c r="BF1" s="30" t="s">
        <v>206</v>
      </c>
      <c r="BG1" s="30" t="s">
        <v>207</v>
      </c>
      <c r="BH1" s="30" t="s">
        <v>208</v>
      </c>
      <c r="BI1" s="30" t="s">
        <v>209</v>
      </c>
      <c r="BJ1" s="30" t="s">
        <v>210</v>
      </c>
      <c r="BK1" s="30" t="s">
        <v>211</v>
      </c>
      <c r="BL1" s="30" t="s">
        <v>212</v>
      </c>
      <c r="BM1" s="30" t="s">
        <v>213</v>
      </c>
      <c r="BN1" s="30" t="s">
        <v>214</v>
      </c>
      <c r="BO1" s="30" t="s">
        <v>215</v>
      </c>
      <c r="BP1" s="30" t="s">
        <v>5</v>
      </c>
      <c r="BQ1" s="30" t="s">
        <v>216</v>
      </c>
      <c r="BR1" s="31" t="s">
        <v>6</v>
      </c>
      <c r="BS1" s="23" t="s">
        <v>219</v>
      </c>
      <c r="BT1" s="4" t="s">
        <v>291</v>
      </c>
      <c r="BU1" s="4" t="s">
        <v>291</v>
      </c>
      <c r="BV1" s="4" t="s">
        <v>453</v>
      </c>
      <c r="BW1" s="23" t="s">
        <v>574</v>
      </c>
      <c r="BX1" s="4" t="s">
        <v>575</v>
      </c>
      <c r="BY1" s="4" t="s">
        <v>577</v>
      </c>
    </row>
    <row r="2" spans="1:77" ht="15" customHeight="1" x14ac:dyDescent="0.35">
      <c r="A2" s="32" t="s">
        <v>217</v>
      </c>
      <c r="B2" s="32" t="s">
        <v>397</v>
      </c>
      <c r="C2" s="32" t="s">
        <v>55</v>
      </c>
      <c r="D2" s="32" t="s">
        <v>123</v>
      </c>
      <c r="E2" s="32" t="s">
        <v>124</v>
      </c>
      <c r="F2" s="32" t="s">
        <v>46</v>
      </c>
      <c r="G2" s="33">
        <v>45869</v>
      </c>
      <c r="H2" s="33">
        <v>45869</v>
      </c>
      <c r="I2" s="33">
        <v>45899</v>
      </c>
      <c r="J2" s="32" t="s">
        <v>11</v>
      </c>
      <c r="K2" s="34">
        <v>43968.2</v>
      </c>
      <c r="L2" s="34">
        <v>43968.2</v>
      </c>
      <c r="M2" s="34">
        <v>0</v>
      </c>
      <c r="N2" s="34">
        <v>43968</v>
      </c>
      <c r="O2" s="34">
        <v>0</v>
      </c>
      <c r="P2" s="34">
        <v>0.2</v>
      </c>
      <c r="Q2" s="34">
        <v>0</v>
      </c>
      <c r="R2" s="34">
        <v>0.2</v>
      </c>
      <c r="S2" s="34">
        <v>3.9237074326789901E-3</v>
      </c>
      <c r="T2" s="34">
        <v>0.2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35">
        <v>0</v>
      </c>
      <c r="AG2" s="35">
        <v>0.2</v>
      </c>
      <c r="AH2" s="35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3.9237074326789901E-3</v>
      </c>
      <c r="AV2" s="36">
        <v>0</v>
      </c>
      <c r="AW2" s="37">
        <v>0</v>
      </c>
      <c r="AX2" s="37">
        <v>0</v>
      </c>
      <c r="AY2" s="37">
        <v>0</v>
      </c>
      <c r="AZ2" s="37">
        <v>0</v>
      </c>
      <c r="BA2" s="37">
        <v>0</v>
      </c>
      <c r="BB2" s="37">
        <v>0</v>
      </c>
      <c r="BC2" s="37">
        <v>0</v>
      </c>
      <c r="BD2" s="37">
        <v>0</v>
      </c>
      <c r="BE2" s="37">
        <v>0</v>
      </c>
      <c r="BF2" s="37">
        <v>0</v>
      </c>
      <c r="BG2" s="37">
        <v>0</v>
      </c>
      <c r="BH2" s="37">
        <v>0</v>
      </c>
      <c r="BI2" s="37">
        <v>0.2</v>
      </c>
      <c r="BJ2" s="37">
        <v>0</v>
      </c>
      <c r="BK2" s="32" t="s">
        <v>12</v>
      </c>
      <c r="BL2" s="32" t="s">
        <v>13</v>
      </c>
      <c r="BM2" s="33">
        <v>45870.593668981484</v>
      </c>
      <c r="BN2" s="32" t="s">
        <v>20</v>
      </c>
      <c r="BO2" s="32" t="s">
        <v>21</v>
      </c>
      <c r="BP2" s="38">
        <v>206</v>
      </c>
      <c r="BQ2" s="42"/>
      <c r="BR2" s="39">
        <v>206</v>
      </c>
      <c r="BS2" s="22" t="s">
        <v>220</v>
      </c>
      <c r="BT2" s="4" t="str">
        <f t="shared" ref="BT2:BT65" si="0">LEFT(BO2,3)</f>
        <v>120</v>
      </c>
      <c r="BU2" s="4" t="str">
        <f t="shared" ref="BU2:BU65" si="1">LEFT(BP2,3)</f>
        <v>206</v>
      </c>
      <c r="BV2" s="4">
        <f>I2-H2</f>
        <v>30</v>
      </c>
      <c r="BW2" s="29">
        <f>BP2*R2</f>
        <v>41.2</v>
      </c>
      <c r="BX2" s="4">
        <v>51.49</v>
      </c>
      <c r="BY2" s="29">
        <f>BW2*BX2/36500</f>
        <v>5.8120219178082203E-2</v>
      </c>
    </row>
    <row r="3" spans="1:77" ht="15" customHeight="1" x14ac:dyDescent="0.35">
      <c r="A3" s="32" t="s">
        <v>217</v>
      </c>
      <c r="B3" s="32" t="s">
        <v>404</v>
      </c>
      <c r="C3" s="32" t="s">
        <v>7</v>
      </c>
      <c r="D3" s="32" t="s">
        <v>325</v>
      </c>
      <c r="E3" s="32" t="s">
        <v>228</v>
      </c>
      <c r="F3" s="32" t="s">
        <v>104</v>
      </c>
      <c r="G3" s="33">
        <v>45889</v>
      </c>
      <c r="H3" s="33">
        <v>45889</v>
      </c>
      <c r="I3" s="33">
        <v>45904</v>
      </c>
      <c r="J3" s="32" t="s">
        <v>11</v>
      </c>
      <c r="K3" s="34">
        <v>2705489.99</v>
      </c>
      <c r="L3" s="34">
        <v>2652441.17</v>
      </c>
      <c r="M3" s="34">
        <v>53048.82</v>
      </c>
      <c r="N3" s="34">
        <v>567703.06999999995</v>
      </c>
      <c r="O3" s="34">
        <v>0</v>
      </c>
      <c r="P3" s="34">
        <v>2137786.92</v>
      </c>
      <c r="Q3" s="34">
        <v>0</v>
      </c>
      <c r="R3" s="34">
        <v>2137786.92</v>
      </c>
      <c r="S3" s="34">
        <v>41940.252137439602</v>
      </c>
      <c r="T3" s="34">
        <v>2137786.92</v>
      </c>
      <c r="U3" s="35">
        <v>0</v>
      </c>
      <c r="V3" s="35">
        <v>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35">
        <v>0</v>
      </c>
      <c r="AG3" s="35">
        <v>2137786.92</v>
      </c>
      <c r="AH3" s="35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41940.252137439602</v>
      </c>
      <c r="AV3" s="36">
        <v>0</v>
      </c>
      <c r="AW3" s="37">
        <v>0</v>
      </c>
      <c r="AX3" s="37">
        <v>0</v>
      </c>
      <c r="AY3" s="37">
        <v>0</v>
      </c>
      <c r="AZ3" s="37">
        <v>0</v>
      </c>
      <c r="BA3" s="37">
        <v>0</v>
      </c>
      <c r="BB3" s="37">
        <v>0</v>
      </c>
      <c r="BC3" s="37">
        <v>0</v>
      </c>
      <c r="BD3" s="37">
        <v>0</v>
      </c>
      <c r="BE3" s="37">
        <v>0</v>
      </c>
      <c r="BF3" s="37">
        <v>0</v>
      </c>
      <c r="BG3" s="37">
        <v>0</v>
      </c>
      <c r="BH3" s="37">
        <v>0</v>
      </c>
      <c r="BI3" s="37">
        <v>2137786.92</v>
      </c>
      <c r="BJ3" s="37">
        <v>0</v>
      </c>
      <c r="BK3" s="32" t="s">
        <v>12</v>
      </c>
      <c r="BL3" s="32" t="s">
        <v>13</v>
      </c>
      <c r="BM3" s="33">
        <v>45887.601041666669</v>
      </c>
      <c r="BN3" s="32" t="s">
        <v>326</v>
      </c>
      <c r="BO3" s="32" t="s">
        <v>26</v>
      </c>
      <c r="BP3" s="38">
        <v>201</v>
      </c>
      <c r="BQ3" s="42"/>
      <c r="BR3" s="39">
        <v>201</v>
      </c>
      <c r="BS3" s="22" t="s">
        <v>220</v>
      </c>
      <c r="BT3" s="4" t="str">
        <f t="shared" si="0"/>
        <v>120</v>
      </c>
      <c r="BU3" s="4" t="str">
        <f t="shared" si="1"/>
        <v>201</v>
      </c>
      <c r="BV3" s="4">
        <f t="shared" ref="BV3:BV66" si="2">I3-H3</f>
        <v>15</v>
      </c>
      <c r="BW3" s="29">
        <f t="shared" ref="BW3:BW66" si="3">BP3*R3</f>
        <v>429695170.91999996</v>
      </c>
      <c r="BX3" s="4">
        <v>51.49</v>
      </c>
      <c r="BY3" s="29">
        <f t="shared" ref="BY3:BY66" si="4">BW3*BX3/36500</f>
        <v>606164.50275810412</v>
      </c>
    </row>
    <row r="4" spans="1:77" ht="15" customHeight="1" x14ac:dyDescent="0.35">
      <c r="A4" s="32" t="s">
        <v>217</v>
      </c>
      <c r="B4" s="32" t="s">
        <v>414</v>
      </c>
      <c r="C4" s="32" t="s">
        <v>90</v>
      </c>
      <c r="D4" s="32" t="s">
        <v>305</v>
      </c>
      <c r="E4" s="32" t="s">
        <v>148</v>
      </c>
      <c r="F4" s="32" t="s">
        <v>306</v>
      </c>
      <c r="G4" s="33">
        <v>45900</v>
      </c>
      <c r="H4" s="33">
        <v>45900</v>
      </c>
      <c r="I4" s="33">
        <v>45915</v>
      </c>
      <c r="J4" s="32" t="s">
        <v>11</v>
      </c>
      <c r="K4" s="34">
        <v>53009.54</v>
      </c>
      <c r="L4" s="34">
        <v>44174.62</v>
      </c>
      <c r="M4" s="34">
        <v>8834.92</v>
      </c>
      <c r="N4" s="34">
        <v>0</v>
      </c>
      <c r="O4" s="34">
        <v>0</v>
      </c>
      <c r="P4" s="34">
        <v>53009.54</v>
      </c>
      <c r="Q4" s="34">
        <v>0</v>
      </c>
      <c r="R4" s="34">
        <v>53009.54</v>
      </c>
      <c r="S4" s="34">
        <v>1039.9696305044699</v>
      </c>
      <c r="T4" s="34">
        <v>53009.54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5">
        <v>53009.54</v>
      </c>
      <c r="AH4" s="35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1039.9696305044699</v>
      </c>
      <c r="AV4" s="36">
        <v>0</v>
      </c>
      <c r="AW4" s="37">
        <v>0</v>
      </c>
      <c r="AX4" s="37">
        <v>0</v>
      </c>
      <c r="AY4" s="37"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53009.54</v>
      </c>
      <c r="BJ4" s="37">
        <v>0</v>
      </c>
      <c r="BK4" s="32" t="s">
        <v>12</v>
      </c>
      <c r="BL4" s="32" t="s">
        <v>408</v>
      </c>
      <c r="BM4" s="33">
        <v>45902.431018518517</v>
      </c>
      <c r="BN4" s="32" t="s">
        <v>28</v>
      </c>
      <c r="BO4" s="32" t="s">
        <v>29</v>
      </c>
      <c r="BP4" s="38">
        <v>190</v>
      </c>
      <c r="BQ4" s="42"/>
      <c r="BR4" s="39">
        <v>190</v>
      </c>
      <c r="BS4" s="22" t="s">
        <v>220</v>
      </c>
      <c r="BT4" s="4" t="str">
        <f t="shared" si="0"/>
        <v>120</v>
      </c>
      <c r="BU4" s="4" t="str">
        <f t="shared" si="1"/>
        <v>190</v>
      </c>
      <c r="BV4" s="4">
        <f t="shared" si="2"/>
        <v>15</v>
      </c>
      <c r="BW4" s="29">
        <f t="shared" si="3"/>
        <v>10071812.6</v>
      </c>
      <c r="BX4" s="4">
        <v>51.49</v>
      </c>
      <c r="BY4" s="29">
        <f t="shared" si="4"/>
        <v>14208.154267780821</v>
      </c>
    </row>
    <row r="5" spans="1:77" ht="15" customHeight="1" x14ac:dyDescent="0.35">
      <c r="A5" s="32" t="s">
        <v>217</v>
      </c>
      <c r="B5" s="32" t="s">
        <v>416</v>
      </c>
      <c r="C5" s="32" t="s">
        <v>7</v>
      </c>
      <c r="D5" s="32" t="s">
        <v>325</v>
      </c>
      <c r="E5" s="32" t="s">
        <v>228</v>
      </c>
      <c r="F5" s="32" t="s">
        <v>104</v>
      </c>
      <c r="G5" s="33">
        <v>45911</v>
      </c>
      <c r="H5" s="33">
        <v>45911</v>
      </c>
      <c r="I5" s="33">
        <v>45926</v>
      </c>
      <c r="J5" s="32" t="s">
        <v>11</v>
      </c>
      <c r="K5" s="34">
        <v>1347521.9</v>
      </c>
      <c r="L5" s="34">
        <v>1321099.8999999999</v>
      </c>
      <c r="M5" s="34">
        <v>26422</v>
      </c>
      <c r="N5" s="34">
        <v>0</v>
      </c>
      <c r="O5" s="34">
        <v>0</v>
      </c>
      <c r="P5" s="34">
        <v>1347521.9</v>
      </c>
      <c r="Q5" s="34">
        <v>0</v>
      </c>
      <c r="R5" s="34">
        <v>1347521.9</v>
      </c>
      <c r="S5" s="34">
        <v>26436.408473638599</v>
      </c>
      <c r="T5" s="34">
        <v>1347521.9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35">
        <v>1347521.9</v>
      </c>
      <c r="AG5" s="35">
        <v>0</v>
      </c>
      <c r="AH5" s="35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26436.408473638599</v>
      </c>
      <c r="AU5" s="36">
        <v>0</v>
      </c>
      <c r="AV5" s="36">
        <v>0</v>
      </c>
      <c r="AW5" s="37">
        <v>0</v>
      </c>
      <c r="AX5" s="37">
        <v>0</v>
      </c>
      <c r="AY5" s="37">
        <v>0</v>
      </c>
      <c r="AZ5" s="37">
        <v>0</v>
      </c>
      <c r="BA5" s="37">
        <v>0</v>
      </c>
      <c r="BB5" s="37">
        <v>0</v>
      </c>
      <c r="BC5" s="37">
        <v>0</v>
      </c>
      <c r="BD5" s="37">
        <v>0</v>
      </c>
      <c r="BE5" s="37">
        <v>0</v>
      </c>
      <c r="BF5" s="37">
        <v>0</v>
      </c>
      <c r="BG5" s="37">
        <v>0</v>
      </c>
      <c r="BH5" s="37">
        <v>1347521.9</v>
      </c>
      <c r="BI5" s="37">
        <v>0</v>
      </c>
      <c r="BJ5" s="37">
        <v>0</v>
      </c>
      <c r="BK5" s="32" t="s">
        <v>12</v>
      </c>
      <c r="BL5" s="32" t="s">
        <v>13</v>
      </c>
      <c r="BM5" s="33">
        <v>45910.34138888889</v>
      </c>
      <c r="BN5" s="32" t="s">
        <v>326</v>
      </c>
      <c r="BO5" s="32" t="s">
        <v>26</v>
      </c>
      <c r="BP5" s="38">
        <v>179</v>
      </c>
      <c r="BQ5" s="42"/>
      <c r="BR5" s="39">
        <v>179</v>
      </c>
      <c r="BS5" s="22" t="s">
        <v>220</v>
      </c>
      <c r="BT5" s="4" t="str">
        <f t="shared" si="0"/>
        <v>120</v>
      </c>
      <c r="BU5" s="4" t="str">
        <f t="shared" si="1"/>
        <v>179</v>
      </c>
      <c r="BV5" s="4">
        <f t="shared" si="2"/>
        <v>15</v>
      </c>
      <c r="BW5" s="29">
        <f t="shared" si="3"/>
        <v>241206420.09999999</v>
      </c>
      <c r="BX5" s="4">
        <v>51.49</v>
      </c>
      <c r="BY5" s="29">
        <f t="shared" si="4"/>
        <v>340266.26221778081</v>
      </c>
    </row>
    <row r="6" spans="1:77" ht="15" customHeight="1" x14ac:dyDescent="0.35">
      <c r="A6" s="32" t="s">
        <v>217</v>
      </c>
      <c r="B6" s="32" t="s">
        <v>422</v>
      </c>
      <c r="C6" s="32" t="s">
        <v>7</v>
      </c>
      <c r="D6" s="32" t="s">
        <v>8</v>
      </c>
      <c r="E6" s="32" t="s">
        <v>9</v>
      </c>
      <c r="F6" s="32" t="s">
        <v>10</v>
      </c>
      <c r="G6" s="33">
        <v>45924</v>
      </c>
      <c r="H6" s="33">
        <v>45924</v>
      </c>
      <c r="I6" s="33">
        <v>45931</v>
      </c>
      <c r="J6" s="32" t="s">
        <v>11</v>
      </c>
      <c r="K6" s="34">
        <v>12474006.42</v>
      </c>
      <c r="L6" s="34">
        <v>12229418.060000001</v>
      </c>
      <c r="M6" s="34">
        <v>244588.36</v>
      </c>
      <c r="N6" s="34">
        <v>0</v>
      </c>
      <c r="O6" s="34">
        <v>0</v>
      </c>
      <c r="P6" s="34">
        <v>12474006.42</v>
      </c>
      <c r="Q6" s="34">
        <v>0</v>
      </c>
      <c r="R6" s="34">
        <v>12474006.42</v>
      </c>
      <c r="S6" s="34">
        <v>244721.758527197</v>
      </c>
      <c r="T6" s="34">
        <v>12474006.42</v>
      </c>
      <c r="U6" s="35">
        <v>0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35">
        <v>12474006.42</v>
      </c>
      <c r="AG6" s="35">
        <v>0</v>
      </c>
      <c r="AH6" s="35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244721.758527197</v>
      </c>
      <c r="AU6" s="36">
        <v>0</v>
      </c>
      <c r="AV6" s="36">
        <v>0</v>
      </c>
      <c r="AW6" s="37">
        <v>0</v>
      </c>
      <c r="AX6" s="37">
        <v>0</v>
      </c>
      <c r="AY6" s="37"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12474006.42</v>
      </c>
      <c r="BI6" s="37">
        <v>0</v>
      </c>
      <c r="BJ6" s="37">
        <v>0</v>
      </c>
      <c r="BK6" s="32" t="s">
        <v>12</v>
      </c>
      <c r="BL6" s="32" t="s">
        <v>13</v>
      </c>
      <c r="BM6" s="33">
        <v>45923.618194444447</v>
      </c>
      <c r="BN6" s="32" t="s">
        <v>14</v>
      </c>
      <c r="BO6" s="32" t="s">
        <v>15</v>
      </c>
      <c r="BP6" s="38">
        <v>174</v>
      </c>
      <c r="BQ6" s="42"/>
      <c r="BR6" s="39">
        <v>174</v>
      </c>
      <c r="BS6" s="22" t="s">
        <v>220</v>
      </c>
      <c r="BT6" s="4" t="str">
        <f t="shared" si="0"/>
        <v>120</v>
      </c>
      <c r="BU6" s="4" t="str">
        <f t="shared" si="1"/>
        <v>174</v>
      </c>
      <c r="BV6" s="4">
        <f t="shared" si="2"/>
        <v>7</v>
      </c>
      <c r="BW6" s="29">
        <f t="shared" si="3"/>
        <v>2170477117.0799999</v>
      </c>
      <c r="BX6" s="4">
        <v>51.49</v>
      </c>
      <c r="BY6" s="29">
        <f t="shared" si="4"/>
        <v>3061859.3632451836</v>
      </c>
    </row>
    <row r="7" spans="1:77" ht="15" customHeight="1" x14ac:dyDescent="0.35">
      <c r="A7" s="32" t="s">
        <v>217</v>
      </c>
      <c r="B7" s="32" t="s">
        <v>425</v>
      </c>
      <c r="C7" s="32" t="s">
        <v>35</v>
      </c>
      <c r="D7" s="32" t="s">
        <v>105</v>
      </c>
      <c r="E7" s="32" t="s">
        <v>106</v>
      </c>
      <c r="F7" s="32" t="s">
        <v>107</v>
      </c>
      <c r="G7" s="33">
        <v>45929</v>
      </c>
      <c r="H7" s="33">
        <v>45929</v>
      </c>
      <c r="I7" s="33">
        <v>45959</v>
      </c>
      <c r="J7" s="32" t="s">
        <v>37</v>
      </c>
      <c r="K7" s="34">
        <v>862</v>
      </c>
      <c r="L7" s="34">
        <v>718.33</v>
      </c>
      <c r="M7" s="34">
        <v>143.66999999999999</v>
      </c>
      <c r="N7" s="34">
        <v>344.8</v>
      </c>
      <c r="O7" s="34">
        <v>0</v>
      </c>
      <c r="P7" s="34">
        <v>517.20000000000005</v>
      </c>
      <c r="Q7" s="34">
        <v>0</v>
      </c>
      <c r="R7" s="34">
        <v>517.20000000000005</v>
      </c>
      <c r="S7" s="34">
        <v>517.20000000000005</v>
      </c>
      <c r="T7" s="34">
        <v>26362.821840000001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35">
        <v>517.20000000000005</v>
      </c>
      <c r="AG7" s="35">
        <v>0</v>
      </c>
      <c r="AH7" s="35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517.20000000000005</v>
      </c>
      <c r="AU7" s="36">
        <v>0</v>
      </c>
      <c r="AV7" s="36">
        <v>0</v>
      </c>
      <c r="AW7" s="37">
        <v>0</v>
      </c>
      <c r="AX7" s="37">
        <v>0</v>
      </c>
      <c r="AY7" s="37">
        <v>0</v>
      </c>
      <c r="AZ7" s="37">
        <v>0</v>
      </c>
      <c r="BA7" s="37">
        <v>0</v>
      </c>
      <c r="BB7" s="37">
        <v>0</v>
      </c>
      <c r="BC7" s="37">
        <v>0</v>
      </c>
      <c r="BD7" s="37">
        <v>0</v>
      </c>
      <c r="BE7" s="37">
        <v>0</v>
      </c>
      <c r="BF7" s="37">
        <v>0</v>
      </c>
      <c r="BG7" s="37">
        <v>0</v>
      </c>
      <c r="BH7" s="37">
        <v>26362.821840000001</v>
      </c>
      <c r="BI7" s="37">
        <v>0</v>
      </c>
      <c r="BJ7" s="37">
        <v>0</v>
      </c>
      <c r="BK7" s="32" t="s">
        <v>12</v>
      </c>
      <c r="BL7" s="32" t="s">
        <v>13</v>
      </c>
      <c r="BM7" s="33">
        <v>45927.541076388887</v>
      </c>
      <c r="BN7" s="32" t="s">
        <v>28</v>
      </c>
      <c r="BO7" s="32" t="s">
        <v>29</v>
      </c>
      <c r="BP7" s="38">
        <v>146</v>
      </c>
      <c r="BQ7" s="42"/>
      <c r="BR7" s="39">
        <v>146</v>
      </c>
      <c r="BS7" s="22" t="s">
        <v>220</v>
      </c>
      <c r="BT7" s="4" t="str">
        <f t="shared" si="0"/>
        <v>120</v>
      </c>
      <c r="BU7" s="4" t="str">
        <f t="shared" si="1"/>
        <v>146</v>
      </c>
      <c r="BV7" s="4">
        <f t="shared" si="2"/>
        <v>30</v>
      </c>
      <c r="BW7" s="29">
        <f t="shared" si="3"/>
        <v>75511.200000000012</v>
      </c>
      <c r="BX7" s="4">
        <v>51.49</v>
      </c>
      <c r="BY7" s="29">
        <f t="shared" si="4"/>
        <v>106.52251200000002</v>
      </c>
    </row>
    <row r="8" spans="1:77" ht="15" customHeight="1" x14ac:dyDescent="0.35">
      <c r="A8" s="32" t="s">
        <v>217</v>
      </c>
      <c r="B8" s="32" t="s">
        <v>426</v>
      </c>
      <c r="C8" s="32" t="s">
        <v>16</v>
      </c>
      <c r="D8" s="32" t="s">
        <v>382</v>
      </c>
      <c r="E8" s="32" t="s">
        <v>332</v>
      </c>
      <c r="F8" s="32" t="s">
        <v>46</v>
      </c>
      <c r="G8" s="33">
        <v>45929</v>
      </c>
      <c r="H8" s="33">
        <v>45929</v>
      </c>
      <c r="I8" s="33">
        <v>45944</v>
      </c>
      <c r="J8" s="32" t="s">
        <v>11</v>
      </c>
      <c r="K8" s="34">
        <v>1339786.49</v>
      </c>
      <c r="L8" s="34">
        <v>1313516.17</v>
      </c>
      <c r="M8" s="34">
        <v>26270.32</v>
      </c>
      <c r="N8" s="34">
        <v>1280239.6599999999</v>
      </c>
      <c r="O8" s="34">
        <v>0</v>
      </c>
      <c r="P8" s="34">
        <v>59546.83</v>
      </c>
      <c r="Q8" s="34">
        <v>0</v>
      </c>
      <c r="R8" s="34">
        <v>59546.83</v>
      </c>
      <c r="S8" s="34">
        <v>1168.2216973173599</v>
      </c>
      <c r="T8" s="34">
        <v>59546.83</v>
      </c>
      <c r="U8" s="35">
        <v>0</v>
      </c>
      <c r="V8" s="35">
        <v>0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>
        <v>0</v>
      </c>
      <c r="AC8" s="35">
        <v>0</v>
      </c>
      <c r="AD8" s="35">
        <v>0</v>
      </c>
      <c r="AE8" s="35">
        <v>0</v>
      </c>
      <c r="AF8" s="35">
        <v>59546.83</v>
      </c>
      <c r="AG8" s="35">
        <v>0</v>
      </c>
      <c r="AH8" s="35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1168.2216973173599</v>
      </c>
      <c r="AU8" s="36">
        <v>0</v>
      </c>
      <c r="AV8" s="36">
        <v>0</v>
      </c>
      <c r="AW8" s="37">
        <v>0</v>
      </c>
      <c r="AX8" s="37">
        <v>0</v>
      </c>
      <c r="AY8" s="37"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59546.83</v>
      </c>
      <c r="BI8" s="37">
        <v>0</v>
      </c>
      <c r="BJ8" s="37">
        <v>0</v>
      </c>
      <c r="BK8" s="32" t="s">
        <v>12</v>
      </c>
      <c r="BL8" s="32" t="s">
        <v>13</v>
      </c>
      <c r="BM8" s="33">
        <v>45929.597187500003</v>
      </c>
      <c r="BN8" s="32" t="s">
        <v>28</v>
      </c>
      <c r="BO8" s="32" t="s">
        <v>29</v>
      </c>
      <c r="BP8" s="38">
        <v>161</v>
      </c>
      <c r="BQ8" s="42"/>
      <c r="BR8" s="39">
        <v>161</v>
      </c>
      <c r="BS8" s="22" t="s">
        <v>220</v>
      </c>
      <c r="BT8" s="4" t="str">
        <f t="shared" si="0"/>
        <v>120</v>
      </c>
      <c r="BU8" s="4" t="str">
        <f t="shared" si="1"/>
        <v>161</v>
      </c>
      <c r="BV8" s="4">
        <f t="shared" si="2"/>
        <v>15</v>
      </c>
      <c r="BW8" s="29">
        <f t="shared" si="3"/>
        <v>9587039.6300000008</v>
      </c>
      <c r="BX8" s="4">
        <v>51.49</v>
      </c>
      <c r="BY8" s="29">
        <f t="shared" si="4"/>
        <v>13524.292343800002</v>
      </c>
    </row>
    <row r="9" spans="1:77" ht="15" hidden="1" customHeight="1" x14ac:dyDescent="0.35">
      <c r="A9" s="32" t="s">
        <v>217</v>
      </c>
      <c r="B9" s="32" t="s">
        <v>429</v>
      </c>
      <c r="C9" s="32" t="s">
        <v>35</v>
      </c>
      <c r="D9" s="32" t="s">
        <v>297</v>
      </c>
      <c r="E9" s="32" t="s">
        <v>328</v>
      </c>
      <c r="F9" s="32" t="s">
        <v>337</v>
      </c>
      <c r="G9" s="33">
        <v>45930</v>
      </c>
      <c r="H9" s="33">
        <v>45930</v>
      </c>
      <c r="I9" s="33">
        <v>45960</v>
      </c>
      <c r="J9" s="32" t="s">
        <v>37</v>
      </c>
      <c r="K9" s="34">
        <v>4170</v>
      </c>
      <c r="L9" s="34">
        <v>4170</v>
      </c>
      <c r="M9" s="34">
        <v>0</v>
      </c>
      <c r="N9" s="34">
        <v>3666</v>
      </c>
      <c r="O9" s="34">
        <v>0</v>
      </c>
      <c r="P9" s="34">
        <v>504</v>
      </c>
      <c r="Q9" s="34">
        <v>0</v>
      </c>
      <c r="R9" s="34">
        <v>504</v>
      </c>
      <c r="S9" s="34">
        <v>504</v>
      </c>
      <c r="T9" s="34">
        <v>25689.988799999999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35">
        <v>0</v>
      </c>
      <c r="AE9" s="35">
        <v>0</v>
      </c>
      <c r="AF9" s="35">
        <v>504</v>
      </c>
      <c r="AG9" s="35">
        <v>0</v>
      </c>
      <c r="AH9" s="35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504</v>
      </c>
      <c r="AU9" s="36">
        <v>0</v>
      </c>
      <c r="AV9" s="36">
        <v>0</v>
      </c>
      <c r="AW9" s="37">
        <v>0</v>
      </c>
      <c r="AX9" s="37">
        <v>0</v>
      </c>
      <c r="AY9" s="37">
        <v>0</v>
      </c>
      <c r="AZ9" s="37">
        <v>0</v>
      </c>
      <c r="BA9" s="37">
        <v>0</v>
      </c>
      <c r="BB9" s="37">
        <v>0</v>
      </c>
      <c r="BC9" s="37">
        <v>0</v>
      </c>
      <c r="BD9" s="37">
        <v>0</v>
      </c>
      <c r="BE9" s="37">
        <v>0</v>
      </c>
      <c r="BF9" s="37">
        <v>0</v>
      </c>
      <c r="BG9" s="37">
        <v>0</v>
      </c>
      <c r="BH9" s="37">
        <v>25689.988799999999</v>
      </c>
      <c r="BI9" s="37">
        <v>0</v>
      </c>
      <c r="BJ9" s="37">
        <v>0</v>
      </c>
      <c r="BK9" s="32" t="s">
        <v>12</v>
      </c>
      <c r="BL9" s="32" t="s">
        <v>13</v>
      </c>
      <c r="BM9" s="33">
        <v>45930.902187500003</v>
      </c>
      <c r="BN9" s="32" t="s">
        <v>28</v>
      </c>
      <c r="BO9" s="32" t="s">
        <v>29</v>
      </c>
      <c r="BP9" s="38">
        <v>145</v>
      </c>
      <c r="BQ9" s="42"/>
      <c r="BR9" s="39">
        <v>145</v>
      </c>
      <c r="BS9" s="22" t="s">
        <v>220</v>
      </c>
      <c r="BT9" s="4" t="str">
        <f t="shared" si="0"/>
        <v>120</v>
      </c>
      <c r="BU9" s="4" t="str">
        <f t="shared" si="1"/>
        <v>145</v>
      </c>
      <c r="BV9" s="4">
        <f t="shared" si="2"/>
        <v>30</v>
      </c>
      <c r="BW9" s="29">
        <f t="shared" si="3"/>
        <v>73080</v>
      </c>
      <c r="BX9" s="4">
        <v>51.49</v>
      </c>
      <c r="BY9" s="29">
        <f t="shared" si="4"/>
        <v>103.09285479452055</v>
      </c>
    </row>
    <row r="10" spans="1:77" ht="15" hidden="1" customHeight="1" x14ac:dyDescent="0.35">
      <c r="A10" s="32" t="s">
        <v>217</v>
      </c>
      <c r="B10" s="32" t="s">
        <v>431</v>
      </c>
      <c r="C10" s="32" t="s">
        <v>90</v>
      </c>
      <c r="D10" s="32" t="s">
        <v>432</v>
      </c>
      <c r="E10" s="32" t="s">
        <v>475</v>
      </c>
      <c r="F10" s="32" t="s">
        <v>46</v>
      </c>
      <c r="G10" s="33">
        <v>45939</v>
      </c>
      <c r="H10" s="33">
        <v>45939</v>
      </c>
      <c r="I10" s="33">
        <v>46029</v>
      </c>
      <c r="J10" s="32" t="s">
        <v>11</v>
      </c>
      <c r="K10" s="34">
        <v>31350</v>
      </c>
      <c r="L10" s="34">
        <v>28500</v>
      </c>
      <c r="M10" s="34">
        <v>2850</v>
      </c>
      <c r="N10" s="34">
        <v>0</v>
      </c>
      <c r="O10" s="34">
        <v>0</v>
      </c>
      <c r="P10" s="34">
        <v>31350</v>
      </c>
      <c r="Q10" s="34">
        <v>0</v>
      </c>
      <c r="R10" s="34">
        <v>31350</v>
      </c>
      <c r="S10" s="34">
        <v>615.04114007243197</v>
      </c>
      <c r="T10" s="34">
        <v>31350</v>
      </c>
      <c r="U10" s="35">
        <v>0</v>
      </c>
      <c r="V10" s="35">
        <v>0</v>
      </c>
      <c r="W10" s="35">
        <v>0</v>
      </c>
      <c r="X10" s="35">
        <v>0</v>
      </c>
      <c r="Y10" s="35">
        <v>0</v>
      </c>
      <c r="Z10" s="35">
        <v>0</v>
      </c>
      <c r="AA10" s="35">
        <v>0</v>
      </c>
      <c r="AB10" s="35">
        <v>0</v>
      </c>
      <c r="AC10" s="35">
        <v>0</v>
      </c>
      <c r="AD10" s="35">
        <v>0</v>
      </c>
      <c r="AE10" s="35">
        <v>31350</v>
      </c>
      <c r="AF10" s="35">
        <v>0</v>
      </c>
      <c r="AG10" s="35">
        <v>0</v>
      </c>
      <c r="AH10" s="35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615.04114007243197</v>
      </c>
      <c r="AT10" s="36">
        <v>0</v>
      </c>
      <c r="AU10" s="36">
        <v>0</v>
      </c>
      <c r="AV10" s="36">
        <v>0</v>
      </c>
      <c r="AW10" s="37">
        <v>0</v>
      </c>
      <c r="AX10" s="37">
        <v>0</v>
      </c>
      <c r="AY10" s="37"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31350</v>
      </c>
      <c r="BH10" s="37">
        <v>0</v>
      </c>
      <c r="BI10" s="37">
        <v>0</v>
      </c>
      <c r="BJ10" s="37">
        <v>0</v>
      </c>
      <c r="BK10" s="32" t="s">
        <v>12</v>
      </c>
      <c r="BL10" s="32" t="s">
        <v>408</v>
      </c>
      <c r="BM10" s="33">
        <v>45939.472743055558</v>
      </c>
      <c r="BN10" s="32" t="s">
        <v>28</v>
      </c>
      <c r="BO10" s="32" t="s">
        <v>29</v>
      </c>
      <c r="BP10" s="38">
        <v>76</v>
      </c>
      <c r="BQ10" s="42"/>
      <c r="BR10" s="39">
        <v>76</v>
      </c>
      <c r="BS10" s="22" t="s">
        <v>220</v>
      </c>
      <c r="BT10" s="4" t="str">
        <f t="shared" si="0"/>
        <v>120</v>
      </c>
      <c r="BU10" s="4" t="str">
        <f t="shared" si="1"/>
        <v>76</v>
      </c>
      <c r="BV10" s="4">
        <f t="shared" si="2"/>
        <v>90</v>
      </c>
      <c r="BW10" s="29">
        <f t="shared" si="3"/>
        <v>2382600</v>
      </c>
      <c r="BX10" s="4">
        <v>51.49</v>
      </c>
      <c r="BY10" s="29">
        <f t="shared" si="4"/>
        <v>3361.0979178082193</v>
      </c>
    </row>
    <row r="11" spans="1:77" ht="15" hidden="1" customHeight="1" x14ac:dyDescent="0.35">
      <c r="A11" s="32" t="s">
        <v>217</v>
      </c>
      <c r="B11" s="32" t="s">
        <v>434</v>
      </c>
      <c r="C11" s="32" t="s">
        <v>90</v>
      </c>
      <c r="D11" s="32" t="s">
        <v>432</v>
      </c>
      <c r="E11" s="32" t="s">
        <v>475</v>
      </c>
      <c r="F11" s="32" t="s">
        <v>46</v>
      </c>
      <c r="G11" s="33">
        <v>45939</v>
      </c>
      <c r="H11" s="33">
        <v>45939</v>
      </c>
      <c r="I11" s="33">
        <v>46029</v>
      </c>
      <c r="J11" s="32" t="s">
        <v>11</v>
      </c>
      <c r="K11" s="34">
        <v>47300</v>
      </c>
      <c r="L11" s="34">
        <v>43000</v>
      </c>
      <c r="M11" s="34">
        <v>4300</v>
      </c>
      <c r="N11" s="34">
        <v>0</v>
      </c>
      <c r="O11" s="34">
        <v>0</v>
      </c>
      <c r="P11" s="34">
        <v>47300</v>
      </c>
      <c r="Q11" s="34">
        <v>0</v>
      </c>
      <c r="R11" s="34">
        <v>47300</v>
      </c>
      <c r="S11" s="34">
        <v>927.95680782858096</v>
      </c>
      <c r="T11" s="34">
        <v>47300</v>
      </c>
      <c r="U11" s="35">
        <v>0</v>
      </c>
      <c r="V11" s="35">
        <v>0</v>
      </c>
      <c r="W11" s="35">
        <v>0</v>
      </c>
      <c r="X11" s="35">
        <v>0</v>
      </c>
      <c r="Y11" s="35">
        <v>0</v>
      </c>
      <c r="Z11" s="35">
        <v>0</v>
      </c>
      <c r="AA11" s="35">
        <v>0</v>
      </c>
      <c r="AB11" s="35">
        <v>0</v>
      </c>
      <c r="AC11" s="35">
        <v>0</v>
      </c>
      <c r="AD11" s="35">
        <v>0</v>
      </c>
      <c r="AE11" s="35">
        <v>47300</v>
      </c>
      <c r="AF11" s="35">
        <v>0</v>
      </c>
      <c r="AG11" s="35">
        <v>0</v>
      </c>
      <c r="AH11" s="35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927.95680782858096</v>
      </c>
      <c r="AT11" s="36">
        <v>0</v>
      </c>
      <c r="AU11" s="36">
        <v>0</v>
      </c>
      <c r="AV11" s="36">
        <v>0</v>
      </c>
      <c r="AW11" s="37">
        <v>0</v>
      </c>
      <c r="AX11" s="37">
        <v>0</v>
      </c>
      <c r="AY11" s="37">
        <v>0</v>
      </c>
      <c r="AZ11" s="37">
        <v>0</v>
      </c>
      <c r="BA11" s="37">
        <v>0</v>
      </c>
      <c r="BB11" s="37">
        <v>0</v>
      </c>
      <c r="BC11" s="37">
        <v>0</v>
      </c>
      <c r="BD11" s="37">
        <v>0</v>
      </c>
      <c r="BE11" s="37">
        <v>0</v>
      </c>
      <c r="BF11" s="37">
        <v>0</v>
      </c>
      <c r="BG11" s="37">
        <v>47300</v>
      </c>
      <c r="BH11" s="37">
        <v>0</v>
      </c>
      <c r="BI11" s="37">
        <v>0</v>
      </c>
      <c r="BJ11" s="37">
        <v>0</v>
      </c>
      <c r="BK11" s="32" t="s">
        <v>12</v>
      </c>
      <c r="BL11" s="32" t="s">
        <v>408</v>
      </c>
      <c r="BM11" s="33">
        <v>45939.476597222223</v>
      </c>
      <c r="BN11" s="32" t="s">
        <v>28</v>
      </c>
      <c r="BO11" s="32" t="s">
        <v>29</v>
      </c>
      <c r="BP11" s="38">
        <v>76</v>
      </c>
      <c r="BQ11" s="42"/>
      <c r="BR11" s="39">
        <v>76</v>
      </c>
      <c r="BS11" s="22" t="s">
        <v>220</v>
      </c>
      <c r="BT11" s="4" t="str">
        <f t="shared" si="0"/>
        <v>120</v>
      </c>
      <c r="BU11" s="4" t="str">
        <f t="shared" si="1"/>
        <v>76</v>
      </c>
      <c r="BV11" s="4">
        <f t="shared" si="2"/>
        <v>90</v>
      </c>
      <c r="BW11" s="29">
        <f t="shared" si="3"/>
        <v>3594800</v>
      </c>
      <c r="BX11" s="4">
        <v>51.49</v>
      </c>
      <c r="BY11" s="29">
        <f t="shared" si="4"/>
        <v>5071.1301917808223</v>
      </c>
    </row>
    <row r="12" spans="1:77" ht="15" customHeight="1" x14ac:dyDescent="0.35">
      <c r="A12" s="32" t="s">
        <v>217</v>
      </c>
      <c r="B12" s="32" t="s">
        <v>435</v>
      </c>
      <c r="C12" s="32" t="s">
        <v>7</v>
      </c>
      <c r="D12" s="32" t="s">
        <v>325</v>
      </c>
      <c r="E12" s="32" t="s">
        <v>228</v>
      </c>
      <c r="F12" s="32" t="s">
        <v>104</v>
      </c>
      <c r="G12" s="33">
        <v>45943</v>
      </c>
      <c r="H12" s="33">
        <v>45943</v>
      </c>
      <c r="I12" s="33">
        <v>45958</v>
      </c>
      <c r="J12" s="32" t="s">
        <v>11</v>
      </c>
      <c r="K12" s="34">
        <v>993225.54</v>
      </c>
      <c r="L12" s="34">
        <v>973750.53</v>
      </c>
      <c r="M12" s="34">
        <v>19475.009999999998</v>
      </c>
      <c r="N12" s="34">
        <v>0</v>
      </c>
      <c r="O12" s="34">
        <v>0</v>
      </c>
      <c r="P12" s="34">
        <v>993225.54</v>
      </c>
      <c r="Q12" s="34">
        <v>0</v>
      </c>
      <c r="R12" s="34">
        <v>993225.54</v>
      </c>
      <c r="S12" s="34">
        <v>19485.632168123</v>
      </c>
      <c r="T12" s="34">
        <v>993225.54</v>
      </c>
      <c r="U12" s="35">
        <v>0</v>
      </c>
      <c r="V12" s="35">
        <v>0</v>
      </c>
      <c r="W12" s="35">
        <v>0</v>
      </c>
      <c r="X12" s="35">
        <v>0</v>
      </c>
      <c r="Y12" s="35">
        <v>0</v>
      </c>
      <c r="Z12" s="35">
        <v>0</v>
      </c>
      <c r="AA12" s="35">
        <v>0</v>
      </c>
      <c r="AB12" s="35">
        <v>0</v>
      </c>
      <c r="AC12" s="35">
        <v>0</v>
      </c>
      <c r="AD12" s="35">
        <v>0</v>
      </c>
      <c r="AE12" s="35">
        <v>0</v>
      </c>
      <c r="AF12" s="35">
        <v>993225.54</v>
      </c>
      <c r="AG12" s="35">
        <v>0</v>
      </c>
      <c r="AH12" s="35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19485.632168123</v>
      </c>
      <c r="AU12" s="36">
        <v>0</v>
      </c>
      <c r="AV12" s="36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993225.54</v>
      </c>
      <c r="BI12" s="37">
        <v>0</v>
      </c>
      <c r="BJ12" s="37">
        <v>0</v>
      </c>
      <c r="BK12" s="32" t="s">
        <v>12</v>
      </c>
      <c r="BL12" s="32" t="s">
        <v>408</v>
      </c>
      <c r="BM12" s="33">
        <v>45943.600254629629</v>
      </c>
      <c r="BN12" s="32" t="s">
        <v>326</v>
      </c>
      <c r="BO12" s="32" t="s">
        <v>26</v>
      </c>
      <c r="BP12" s="38">
        <v>147</v>
      </c>
      <c r="BQ12" s="42"/>
      <c r="BR12" s="39">
        <v>147</v>
      </c>
      <c r="BS12" s="22" t="s">
        <v>220</v>
      </c>
      <c r="BT12" s="4" t="str">
        <f t="shared" si="0"/>
        <v>120</v>
      </c>
      <c r="BU12" s="4" t="str">
        <f t="shared" si="1"/>
        <v>147</v>
      </c>
      <c r="BV12" s="4">
        <f t="shared" si="2"/>
        <v>15</v>
      </c>
      <c r="BW12" s="29">
        <f t="shared" si="3"/>
        <v>146004154.38</v>
      </c>
      <c r="BX12" s="4">
        <v>51.49</v>
      </c>
      <c r="BY12" s="29">
        <f t="shared" si="4"/>
        <v>205965.86052126577</v>
      </c>
    </row>
    <row r="13" spans="1:77" ht="15" customHeight="1" x14ac:dyDescent="0.35">
      <c r="A13" s="32" t="s">
        <v>217</v>
      </c>
      <c r="B13" s="32" t="s">
        <v>440</v>
      </c>
      <c r="C13" s="32" t="s">
        <v>7</v>
      </c>
      <c r="D13" s="32" t="s">
        <v>8</v>
      </c>
      <c r="E13" s="32" t="s">
        <v>9</v>
      </c>
      <c r="F13" s="32" t="s">
        <v>10</v>
      </c>
      <c r="G13" s="33">
        <v>45952</v>
      </c>
      <c r="H13" s="33">
        <v>45952</v>
      </c>
      <c r="I13" s="33">
        <v>45959</v>
      </c>
      <c r="J13" s="32" t="s">
        <v>11</v>
      </c>
      <c r="K13" s="34">
        <v>12249990.9</v>
      </c>
      <c r="L13" s="34">
        <v>12009795</v>
      </c>
      <c r="M13" s="34">
        <v>240195.9</v>
      </c>
      <c r="N13" s="34">
        <v>0</v>
      </c>
      <c r="O13" s="34">
        <v>0</v>
      </c>
      <c r="P13" s="34">
        <v>12249990.9</v>
      </c>
      <c r="Q13" s="34">
        <v>0</v>
      </c>
      <c r="R13" s="34">
        <v>12249990.9</v>
      </c>
      <c r="S13" s="34">
        <v>240326.90172289999</v>
      </c>
      <c r="T13" s="34">
        <v>12249990.9</v>
      </c>
      <c r="U13" s="35">
        <v>0</v>
      </c>
      <c r="V13" s="35">
        <v>0</v>
      </c>
      <c r="W13" s="35">
        <v>0</v>
      </c>
      <c r="X13" s="35">
        <v>0</v>
      </c>
      <c r="Y13" s="35">
        <v>0</v>
      </c>
      <c r="Z13" s="35">
        <v>0</v>
      </c>
      <c r="AA13" s="35">
        <v>0</v>
      </c>
      <c r="AB13" s="35">
        <v>0</v>
      </c>
      <c r="AC13" s="35">
        <v>0</v>
      </c>
      <c r="AD13" s="35">
        <v>0</v>
      </c>
      <c r="AE13" s="35">
        <v>0</v>
      </c>
      <c r="AF13" s="35">
        <v>12249990.9</v>
      </c>
      <c r="AG13" s="35">
        <v>0</v>
      </c>
      <c r="AH13" s="35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240326.90172289999</v>
      </c>
      <c r="AU13" s="36">
        <v>0</v>
      </c>
      <c r="AV13" s="36">
        <v>0</v>
      </c>
      <c r="AW13" s="37">
        <v>0</v>
      </c>
      <c r="AX13" s="37">
        <v>0</v>
      </c>
      <c r="AY13" s="37">
        <v>0</v>
      </c>
      <c r="AZ13" s="37">
        <v>0</v>
      </c>
      <c r="BA13" s="37">
        <v>0</v>
      </c>
      <c r="BB13" s="37">
        <v>0</v>
      </c>
      <c r="BC13" s="37">
        <v>0</v>
      </c>
      <c r="BD13" s="37">
        <v>0</v>
      </c>
      <c r="BE13" s="37">
        <v>0</v>
      </c>
      <c r="BF13" s="37">
        <v>0</v>
      </c>
      <c r="BG13" s="37">
        <v>0</v>
      </c>
      <c r="BH13" s="37">
        <v>12249990.9</v>
      </c>
      <c r="BI13" s="37">
        <v>0</v>
      </c>
      <c r="BJ13" s="37">
        <v>0</v>
      </c>
      <c r="BK13" s="32" t="s">
        <v>12</v>
      </c>
      <c r="BL13" s="32" t="s">
        <v>13</v>
      </c>
      <c r="BM13" s="33">
        <v>45951.892048611109</v>
      </c>
      <c r="BN13" s="32" t="s">
        <v>14</v>
      </c>
      <c r="BO13" s="32" t="s">
        <v>15</v>
      </c>
      <c r="BP13" s="38">
        <v>146</v>
      </c>
      <c r="BQ13" s="42"/>
      <c r="BR13" s="39">
        <v>146</v>
      </c>
      <c r="BS13" s="22" t="s">
        <v>220</v>
      </c>
      <c r="BT13" s="4" t="str">
        <f t="shared" si="0"/>
        <v>120</v>
      </c>
      <c r="BU13" s="4" t="str">
        <f t="shared" si="1"/>
        <v>146</v>
      </c>
      <c r="BV13" s="4">
        <f t="shared" si="2"/>
        <v>7</v>
      </c>
      <c r="BW13" s="29">
        <f t="shared" si="3"/>
        <v>1788498671.4000001</v>
      </c>
      <c r="BX13" s="4">
        <v>51.49</v>
      </c>
      <c r="BY13" s="29">
        <f t="shared" si="4"/>
        <v>2523008.1257640002</v>
      </c>
    </row>
    <row r="14" spans="1:77" ht="15" customHeight="1" x14ac:dyDescent="0.35">
      <c r="A14" s="32" t="s">
        <v>217</v>
      </c>
      <c r="B14" s="32" t="s">
        <v>454</v>
      </c>
      <c r="C14" s="32" t="s">
        <v>7</v>
      </c>
      <c r="D14" s="32" t="s">
        <v>325</v>
      </c>
      <c r="E14" s="32" t="s">
        <v>228</v>
      </c>
      <c r="F14" s="32" t="s">
        <v>104</v>
      </c>
      <c r="G14" s="33">
        <v>45974</v>
      </c>
      <c r="H14" s="33">
        <v>45974</v>
      </c>
      <c r="I14" s="33">
        <v>45989</v>
      </c>
      <c r="J14" s="32" t="s">
        <v>11</v>
      </c>
      <c r="K14" s="34">
        <v>268198.09999999998</v>
      </c>
      <c r="L14" s="34">
        <v>262939.32</v>
      </c>
      <c r="M14" s="34">
        <v>5258.78</v>
      </c>
      <c r="N14" s="34">
        <v>0</v>
      </c>
      <c r="O14" s="34">
        <v>0</v>
      </c>
      <c r="P14" s="34">
        <v>268198.09999999998</v>
      </c>
      <c r="Q14" s="34">
        <v>0</v>
      </c>
      <c r="R14" s="34">
        <v>268198.09999999998</v>
      </c>
      <c r="S14" s="34">
        <v>5261.6543920019103</v>
      </c>
      <c r="T14" s="34">
        <v>268198.09999999998</v>
      </c>
      <c r="U14" s="35">
        <v>0</v>
      </c>
      <c r="V14" s="35">
        <v>0</v>
      </c>
      <c r="W14" s="35">
        <v>0</v>
      </c>
      <c r="X14" s="35">
        <v>0</v>
      </c>
      <c r="Y14" s="35">
        <v>0</v>
      </c>
      <c r="Z14" s="35">
        <v>0</v>
      </c>
      <c r="AA14" s="35">
        <v>0</v>
      </c>
      <c r="AB14" s="35">
        <v>0</v>
      </c>
      <c r="AC14" s="35">
        <v>0</v>
      </c>
      <c r="AD14" s="35">
        <v>0</v>
      </c>
      <c r="AE14" s="35">
        <v>0</v>
      </c>
      <c r="AF14" s="35">
        <v>268198.09999999998</v>
      </c>
      <c r="AG14" s="35">
        <v>0</v>
      </c>
      <c r="AH14" s="35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5261.6543920019103</v>
      </c>
      <c r="AU14" s="36">
        <v>0</v>
      </c>
      <c r="AV14" s="36">
        <v>0</v>
      </c>
      <c r="AW14" s="37">
        <v>0</v>
      </c>
      <c r="AX14" s="37">
        <v>0</v>
      </c>
      <c r="AY14" s="37"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268198.09999999998</v>
      </c>
      <c r="BI14" s="37">
        <v>0</v>
      </c>
      <c r="BJ14" s="37">
        <v>0</v>
      </c>
      <c r="BK14" s="32" t="s">
        <v>12</v>
      </c>
      <c r="BL14" s="32" t="s">
        <v>13</v>
      </c>
      <c r="BM14" s="33">
        <v>45974.345034722224</v>
      </c>
      <c r="BN14" s="32" t="s">
        <v>326</v>
      </c>
      <c r="BO14" s="32" t="s">
        <v>26</v>
      </c>
      <c r="BP14" s="38">
        <v>116</v>
      </c>
      <c r="BQ14" s="42"/>
      <c r="BR14" s="39">
        <v>116</v>
      </c>
      <c r="BS14" s="22" t="s">
        <v>220</v>
      </c>
      <c r="BT14" s="4" t="str">
        <f t="shared" si="0"/>
        <v>120</v>
      </c>
      <c r="BU14" s="4" t="str">
        <f t="shared" si="1"/>
        <v>116</v>
      </c>
      <c r="BV14" s="4">
        <f t="shared" si="2"/>
        <v>15</v>
      </c>
      <c r="BW14" s="29">
        <f t="shared" si="3"/>
        <v>31110979.599999998</v>
      </c>
      <c r="BX14" s="4">
        <v>51.49</v>
      </c>
      <c r="BY14" s="29">
        <f t="shared" si="4"/>
        <v>43887.790126136984</v>
      </c>
    </row>
    <row r="15" spans="1:77" ht="15" customHeight="1" x14ac:dyDescent="0.35">
      <c r="A15" s="32" t="s">
        <v>217</v>
      </c>
      <c r="B15" s="32" t="s">
        <v>455</v>
      </c>
      <c r="C15" s="32" t="s">
        <v>90</v>
      </c>
      <c r="D15" s="32" t="s">
        <v>8</v>
      </c>
      <c r="E15" s="32" t="s">
        <v>9</v>
      </c>
      <c r="F15" s="32" t="s">
        <v>10</v>
      </c>
      <c r="G15" s="33">
        <v>45980</v>
      </c>
      <c r="H15" s="33">
        <v>45980</v>
      </c>
      <c r="I15" s="33">
        <v>45987</v>
      </c>
      <c r="J15" s="32" t="s">
        <v>11</v>
      </c>
      <c r="K15" s="34">
        <v>2000</v>
      </c>
      <c r="L15" s="34">
        <v>2000</v>
      </c>
      <c r="M15" s="34">
        <v>0</v>
      </c>
      <c r="N15" s="34">
        <v>0</v>
      </c>
      <c r="O15" s="34">
        <v>0</v>
      </c>
      <c r="P15" s="34">
        <v>2000</v>
      </c>
      <c r="Q15" s="34">
        <v>0</v>
      </c>
      <c r="R15" s="34">
        <v>2000</v>
      </c>
      <c r="S15" s="34">
        <v>39.237074326789902</v>
      </c>
      <c r="T15" s="34">
        <v>2000</v>
      </c>
      <c r="U15" s="35">
        <v>0</v>
      </c>
      <c r="V15" s="35">
        <v>0</v>
      </c>
      <c r="W15" s="35">
        <v>0</v>
      </c>
      <c r="X15" s="35">
        <v>0</v>
      </c>
      <c r="Y15" s="35">
        <v>0</v>
      </c>
      <c r="Z15" s="35">
        <v>0</v>
      </c>
      <c r="AA15" s="35">
        <v>0</v>
      </c>
      <c r="AB15" s="35">
        <v>0</v>
      </c>
      <c r="AC15" s="35">
        <v>0</v>
      </c>
      <c r="AD15" s="35">
        <v>0</v>
      </c>
      <c r="AE15" s="35">
        <v>0</v>
      </c>
      <c r="AF15" s="35">
        <v>2000</v>
      </c>
      <c r="AG15" s="35">
        <v>0</v>
      </c>
      <c r="AH15" s="35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39.237074326789902</v>
      </c>
      <c r="AU15" s="36">
        <v>0</v>
      </c>
      <c r="AV15" s="36">
        <v>0</v>
      </c>
      <c r="AW15" s="37">
        <v>0</v>
      </c>
      <c r="AX15" s="37">
        <v>0</v>
      </c>
      <c r="AY15" s="37">
        <v>0</v>
      </c>
      <c r="AZ15" s="37">
        <v>0</v>
      </c>
      <c r="BA15" s="37">
        <v>0</v>
      </c>
      <c r="BB15" s="37">
        <v>0</v>
      </c>
      <c r="BC15" s="37">
        <v>0</v>
      </c>
      <c r="BD15" s="37">
        <v>0</v>
      </c>
      <c r="BE15" s="37">
        <v>0</v>
      </c>
      <c r="BF15" s="37">
        <v>0</v>
      </c>
      <c r="BG15" s="37">
        <v>0</v>
      </c>
      <c r="BH15" s="37">
        <v>2000</v>
      </c>
      <c r="BI15" s="37">
        <v>0</v>
      </c>
      <c r="BJ15" s="37">
        <v>0</v>
      </c>
      <c r="BK15" s="32" t="s">
        <v>12</v>
      </c>
      <c r="BL15" s="32" t="s">
        <v>13</v>
      </c>
      <c r="BM15" s="33">
        <v>45979.667592592596</v>
      </c>
      <c r="BN15" s="32" t="s">
        <v>14</v>
      </c>
      <c r="BO15" s="32" t="s">
        <v>15</v>
      </c>
      <c r="BP15" s="38">
        <v>118</v>
      </c>
      <c r="BQ15" s="42"/>
      <c r="BR15" s="39">
        <v>118</v>
      </c>
      <c r="BS15" s="22" t="s">
        <v>220</v>
      </c>
      <c r="BT15" s="4" t="str">
        <f t="shared" si="0"/>
        <v>120</v>
      </c>
      <c r="BU15" s="4" t="str">
        <f t="shared" si="1"/>
        <v>118</v>
      </c>
      <c r="BV15" s="4">
        <f t="shared" si="2"/>
        <v>7</v>
      </c>
      <c r="BW15" s="29">
        <f t="shared" si="3"/>
        <v>236000</v>
      </c>
      <c r="BX15" s="4">
        <v>51.49</v>
      </c>
      <c r="BY15" s="29">
        <f t="shared" si="4"/>
        <v>332.92164383561646</v>
      </c>
    </row>
    <row r="16" spans="1:77" ht="15" hidden="1" customHeight="1" x14ac:dyDescent="0.35">
      <c r="A16" s="32" t="s">
        <v>217</v>
      </c>
      <c r="B16" s="32" t="s">
        <v>456</v>
      </c>
      <c r="C16" s="32" t="s">
        <v>30</v>
      </c>
      <c r="D16" s="32" t="s">
        <v>22</v>
      </c>
      <c r="E16" s="32" t="s">
        <v>23</v>
      </c>
      <c r="F16" s="32" t="s">
        <v>24</v>
      </c>
      <c r="G16" s="33">
        <v>45980</v>
      </c>
      <c r="H16" s="33">
        <v>45980</v>
      </c>
      <c r="I16" s="33">
        <v>46010</v>
      </c>
      <c r="J16" s="32" t="s">
        <v>11</v>
      </c>
      <c r="K16" s="34">
        <v>256197.98</v>
      </c>
      <c r="L16" s="34">
        <v>251174.49</v>
      </c>
      <c r="M16" s="34">
        <v>5023.49</v>
      </c>
      <c r="N16" s="34">
        <v>256197.81</v>
      </c>
      <c r="O16" s="34">
        <v>0</v>
      </c>
      <c r="P16" s="34">
        <v>0.17</v>
      </c>
      <c r="Q16" s="34">
        <v>0</v>
      </c>
      <c r="R16" s="34">
        <v>0.17</v>
      </c>
      <c r="S16" s="34">
        <v>3.3351513177771398E-3</v>
      </c>
      <c r="T16" s="34">
        <v>0.17</v>
      </c>
      <c r="U16" s="35">
        <v>0</v>
      </c>
      <c r="V16" s="35">
        <v>0</v>
      </c>
      <c r="W16" s="35">
        <v>0</v>
      </c>
      <c r="X16" s="35">
        <v>0</v>
      </c>
      <c r="Y16" s="35">
        <v>0</v>
      </c>
      <c r="Z16" s="35">
        <v>0</v>
      </c>
      <c r="AA16" s="35">
        <v>0</v>
      </c>
      <c r="AB16" s="35">
        <v>0</v>
      </c>
      <c r="AC16" s="35">
        <v>0</v>
      </c>
      <c r="AD16" s="35">
        <v>0</v>
      </c>
      <c r="AE16" s="35">
        <v>0</v>
      </c>
      <c r="AF16" s="35">
        <v>0.17</v>
      </c>
      <c r="AG16" s="35">
        <v>0</v>
      </c>
      <c r="AH16" s="35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3.3351513177771398E-3</v>
      </c>
      <c r="AU16" s="36">
        <v>0</v>
      </c>
      <c r="AV16" s="36">
        <v>0</v>
      </c>
      <c r="AW16" s="37">
        <v>0</v>
      </c>
      <c r="AX16" s="37">
        <v>0</v>
      </c>
      <c r="AY16" s="37"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0.17</v>
      </c>
      <c r="BI16" s="37">
        <v>0</v>
      </c>
      <c r="BJ16" s="37">
        <v>0</v>
      </c>
      <c r="BK16" s="32" t="s">
        <v>12</v>
      </c>
      <c r="BL16" s="32" t="s">
        <v>13</v>
      </c>
      <c r="BM16" s="33">
        <v>45980.495486111111</v>
      </c>
      <c r="BN16" s="32" t="s">
        <v>25</v>
      </c>
      <c r="BO16" s="32" t="s">
        <v>26</v>
      </c>
      <c r="BP16" s="38">
        <v>95</v>
      </c>
      <c r="BQ16" s="42"/>
      <c r="BR16" s="39">
        <v>95</v>
      </c>
      <c r="BS16" s="22" t="s">
        <v>220</v>
      </c>
      <c r="BT16" s="4" t="str">
        <f t="shared" si="0"/>
        <v>120</v>
      </c>
      <c r="BU16" s="4" t="str">
        <f t="shared" si="1"/>
        <v>95</v>
      </c>
      <c r="BV16" s="4">
        <f t="shared" si="2"/>
        <v>30</v>
      </c>
      <c r="BW16" s="29">
        <f t="shared" si="3"/>
        <v>16.150000000000002</v>
      </c>
      <c r="BX16" s="4">
        <v>51.49</v>
      </c>
      <c r="BY16" s="29">
        <f t="shared" si="4"/>
        <v>2.278256164383562E-2</v>
      </c>
    </row>
    <row r="17" spans="1:77" ht="15" customHeight="1" x14ac:dyDescent="0.35">
      <c r="A17" s="32" t="s">
        <v>217</v>
      </c>
      <c r="B17" s="32" t="s">
        <v>457</v>
      </c>
      <c r="C17" s="32" t="s">
        <v>7</v>
      </c>
      <c r="D17" s="32" t="s">
        <v>8</v>
      </c>
      <c r="E17" s="32" t="s">
        <v>9</v>
      </c>
      <c r="F17" s="32" t="s">
        <v>10</v>
      </c>
      <c r="G17" s="33">
        <v>45981</v>
      </c>
      <c r="H17" s="33">
        <v>45981</v>
      </c>
      <c r="I17" s="33">
        <v>45988</v>
      </c>
      <c r="J17" s="32" t="s">
        <v>11</v>
      </c>
      <c r="K17" s="34">
        <v>12837816.17</v>
      </c>
      <c r="L17" s="34">
        <v>12586094.279999999</v>
      </c>
      <c r="M17" s="34">
        <v>251721.89</v>
      </c>
      <c r="N17" s="34">
        <v>0</v>
      </c>
      <c r="O17" s="34">
        <v>0</v>
      </c>
      <c r="P17" s="34">
        <v>12837816.17</v>
      </c>
      <c r="Q17" s="34">
        <v>0</v>
      </c>
      <c r="R17" s="34">
        <v>12837816.17</v>
      </c>
      <c r="S17" s="34">
        <v>251859.17362797799</v>
      </c>
      <c r="T17" s="34">
        <v>12837816.17</v>
      </c>
      <c r="U17" s="35">
        <v>0</v>
      </c>
      <c r="V17" s="35">
        <v>0</v>
      </c>
      <c r="W17" s="35">
        <v>0</v>
      </c>
      <c r="X17" s="35">
        <v>0</v>
      </c>
      <c r="Y17" s="35">
        <v>0</v>
      </c>
      <c r="Z17" s="35">
        <v>0</v>
      </c>
      <c r="AA17" s="35">
        <v>0</v>
      </c>
      <c r="AB17" s="35">
        <v>0</v>
      </c>
      <c r="AC17" s="35">
        <v>0</v>
      </c>
      <c r="AD17" s="35">
        <v>0</v>
      </c>
      <c r="AE17" s="35">
        <v>0</v>
      </c>
      <c r="AF17" s="35">
        <v>12837816.17</v>
      </c>
      <c r="AG17" s="35">
        <v>0</v>
      </c>
      <c r="AH17" s="35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251859.17362797799</v>
      </c>
      <c r="AU17" s="36">
        <v>0</v>
      </c>
      <c r="AV17" s="36">
        <v>0</v>
      </c>
      <c r="AW17" s="37">
        <v>0</v>
      </c>
      <c r="AX17" s="37">
        <v>0</v>
      </c>
      <c r="AY17" s="37">
        <v>0</v>
      </c>
      <c r="AZ17" s="37">
        <v>0</v>
      </c>
      <c r="BA17" s="37">
        <v>0</v>
      </c>
      <c r="BB17" s="37">
        <v>0</v>
      </c>
      <c r="BC17" s="37">
        <v>0</v>
      </c>
      <c r="BD17" s="37">
        <v>0</v>
      </c>
      <c r="BE17" s="37">
        <v>0</v>
      </c>
      <c r="BF17" s="37">
        <v>0</v>
      </c>
      <c r="BG17" s="37">
        <v>0</v>
      </c>
      <c r="BH17" s="37">
        <v>12837816.17</v>
      </c>
      <c r="BI17" s="37">
        <v>0</v>
      </c>
      <c r="BJ17" s="37">
        <v>0</v>
      </c>
      <c r="BK17" s="32" t="s">
        <v>12</v>
      </c>
      <c r="BL17" s="32" t="s">
        <v>13</v>
      </c>
      <c r="BM17" s="33">
        <v>45980.615555555552</v>
      </c>
      <c r="BN17" s="32" t="s">
        <v>14</v>
      </c>
      <c r="BO17" s="32" t="s">
        <v>15</v>
      </c>
      <c r="BP17" s="38">
        <v>117</v>
      </c>
      <c r="BQ17" s="42"/>
      <c r="BR17" s="39">
        <v>117</v>
      </c>
      <c r="BS17" s="22" t="s">
        <v>220</v>
      </c>
      <c r="BT17" s="4" t="str">
        <f t="shared" si="0"/>
        <v>120</v>
      </c>
      <c r="BU17" s="4" t="str">
        <f t="shared" si="1"/>
        <v>117</v>
      </c>
      <c r="BV17" s="4">
        <f t="shared" si="2"/>
        <v>7</v>
      </c>
      <c r="BW17" s="29">
        <f t="shared" si="3"/>
        <v>1502024491.8900001</v>
      </c>
      <c r="BX17" s="4">
        <v>51.49</v>
      </c>
      <c r="BY17" s="29">
        <f t="shared" si="4"/>
        <v>2118883.3174634548</v>
      </c>
    </row>
    <row r="18" spans="1:77" ht="15" hidden="1" customHeight="1" x14ac:dyDescent="0.35">
      <c r="A18" s="32" t="s">
        <v>217</v>
      </c>
      <c r="B18" s="32" t="s">
        <v>458</v>
      </c>
      <c r="C18" s="32" t="s">
        <v>7</v>
      </c>
      <c r="D18" s="32" t="s">
        <v>311</v>
      </c>
      <c r="E18" s="32" t="s">
        <v>312</v>
      </c>
      <c r="F18" s="32" t="s">
        <v>104</v>
      </c>
      <c r="G18" s="33">
        <v>45981</v>
      </c>
      <c r="H18" s="33">
        <v>45981</v>
      </c>
      <c r="I18" s="33">
        <v>45996</v>
      </c>
      <c r="J18" s="32" t="s">
        <v>11</v>
      </c>
      <c r="K18" s="34">
        <v>209860.4</v>
      </c>
      <c r="L18" s="34">
        <v>205745.49</v>
      </c>
      <c r="M18" s="34">
        <v>4114.91</v>
      </c>
      <c r="N18" s="34">
        <v>209860.39</v>
      </c>
      <c r="O18" s="34">
        <v>0</v>
      </c>
      <c r="P18" s="34">
        <v>0.01</v>
      </c>
      <c r="Q18" s="34">
        <v>0</v>
      </c>
      <c r="R18" s="34">
        <v>0.01</v>
      </c>
      <c r="S18" s="34">
        <v>1.9618537163394899E-4</v>
      </c>
      <c r="T18" s="34">
        <v>0.01</v>
      </c>
      <c r="U18" s="35">
        <v>0</v>
      </c>
      <c r="V18" s="35">
        <v>0</v>
      </c>
      <c r="W18" s="35">
        <v>0</v>
      </c>
      <c r="X18" s="35">
        <v>0</v>
      </c>
      <c r="Y18" s="35">
        <v>0</v>
      </c>
      <c r="Z18" s="35">
        <v>0</v>
      </c>
      <c r="AA18" s="35">
        <v>0</v>
      </c>
      <c r="AB18" s="35">
        <v>0</v>
      </c>
      <c r="AC18" s="35">
        <v>0</v>
      </c>
      <c r="AD18" s="35">
        <v>0</v>
      </c>
      <c r="AE18" s="35">
        <v>0</v>
      </c>
      <c r="AF18" s="35">
        <v>0.01</v>
      </c>
      <c r="AG18" s="35">
        <v>0</v>
      </c>
      <c r="AH18" s="35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1.9618537163394899E-4</v>
      </c>
      <c r="AU18" s="36">
        <v>0</v>
      </c>
      <c r="AV18" s="36">
        <v>0</v>
      </c>
      <c r="AW18" s="37">
        <v>0</v>
      </c>
      <c r="AX18" s="37">
        <v>0</v>
      </c>
      <c r="AY18" s="37"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0.01</v>
      </c>
      <c r="BI18" s="37">
        <v>0</v>
      </c>
      <c r="BJ18" s="37">
        <v>0</v>
      </c>
      <c r="BK18" s="32" t="s">
        <v>12</v>
      </c>
      <c r="BL18" s="32" t="s">
        <v>13</v>
      </c>
      <c r="BM18" s="33">
        <v>45980.617824074077</v>
      </c>
      <c r="BN18" s="32" t="s">
        <v>356</v>
      </c>
      <c r="BO18" s="32" t="s">
        <v>15</v>
      </c>
      <c r="BP18" s="38">
        <v>109</v>
      </c>
      <c r="BQ18" s="42"/>
      <c r="BR18" s="39">
        <v>109</v>
      </c>
      <c r="BS18" s="22" t="s">
        <v>220</v>
      </c>
      <c r="BT18" s="4" t="str">
        <f t="shared" si="0"/>
        <v>120</v>
      </c>
      <c r="BU18" s="4" t="str">
        <f t="shared" si="1"/>
        <v>109</v>
      </c>
      <c r="BV18" s="4">
        <f t="shared" si="2"/>
        <v>15</v>
      </c>
      <c r="BW18" s="29">
        <f t="shared" si="3"/>
        <v>1.0900000000000001</v>
      </c>
      <c r="BX18" s="4">
        <v>51.49</v>
      </c>
      <c r="BY18" s="29">
        <f t="shared" si="4"/>
        <v>1.5376465753424659E-3</v>
      </c>
    </row>
    <row r="19" spans="1:77" ht="15" customHeight="1" x14ac:dyDescent="0.35">
      <c r="A19" s="32" t="s">
        <v>217</v>
      </c>
      <c r="B19" s="32" t="s">
        <v>460</v>
      </c>
      <c r="C19" s="32" t="s">
        <v>7</v>
      </c>
      <c r="D19" s="32" t="s">
        <v>305</v>
      </c>
      <c r="E19" s="32" t="s">
        <v>148</v>
      </c>
      <c r="F19" s="32" t="s">
        <v>306</v>
      </c>
      <c r="G19" s="33">
        <v>45985</v>
      </c>
      <c r="H19" s="33">
        <v>45985</v>
      </c>
      <c r="I19" s="33">
        <v>46000</v>
      </c>
      <c r="J19" s="32" t="s">
        <v>11</v>
      </c>
      <c r="K19" s="34">
        <v>201862.12</v>
      </c>
      <c r="L19" s="34">
        <v>197904.04</v>
      </c>
      <c r="M19" s="34">
        <v>3958.08</v>
      </c>
      <c r="N19" s="34">
        <v>0</v>
      </c>
      <c r="O19" s="34">
        <v>0</v>
      </c>
      <c r="P19" s="34">
        <v>201862.12</v>
      </c>
      <c r="Q19" s="34">
        <v>0</v>
      </c>
      <c r="R19" s="34">
        <v>201862.12</v>
      </c>
      <c r="S19" s="34">
        <v>3960.2395031016899</v>
      </c>
      <c r="T19" s="34">
        <v>201862.12</v>
      </c>
      <c r="U19" s="35">
        <v>0</v>
      </c>
      <c r="V19" s="35">
        <v>0</v>
      </c>
      <c r="W19" s="35">
        <v>0</v>
      </c>
      <c r="X19" s="35">
        <v>0</v>
      </c>
      <c r="Y19" s="35">
        <v>0</v>
      </c>
      <c r="Z19" s="35">
        <v>0</v>
      </c>
      <c r="AA19" s="35">
        <v>0</v>
      </c>
      <c r="AB19" s="35">
        <v>0</v>
      </c>
      <c r="AC19" s="35">
        <v>0</v>
      </c>
      <c r="AD19" s="35">
        <v>0</v>
      </c>
      <c r="AE19" s="35">
        <v>0</v>
      </c>
      <c r="AF19" s="35">
        <v>201862.12</v>
      </c>
      <c r="AG19" s="35">
        <v>0</v>
      </c>
      <c r="AH19" s="35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3960.2395031016899</v>
      </c>
      <c r="AU19" s="36">
        <v>0</v>
      </c>
      <c r="AV19" s="36">
        <v>0</v>
      </c>
      <c r="AW19" s="37">
        <v>0</v>
      </c>
      <c r="AX19" s="37">
        <v>0</v>
      </c>
      <c r="AY19" s="37">
        <v>0</v>
      </c>
      <c r="AZ19" s="37">
        <v>0</v>
      </c>
      <c r="BA19" s="37">
        <v>0</v>
      </c>
      <c r="BB19" s="37">
        <v>0</v>
      </c>
      <c r="BC19" s="37">
        <v>0</v>
      </c>
      <c r="BD19" s="37">
        <v>0</v>
      </c>
      <c r="BE19" s="37">
        <v>0</v>
      </c>
      <c r="BF19" s="37">
        <v>0</v>
      </c>
      <c r="BG19" s="37">
        <v>0</v>
      </c>
      <c r="BH19" s="37">
        <v>201862.12</v>
      </c>
      <c r="BI19" s="37">
        <v>0</v>
      </c>
      <c r="BJ19" s="37">
        <v>0</v>
      </c>
      <c r="BK19" s="32" t="s">
        <v>12</v>
      </c>
      <c r="BL19" s="32" t="s">
        <v>13</v>
      </c>
      <c r="BM19" s="33">
        <v>45985.344733796293</v>
      </c>
      <c r="BN19" s="32" t="s">
        <v>28</v>
      </c>
      <c r="BO19" s="32" t="s">
        <v>29</v>
      </c>
      <c r="BP19" s="38">
        <v>105</v>
      </c>
      <c r="BQ19" s="42"/>
      <c r="BR19" s="39">
        <v>105</v>
      </c>
      <c r="BS19" s="22" t="s">
        <v>220</v>
      </c>
      <c r="BT19" s="4" t="str">
        <f t="shared" si="0"/>
        <v>120</v>
      </c>
      <c r="BU19" s="4" t="str">
        <f t="shared" si="1"/>
        <v>105</v>
      </c>
      <c r="BV19" s="4">
        <f t="shared" si="2"/>
        <v>15</v>
      </c>
      <c r="BW19" s="29">
        <f t="shared" si="3"/>
        <v>21195522.599999998</v>
      </c>
      <c r="BX19" s="4">
        <v>51.49</v>
      </c>
      <c r="BY19" s="29">
        <f t="shared" si="4"/>
        <v>29900.204347232877</v>
      </c>
    </row>
    <row r="20" spans="1:77" ht="15" hidden="1" customHeight="1" x14ac:dyDescent="0.35">
      <c r="A20" s="32" t="s">
        <v>217</v>
      </c>
      <c r="B20" s="32" t="s">
        <v>465</v>
      </c>
      <c r="C20" s="32" t="s">
        <v>30</v>
      </c>
      <c r="D20" s="32" t="s">
        <v>449</v>
      </c>
      <c r="E20" s="32" t="s">
        <v>327</v>
      </c>
      <c r="F20" s="32" t="s">
        <v>46</v>
      </c>
      <c r="G20" s="33">
        <v>45988</v>
      </c>
      <c r="H20" s="33">
        <v>45988</v>
      </c>
      <c r="I20" s="33">
        <v>46003</v>
      </c>
      <c r="J20" s="32" t="s">
        <v>11</v>
      </c>
      <c r="K20" s="34">
        <v>390918.54</v>
      </c>
      <c r="L20" s="34">
        <v>383253.47</v>
      </c>
      <c r="M20" s="34">
        <v>7665.07</v>
      </c>
      <c r="N20" s="34">
        <v>296729.03000000003</v>
      </c>
      <c r="O20" s="34">
        <v>0</v>
      </c>
      <c r="P20" s="34">
        <v>94189.51</v>
      </c>
      <c r="Q20" s="34">
        <v>0</v>
      </c>
      <c r="R20" s="34">
        <v>94189.51</v>
      </c>
      <c r="S20" s="34">
        <v>1847.8604023369601</v>
      </c>
      <c r="T20" s="34">
        <v>94189.51</v>
      </c>
      <c r="U20" s="35">
        <v>0</v>
      </c>
      <c r="V20" s="35">
        <v>0</v>
      </c>
      <c r="W20" s="35">
        <v>0</v>
      </c>
      <c r="X20" s="35">
        <v>0</v>
      </c>
      <c r="Y20" s="35">
        <v>0</v>
      </c>
      <c r="Z20" s="35">
        <v>0</v>
      </c>
      <c r="AA20" s="35">
        <v>0</v>
      </c>
      <c r="AB20" s="35">
        <v>0</v>
      </c>
      <c r="AC20" s="35">
        <v>0</v>
      </c>
      <c r="AD20" s="35">
        <v>0</v>
      </c>
      <c r="AE20" s="35">
        <v>0</v>
      </c>
      <c r="AF20" s="35">
        <v>94189.51</v>
      </c>
      <c r="AG20" s="35">
        <v>0</v>
      </c>
      <c r="AH20" s="35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1847.8604023369601</v>
      </c>
      <c r="AU20" s="36">
        <v>0</v>
      </c>
      <c r="AV20" s="36">
        <v>0</v>
      </c>
      <c r="AW20" s="37">
        <v>0</v>
      </c>
      <c r="AX20" s="37">
        <v>0</v>
      </c>
      <c r="AY20" s="37"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94189.51</v>
      </c>
      <c r="BI20" s="37">
        <v>0</v>
      </c>
      <c r="BJ20" s="37">
        <v>0</v>
      </c>
      <c r="BK20" s="32" t="s">
        <v>12</v>
      </c>
      <c r="BL20" s="32" t="s">
        <v>13</v>
      </c>
      <c r="BM20" s="33">
        <v>45987.655416666668</v>
      </c>
      <c r="BN20" s="32" t="s">
        <v>28</v>
      </c>
      <c r="BO20" s="32" t="s">
        <v>29</v>
      </c>
      <c r="BP20" s="38">
        <v>102</v>
      </c>
      <c r="BQ20" s="42"/>
      <c r="BR20" s="39">
        <v>102</v>
      </c>
      <c r="BS20" s="22" t="s">
        <v>220</v>
      </c>
      <c r="BT20" s="4" t="str">
        <f t="shared" si="0"/>
        <v>120</v>
      </c>
      <c r="BU20" s="4" t="str">
        <f t="shared" si="1"/>
        <v>102</v>
      </c>
      <c r="BV20" s="4">
        <f t="shared" si="2"/>
        <v>15</v>
      </c>
      <c r="BW20" s="29">
        <f t="shared" si="3"/>
        <v>9607330.0199999996</v>
      </c>
      <c r="BX20" s="4">
        <v>51.49</v>
      </c>
      <c r="BY20" s="29">
        <f t="shared" si="4"/>
        <v>13552.915691227397</v>
      </c>
    </row>
    <row r="21" spans="1:77" ht="15" hidden="1" customHeight="1" x14ac:dyDescent="0.35">
      <c r="A21" s="32" t="s">
        <v>217</v>
      </c>
      <c r="B21" s="32" t="s">
        <v>466</v>
      </c>
      <c r="C21" s="32" t="s">
        <v>16</v>
      </c>
      <c r="D21" s="32" t="s">
        <v>374</v>
      </c>
      <c r="E21" s="32" t="s">
        <v>361</v>
      </c>
      <c r="F21" s="32" t="s">
        <v>46</v>
      </c>
      <c r="G21" s="33">
        <v>45988</v>
      </c>
      <c r="H21" s="33">
        <v>45988</v>
      </c>
      <c r="I21" s="33">
        <v>46018</v>
      </c>
      <c r="J21" s="32" t="s">
        <v>11</v>
      </c>
      <c r="K21" s="34">
        <v>1225454.49</v>
      </c>
      <c r="L21" s="34">
        <v>1201425.97</v>
      </c>
      <c r="M21" s="34">
        <v>24028.52</v>
      </c>
      <c r="N21" s="34">
        <v>1225452.49</v>
      </c>
      <c r="O21" s="34">
        <v>0</v>
      </c>
      <c r="P21" s="34">
        <v>2</v>
      </c>
      <c r="Q21" s="34">
        <v>0</v>
      </c>
      <c r="R21" s="34">
        <v>2</v>
      </c>
      <c r="S21" s="34">
        <v>3.9237074326789897E-2</v>
      </c>
      <c r="T21" s="34">
        <v>2</v>
      </c>
      <c r="U21" s="35">
        <v>0</v>
      </c>
      <c r="V21" s="35">
        <v>0</v>
      </c>
      <c r="W21" s="35">
        <v>0</v>
      </c>
      <c r="X21" s="35">
        <v>0</v>
      </c>
      <c r="Y21" s="35">
        <v>0</v>
      </c>
      <c r="Z21" s="35">
        <v>0</v>
      </c>
      <c r="AA21" s="35">
        <v>0</v>
      </c>
      <c r="AB21" s="35">
        <v>0</v>
      </c>
      <c r="AC21" s="35">
        <v>0</v>
      </c>
      <c r="AD21" s="35">
        <v>0</v>
      </c>
      <c r="AE21" s="35">
        <v>2</v>
      </c>
      <c r="AF21" s="35">
        <v>0</v>
      </c>
      <c r="AG21" s="35">
        <v>0</v>
      </c>
      <c r="AH21" s="35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3.9237074326789897E-2</v>
      </c>
      <c r="AT21" s="36">
        <v>0</v>
      </c>
      <c r="AU21" s="36">
        <v>0</v>
      </c>
      <c r="AV21" s="36">
        <v>0</v>
      </c>
      <c r="AW21" s="37">
        <v>0</v>
      </c>
      <c r="AX21" s="37">
        <v>0</v>
      </c>
      <c r="AY21" s="37">
        <v>0</v>
      </c>
      <c r="AZ21" s="37">
        <v>0</v>
      </c>
      <c r="BA21" s="37">
        <v>0</v>
      </c>
      <c r="BB21" s="37">
        <v>0</v>
      </c>
      <c r="BC21" s="37">
        <v>0</v>
      </c>
      <c r="BD21" s="37">
        <v>0</v>
      </c>
      <c r="BE21" s="37">
        <v>0</v>
      </c>
      <c r="BF21" s="37">
        <v>0</v>
      </c>
      <c r="BG21" s="37">
        <v>2</v>
      </c>
      <c r="BH21" s="37">
        <v>0</v>
      </c>
      <c r="BI21" s="37">
        <v>0</v>
      </c>
      <c r="BJ21" s="37">
        <v>0</v>
      </c>
      <c r="BK21" s="32" t="s">
        <v>12</v>
      </c>
      <c r="BL21" s="32" t="s">
        <v>13</v>
      </c>
      <c r="BM21" s="33">
        <v>45988.338425925926</v>
      </c>
      <c r="BN21" s="32" t="s">
        <v>28</v>
      </c>
      <c r="BO21" s="32" t="s">
        <v>29</v>
      </c>
      <c r="BP21" s="38">
        <v>87</v>
      </c>
      <c r="BQ21" s="42"/>
      <c r="BR21" s="39">
        <v>87</v>
      </c>
      <c r="BS21" s="22" t="s">
        <v>220</v>
      </c>
      <c r="BT21" s="4" t="str">
        <f t="shared" si="0"/>
        <v>120</v>
      </c>
      <c r="BU21" s="4" t="str">
        <f t="shared" si="1"/>
        <v>87</v>
      </c>
      <c r="BV21" s="4">
        <f t="shared" si="2"/>
        <v>30</v>
      </c>
      <c r="BW21" s="29">
        <f t="shared" si="3"/>
        <v>174</v>
      </c>
      <c r="BX21" s="4">
        <v>51.49</v>
      </c>
      <c r="BY21" s="29">
        <f t="shared" si="4"/>
        <v>0.24545917808219178</v>
      </c>
    </row>
    <row r="22" spans="1:77" ht="15" customHeight="1" x14ac:dyDescent="0.35">
      <c r="A22" s="32" t="s">
        <v>217</v>
      </c>
      <c r="B22" s="32" t="s">
        <v>467</v>
      </c>
      <c r="C22" s="32" t="s">
        <v>55</v>
      </c>
      <c r="D22" s="32" t="s">
        <v>123</v>
      </c>
      <c r="E22" s="32" t="s">
        <v>124</v>
      </c>
      <c r="F22" s="32" t="s">
        <v>46</v>
      </c>
      <c r="G22" s="33">
        <v>45991</v>
      </c>
      <c r="H22" s="33">
        <v>45991</v>
      </c>
      <c r="I22" s="33">
        <v>46021</v>
      </c>
      <c r="J22" s="32" t="s">
        <v>11</v>
      </c>
      <c r="K22" s="34">
        <v>2655.36</v>
      </c>
      <c r="L22" s="34">
        <v>2655.36</v>
      </c>
      <c r="M22" s="34">
        <v>0</v>
      </c>
      <c r="N22" s="34">
        <v>0</v>
      </c>
      <c r="O22" s="34">
        <v>0</v>
      </c>
      <c r="P22" s="34">
        <v>2655.36</v>
      </c>
      <c r="Q22" s="34">
        <v>0</v>
      </c>
      <c r="R22" s="34">
        <v>2655.36</v>
      </c>
      <c r="S22" s="34">
        <v>52.094278842192402</v>
      </c>
      <c r="T22" s="34">
        <v>2655.36</v>
      </c>
      <c r="U22" s="35">
        <v>0</v>
      </c>
      <c r="V22" s="35">
        <v>0</v>
      </c>
      <c r="W22" s="35">
        <v>0</v>
      </c>
      <c r="X22" s="35">
        <v>0</v>
      </c>
      <c r="Y22" s="35">
        <v>0</v>
      </c>
      <c r="Z22" s="35">
        <v>0</v>
      </c>
      <c r="AA22" s="35">
        <v>0</v>
      </c>
      <c r="AB22" s="35">
        <v>0</v>
      </c>
      <c r="AC22" s="35">
        <v>0</v>
      </c>
      <c r="AD22" s="35">
        <v>0</v>
      </c>
      <c r="AE22" s="35">
        <v>2655.36</v>
      </c>
      <c r="AF22" s="35">
        <v>0</v>
      </c>
      <c r="AG22" s="35">
        <v>0</v>
      </c>
      <c r="AH22" s="35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52.094278842192402</v>
      </c>
      <c r="AT22" s="36">
        <v>0</v>
      </c>
      <c r="AU22" s="36">
        <v>0</v>
      </c>
      <c r="AV22" s="36">
        <v>0</v>
      </c>
      <c r="AW22" s="37">
        <v>0</v>
      </c>
      <c r="AX22" s="37">
        <v>0</v>
      </c>
      <c r="AY22" s="37"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2655.36</v>
      </c>
      <c r="BH22" s="37">
        <v>0</v>
      </c>
      <c r="BI22" s="37">
        <v>0</v>
      </c>
      <c r="BJ22" s="37">
        <v>0</v>
      </c>
      <c r="BK22" s="32" t="s">
        <v>12</v>
      </c>
      <c r="BL22" s="32" t="s">
        <v>13</v>
      </c>
      <c r="BM22" s="33">
        <v>45992.397280092591</v>
      </c>
      <c r="BN22" s="32" t="s">
        <v>20</v>
      </c>
      <c r="BO22" s="32" t="s">
        <v>21</v>
      </c>
      <c r="BP22" s="38">
        <v>84</v>
      </c>
      <c r="BQ22" s="42"/>
      <c r="BR22" s="39">
        <v>84</v>
      </c>
      <c r="BS22" s="22" t="s">
        <v>220</v>
      </c>
      <c r="BT22" s="4" t="str">
        <f t="shared" si="0"/>
        <v>120</v>
      </c>
      <c r="BU22" s="4" t="str">
        <f t="shared" si="1"/>
        <v>84</v>
      </c>
      <c r="BV22" s="4">
        <f t="shared" si="2"/>
        <v>30</v>
      </c>
      <c r="BW22" s="29">
        <f t="shared" si="3"/>
        <v>223050.24000000002</v>
      </c>
      <c r="BX22" s="4">
        <v>51.49</v>
      </c>
      <c r="BY22" s="29">
        <f t="shared" si="4"/>
        <v>314.65361253698637</v>
      </c>
    </row>
    <row r="23" spans="1:77" ht="15" customHeight="1" x14ac:dyDescent="0.35">
      <c r="A23" s="32" t="s">
        <v>217</v>
      </c>
      <c r="B23" s="32" t="s">
        <v>470</v>
      </c>
      <c r="C23" s="32" t="s">
        <v>7</v>
      </c>
      <c r="D23" s="32" t="s">
        <v>325</v>
      </c>
      <c r="E23" s="32" t="s">
        <v>228</v>
      </c>
      <c r="F23" s="32" t="s">
        <v>104</v>
      </c>
      <c r="G23" s="33">
        <v>46003</v>
      </c>
      <c r="H23" s="33">
        <v>46003</v>
      </c>
      <c r="I23" s="33">
        <v>46018</v>
      </c>
      <c r="J23" s="32" t="s">
        <v>11</v>
      </c>
      <c r="K23" s="34">
        <v>268198.09999999998</v>
      </c>
      <c r="L23" s="34">
        <v>262939.32</v>
      </c>
      <c r="M23" s="34">
        <v>5258.78</v>
      </c>
      <c r="N23" s="34">
        <v>0</v>
      </c>
      <c r="O23" s="34">
        <v>0</v>
      </c>
      <c r="P23" s="34">
        <v>268198.09999999998</v>
      </c>
      <c r="Q23" s="34">
        <v>0</v>
      </c>
      <c r="R23" s="34">
        <v>268198.09999999998</v>
      </c>
      <c r="S23" s="34">
        <v>5261.6543920019103</v>
      </c>
      <c r="T23" s="34">
        <v>268198.09999999998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5">
        <v>0</v>
      </c>
      <c r="AC23" s="35">
        <v>0</v>
      </c>
      <c r="AD23" s="35">
        <v>0</v>
      </c>
      <c r="AE23" s="35">
        <v>268198.09999999998</v>
      </c>
      <c r="AF23" s="35">
        <v>0</v>
      </c>
      <c r="AG23" s="35">
        <v>0</v>
      </c>
      <c r="AH23" s="35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5261.6543920019103</v>
      </c>
      <c r="AT23" s="36">
        <v>0</v>
      </c>
      <c r="AU23" s="36">
        <v>0</v>
      </c>
      <c r="AV23" s="36">
        <v>0</v>
      </c>
      <c r="AW23" s="37">
        <v>0</v>
      </c>
      <c r="AX23" s="37">
        <v>0</v>
      </c>
      <c r="AY23" s="37">
        <v>0</v>
      </c>
      <c r="AZ23" s="37">
        <v>0</v>
      </c>
      <c r="BA23" s="37">
        <v>0</v>
      </c>
      <c r="BB23" s="37">
        <v>0</v>
      </c>
      <c r="BC23" s="37">
        <v>0</v>
      </c>
      <c r="BD23" s="37">
        <v>0</v>
      </c>
      <c r="BE23" s="37">
        <v>0</v>
      </c>
      <c r="BF23" s="37">
        <v>0</v>
      </c>
      <c r="BG23" s="37">
        <v>268198.09999999998</v>
      </c>
      <c r="BH23" s="37">
        <v>0</v>
      </c>
      <c r="BI23" s="37">
        <v>0</v>
      </c>
      <c r="BJ23" s="37">
        <v>0</v>
      </c>
      <c r="BK23" s="32" t="s">
        <v>12</v>
      </c>
      <c r="BL23" s="32" t="s">
        <v>13</v>
      </c>
      <c r="BM23" s="33">
        <v>46001.52952546296</v>
      </c>
      <c r="BN23" s="32" t="s">
        <v>326</v>
      </c>
      <c r="BO23" s="32" t="s">
        <v>26</v>
      </c>
      <c r="BP23" s="38">
        <v>87</v>
      </c>
      <c r="BQ23" s="42"/>
      <c r="BR23" s="39">
        <v>87</v>
      </c>
      <c r="BS23" s="22" t="s">
        <v>220</v>
      </c>
      <c r="BT23" s="4" t="str">
        <f t="shared" si="0"/>
        <v>120</v>
      </c>
      <c r="BU23" s="4" t="str">
        <f t="shared" si="1"/>
        <v>87</v>
      </c>
      <c r="BV23" s="4">
        <f t="shared" si="2"/>
        <v>15</v>
      </c>
      <c r="BW23" s="29">
        <f t="shared" si="3"/>
        <v>23333234.699999999</v>
      </c>
      <c r="BX23" s="4">
        <v>51.49</v>
      </c>
      <c r="BY23" s="29">
        <f t="shared" si="4"/>
        <v>32915.842594602742</v>
      </c>
    </row>
    <row r="24" spans="1:77" ht="15" hidden="1" customHeight="1" x14ac:dyDescent="0.35">
      <c r="A24" s="32" t="s">
        <v>217</v>
      </c>
      <c r="B24" s="32" t="s">
        <v>478</v>
      </c>
      <c r="C24" s="32" t="s">
        <v>16</v>
      </c>
      <c r="D24" s="32" t="s">
        <v>436</v>
      </c>
      <c r="E24" s="32" t="s">
        <v>365</v>
      </c>
      <c r="F24" s="32" t="s">
        <v>437</v>
      </c>
      <c r="G24" s="33">
        <v>46017</v>
      </c>
      <c r="H24" s="33">
        <v>46017</v>
      </c>
      <c r="I24" s="33">
        <v>46047</v>
      </c>
      <c r="J24" s="32" t="s">
        <v>11</v>
      </c>
      <c r="K24" s="34">
        <v>1047948</v>
      </c>
      <c r="L24" s="34">
        <v>1027400</v>
      </c>
      <c r="M24" s="34">
        <v>20548</v>
      </c>
      <c r="N24" s="34">
        <v>823591.5</v>
      </c>
      <c r="O24" s="34">
        <v>0</v>
      </c>
      <c r="P24" s="34">
        <v>224356.5</v>
      </c>
      <c r="Q24" s="34">
        <v>0</v>
      </c>
      <c r="R24" s="34">
        <v>224356.5</v>
      </c>
      <c r="S24" s="34">
        <v>4401.5463330992197</v>
      </c>
      <c r="T24" s="34">
        <v>224356.5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5">
        <v>0</v>
      </c>
      <c r="AC24" s="35">
        <v>0</v>
      </c>
      <c r="AD24" s="35">
        <v>224356.5</v>
      </c>
      <c r="AE24" s="35">
        <v>0</v>
      </c>
      <c r="AF24" s="35">
        <v>0</v>
      </c>
      <c r="AG24" s="35">
        <v>0</v>
      </c>
      <c r="AH24" s="35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4401.5463330992197</v>
      </c>
      <c r="AS24" s="36">
        <v>0</v>
      </c>
      <c r="AT24" s="36">
        <v>0</v>
      </c>
      <c r="AU24" s="36">
        <v>0</v>
      </c>
      <c r="AV24" s="36">
        <v>0</v>
      </c>
      <c r="AW24" s="37">
        <v>0</v>
      </c>
      <c r="AX24" s="37">
        <v>0</v>
      </c>
      <c r="AY24" s="37"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224356.5</v>
      </c>
      <c r="BG24" s="37">
        <v>0</v>
      </c>
      <c r="BH24" s="37">
        <v>0</v>
      </c>
      <c r="BI24" s="37">
        <v>0</v>
      </c>
      <c r="BJ24" s="37">
        <v>0</v>
      </c>
      <c r="BK24" s="32" t="s">
        <v>12</v>
      </c>
      <c r="BL24" s="32" t="s">
        <v>13</v>
      </c>
      <c r="BM24" s="33">
        <v>46016.891319444447</v>
      </c>
      <c r="BN24" s="32" t="s">
        <v>438</v>
      </c>
      <c r="BO24" s="32" t="s">
        <v>15</v>
      </c>
      <c r="BP24" s="38">
        <v>58</v>
      </c>
      <c r="BQ24" s="42"/>
      <c r="BR24" s="39">
        <v>58</v>
      </c>
      <c r="BS24" s="22" t="s">
        <v>220</v>
      </c>
      <c r="BT24" s="4" t="str">
        <f t="shared" si="0"/>
        <v>120</v>
      </c>
      <c r="BU24" s="4" t="str">
        <f t="shared" si="1"/>
        <v>58</v>
      </c>
      <c r="BV24" s="4">
        <f t="shared" si="2"/>
        <v>30</v>
      </c>
      <c r="BW24" s="29">
        <f t="shared" si="3"/>
        <v>13012677</v>
      </c>
      <c r="BX24" s="4">
        <v>51.49</v>
      </c>
      <c r="BY24" s="29">
        <f t="shared" si="4"/>
        <v>18356.787362465755</v>
      </c>
    </row>
    <row r="25" spans="1:77" ht="15" hidden="1" customHeight="1" x14ac:dyDescent="0.35">
      <c r="A25" s="32" t="s">
        <v>217</v>
      </c>
      <c r="B25" s="32" t="s">
        <v>479</v>
      </c>
      <c r="C25" s="32" t="s">
        <v>16</v>
      </c>
      <c r="D25" s="32" t="s">
        <v>110</v>
      </c>
      <c r="E25" s="32" t="s">
        <v>111</v>
      </c>
      <c r="F25" s="32" t="s">
        <v>46</v>
      </c>
      <c r="G25" s="33">
        <v>46017</v>
      </c>
      <c r="H25" s="33">
        <v>46017</v>
      </c>
      <c r="I25" s="33">
        <v>46047</v>
      </c>
      <c r="J25" s="32" t="s">
        <v>11</v>
      </c>
      <c r="K25" s="34">
        <v>1805057.29</v>
      </c>
      <c r="L25" s="34">
        <v>1769664.01</v>
      </c>
      <c r="M25" s="34">
        <v>35393.279999999999</v>
      </c>
      <c r="N25" s="34">
        <v>0</v>
      </c>
      <c r="O25" s="34">
        <v>0</v>
      </c>
      <c r="P25" s="34">
        <v>1805057.29</v>
      </c>
      <c r="Q25" s="34">
        <v>0</v>
      </c>
      <c r="R25" s="34">
        <v>1805057.29</v>
      </c>
      <c r="S25" s="34">
        <v>35412.583525921997</v>
      </c>
      <c r="T25" s="34">
        <v>1805057.29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5">
        <v>0</v>
      </c>
      <c r="AC25" s="35">
        <v>0</v>
      </c>
      <c r="AD25" s="35">
        <v>1805057.29</v>
      </c>
      <c r="AE25" s="35">
        <v>0</v>
      </c>
      <c r="AF25" s="35">
        <v>0</v>
      </c>
      <c r="AG25" s="35">
        <v>0</v>
      </c>
      <c r="AH25" s="35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35412.583525921997</v>
      </c>
      <c r="AS25" s="36">
        <v>0</v>
      </c>
      <c r="AT25" s="36">
        <v>0</v>
      </c>
      <c r="AU25" s="36">
        <v>0</v>
      </c>
      <c r="AV25" s="36">
        <v>0</v>
      </c>
      <c r="AW25" s="37">
        <v>0</v>
      </c>
      <c r="AX25" s="37">
        <v>0</v>
      </c>
      <c r="AY25" s="37">
        <v>0</v>
      </c>
      <c r="AZ25" s="37">
        <v>0</v>
      </c>
      <c r="BA25" s="37">
        <v>0</v>
      </c>
      <c r="BB25" s="37">
        <v>0</v>
      </c>
      <c r="BC25" s="37">
        <v>0</v>
      </c>
      <c r="BD25" s="37">
        <v>0</v>
      </c>
      <c r="BE25" s="37">
        <v>0</v>
      </c>
      <c r="BF25" s="37">
        <v>1805057.29</v>
      </c>
      <c r="BG25" s="37">
        <v>0</v>
      </c>
      <c r="BH25" s="37">
        <v>0</v>
      </c>
      <c r="BI25" s="37">
        <v>0</v>
      </c>
      <c r="BJ25" s="37">
        <v>0</v>
      </c>
      <c r="BK25" s="32" t="s">
        <v>12</v>
      </c>
      <c r="BL25" s="32" t="s">
        <v>13</v>
      </c>
      <c r="BM25" s="33">
        <v>46016.891944444447</v>
      </c>
      <c r="BN25" s="32" t="s">
        <v>112</v>
      </c>
      <c r="BO25" s="32" t="s">
        <v>15</v>
      </c>
      <c r="BP25" s="38">
        <v>58</v>
      </c>
      <c r="BQ25" s="42"/>
      <c r="BR25" s="39">
        <v>58</v>
      </c>
      <c r="BS25" s="22" t="s">
        <v>220</v>
      </c>
      <c r="BT25" s="4" t="str">
        <f t="shared" si="0"/>
        <v>120</v>
      </c>
      <c r="BU25" s="4" t="str">
        <f t="shared" si="1"/>
        <v>58</v>
      </c>
      <c r="BV25" s="4">
        <f t="shared" si="2"/>
        <v>30</v>
      </c>
      <c r="BW25" s="29">
        <f t="shared" si="3"/>
        <v>104693322.82000001</v>
      </c>
      <c r="BX25" s="4">
        <v>51.49</v>
      </c>
      <c r="BY25" s="29">
        <f t="shared" si="4"/>
        <v>147689.29293155618</v>
      </c>
    </row>
    <row r="26" spans="1:77" ht="15" hidden="1" customHeight="1" x14ac:dyDescent="0.35">
      <c r="A26" s="32" t="s">
        <v>217</v>
      </c>
      <c r="B26" s="32" t="s">
        <v>480</v>
      </c>
      <c r="C26" s="32" t="s">
        <v>16</v>
      </c>
      <c r="D26" s="32" t="s">
        <v>110</v>
      </c>
      <c r="E26" s="32" t="s">
        <v>111</v>
      </c>
      <c r="F26" s="32" t="s">
        <v>46</v>
      </c>
      <c r="G26" s="33">
        <v>46017</v>
      </c>
      <c r="H26" s="33">
        <v>46017</v>
      </c>
      <c r="I26" s="33">
        <v>46047</v>
      </c>
      <c r="J26" s="32" t="s">
        <v>11</v>
      </c>
      <c r="K26" s="34">
        <v>1427379.4</v>
      </c>
      <c r="L26" s="34">
        <v>1399391.57</v>
      </c>
      <c r="M26" s="34">
        <v>27987.83</v>
      </c>
      <c r="N26" s="34">
        <v>0</v>
      </c>
      <c r="O26" s="34">
        <v>0</v>
      </c>
      <c r="P26" s="34">
        <v>1427379.4</v>
      </c>
      <c r="Q26" s="34">
        <v>0</v>
      </c>
      <c r="R26" s="34">
        <v>1427379.4</v>
      </c>
      <c r="S26" s="34">
        <v>28003.095805164401</v>
      </c>
      <c r="T26" s="34">
        <v>1427379.4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5">
        <v>0</v>
      </c>
      <c r="AC26" s="35">
        <v>0</v>
      </c>
      <c r="AD26" s="35">
        <v>1427379.4</v>
      </c>
      <c r="AE26" s="35">
        <v>0</v>
      </c>
      <c r="AF26" s="35">
        <v>0</v>
      </c>
      <c r="AG26" s="35">
        <v>0</v>
      </c>
      <c r="AH26" s="35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28003.095805164401</v>
      </c>
      <c r="AS26" s="36">
        <v>0</v>
      </c>
      <c r="AT26" s="36">
        <v>0</v>
      </c>
      <c r="AU26" s="36">
        <v>0</v>
      </c>
      <c r="AV26" s="36">
        <v>0</v>
      </c>
      <c r="AW26" s="37">
        <v>0</v>
      </c>
      <c r="AX26" s="37">
        <v>0</v>
      </c>
      <c r="AY26" s="37"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1427379.4</v>
      </c>
      <c r="BG26" s="37">
        <v>0</v>
      </c>
      <c r="BH26" s="37">
        <v>0</v>
      </c>
      <c r="BI26" s="37">
        <v>0</v>
      </c>
      <c r="BJ26" s="37">
        <v>0</v>
      </c>
      <c r="BK26" s="32" t="s">
        <v>12</v>
      </c>
      <c r="BL26" s="32" t="s">
        <v>13</v>
      </c>
      <c r="BM26" s="33">
        <v>46016.892164351855</v>
      </c>
      <c r="BN26" s="32" t="s">
        <v>112</v>
      </c>
      <c r="BO26" s="32" t="s">
        <v>15</v>
      </c>
      <c r="BP26" s="38">
        <v>58</v>
      </c>
      <c r="BQ26" s="42"/>
      <c r="BR26" s="39">
        <v>58</v>
      </c>
      <c r="BS26" s="22" t="s">
        <v>220</v>
      </c>
      <c r="BT26" s="4" t="str">
        <f t="shared" si="0"/>
        <v>120</v>
      </c>
      <c r="BU26" s="4" t="str">
        <f t="shared" si="1"/>
        <v>58</v>
      </c>
      <c r="BV26" s="4">
        <f t="shared" si="2"/>
        <v>30</v>
      </c>
      <c r="BW26" s="29">
        <f t="shared" si="3"/>
        <v>82788005.199999988</v>
      </c>
      <c r="BX26" s="4">
        <v>51.49</v>
      </c>
      <c r="BY26" s="29">
        <f t="shared" si="4"/>
        <v>116787.79144515068</v>
      </c>
    </row>
    <row r="27" spans="1:77" ht="15" hidden="1" customHeight="1" x14ac:dyDescent="0.35">
      <c r="A27" s="32" t="s">
        <v>217</v>
      </c>
      <c r="B27" s="32" t="s">
        <v>481</v>
      </c>
      <c r="C27" s="32" t="s">
        <v>30</v>
      </c>
      <c r="D27" s="32" t="s">
        <v>67</v>
      </c>
      <c r="E27" s="32" t="s">
        <v>68</v>
      </c>
      <c r="F27" s="32" t="s">
        <v>69</v>
      </c>
      <c r="G27" s="33">
        <v>46017</v>
      </c>
      <c r="H27" s="33">
        <v>46017</v>
      </c>
      <c r="I27" s="33">
        <v>46024</v>
      </c>
      <c r="J27" s="32" t="s">
        <v>11</v>
      </c>
      <c r="K27" s="34">
        <v>21521105.66</v>
      </c>
      <c r="L27" s="34">
        <v>21099123.199999999</v>
      </c>
      <c r="M27" s="34">
        <v>421982.46</v>
      </c>
      <c r="N27" s="34">
        <v>7702500.8300000001</v>
      </c>
      <c r="O27" s="34">
        <v>0</v>
      </c>
      <c r="P27" s="34">
        <v>13818604.83</v>
      </c>
      <c r="Q27" s="34">
        <v>0</v>
      </c>
      <c r="R27" s="34">
        <v>13818604.83</v>
      </c>
      <c r="S27" s="34">
        <v>271100.812403624</v>
      </c>
      <c r="T27" s="34">
        <v>13818604.83</v>
      </c>
      <c r="U27" s="35">
        <v>0</v>
      </c>
      <c r="V27" s="35">
        <v>0</v>
      </c>
      <c r="W27" s="35">
        <v>0</v>
      </c>
      <c r="X27" s="35">
        <v>0</v>
      </c>
      <c r="Y27" s="35">
        <v>0</v>
      </c>
      <c r="Z27" s="35">
        <v>0</v>
      </c>
      <c r="AA27" s="35">
        <v>0</v>
      </c>
      <c r="AB27" s="35">
        <v>0</v>
      </c>
      <c r="AC27" s="35">
        <v>0</v>
      </c>
      <c r="AD27" s="35">
        <v>0</v>
      </c>
      <c r="AE27" s="35">
        <v>13818604.83</v>
      </c>
      <c r="AF27" s="35">
        <v>0</v>
      </c>
      <c r="AG27" s="35">
        <v>0</v>
      </c>
      <c r="AH27" s="35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271100.812403624</v>
      </c>
      <c r="AT27" s="36">
        <v>0</v>
      </c>
      <c r="AU27" s="36">
        <v>0</v>
      </c>
      <c r="AV27" s="36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  <c r="BC27" s="37">
        <v>0</v>
      </c>
      <c r="BD27" s="37">
        <v>0</v>
      </c>
      <c r="BE27" s="37">
        <v>0</v>
      </c>
      <c r="BF27" s="37">
        <v>0</v>
      </c>
      <c r="BG27" s="37">
        <v>13818604.83</v>
      </c>
      <c r="BH27" s="37">
        <v>0</v>
      </c>
      <c r="BI27" s="37">
        <v>0</v>
      </c>
      <c r="BJ27" s="37">
        <v>0</v>
      </c>
      <c r="BK27" s="32" t="s">
        <v>12</v>
      </c>
      <c r="BL27" s="32" t="s">
        <v>13</v>
      </c>
      <c r="BM27" s="33">
        <v>46016.896215277775</v>
      </c>
      <c r="BN27" s="32" t="s">
        <v>70</v>
      </c>
      <c r="BO27" s="32" t="s">
        <v>15</v>
      </c>
      <c r="BP27" s="38">
        <v>81</v>
      </c>
      <c r="BQ27" s="42"/>
      <c r="BR27" s="39">
        <v>81</v>
      </c>
      <c r="BS27" s="22" t="s">
        <v>220</v>
      </c>
      <c r="BT27" s="4" t="str">
        <f t="shared" si="0"/>
        <v>120</v>
      </c>
      <c r="BU27" s="4" t="str">
        <f t="shared" si="1"/>
        <v>81</v>
      </c>
      <c r="BV27" s="4">
        <f t="shared" si="2"/>
        <v>7</v>
      </c>
      <c r="BW27" s="29">
        <f t="shared" si="3"/>
        <v>1119306991.23</v>
      </c>
      <c r="BX27" s="4">
        <v>51.49</v>
      </c>
      <c r="BY27" s="29">
        <f t="shared" si="4"/>
        <v>1578989.5062584302</v>
      </c>
    </row>
    <row r="28" spans="1:77" ht="15" hidden="1" customHeight="1" x14ac:dyDescent="0.35">
      <c r="A28" s="32" t="s">
        <v>217</v>
      </c>
      <c r="B28" s="32" t="s">
        <v>482</v>
      </c>
      <c r="C28" s="32" t="s">
        <v>30</v>
      </c>
      <c r="D28" s="32" t="s">
        <v>22</v>
      </c>
      <c r="E28" s="32" t="s">
        <v>23</v>
      </c>
      <c r="F28" s="32" t="s">
        <v>24</v>
      </c>
      <c r="G28" s="33">
        <v>46017</v>
      </c>
      <c r="H28" s="33">
        <v>46017</v>
      </c>
      <c r="I28" s="33">
        <v>46047</v>
      </c>
      <c r="J28" s="32" t="s">
        <v>11</v>
      </c>
      <c r="K28" s="34">
        <v>256197.98</v>
      </c>
      <c r="L28" s="34">
        <v>251174.49</v>
      </c>
      <c r="M28" s="34">
        <v>5023.49</v>
      </c>
      <c r="N28" s="34">
        <v>0</v>
      </c>
      <c r="O28" s="34">
        <v>0</v>
      </c>
      <c r="P28" s="34">
        <v>256197.98</v>
      </c>
      <c r="Q28" s="34">
        <v>0</v>
      </c>
      <c r="R28" s="34">
        <v>256197.98</v>
      </c>
      <c r="S28" s="34">
        <v>5026.2295918167201</v>
      </c>
      <c r="T28" s="34">
        <v>256197.98</v>
      </c>
      <c r="U28" s="35">
        <v>0</v>
      </c>
      <c r="V28" s="35">
        <v>0</v>
      </c>
      <c r="W28" s="35">
        <v>0</v>
      </c>
      <c r="X28" s="35">
        <v>0</v>
      </c>
      <c r="Y28" s="35">
        <v>0</v>
      </c>
      <c r="Z28" s="35">
        <v>0</v>
      </c>
      <c r="AA28" s="35">
        <v>0</v>
      </c>
      <c r="AB28" s="35">
        <v>0</v>
      </c>
      <c r="AC28" s="35">
        <v>0</v>
      </c>
      <c r="AD28" s="35">
        <v>256197.98</v>
      </c>
      <c r="AE28" s="35">
        <v>0</v>
      </c>
      <c r="AF28" s="35">
        <v>0</v>
      </c>
      <c r="AG28" s="35">
        <v>0</v>
      </c>
      <c r="AH28" s="35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5026.2295918167201</v>
      </c>
      <c r="AS28" s="36">
        <v>0</v>
      </c>
      <c r="AT28" s="36">
        <v>0</v>
      </c>
      <c r="AU28" s="36">
        <v>0</v>
      </c>
      <c r="AV28" s="36">
        <v>0</v>
      </c>
      <c r="AW28" s="37">
        <v>0</v>
      </c>
      <c r="AX28" s="37">
        <v>0</v>
      </c>
      <c r="AY28" s="37"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256197.98</v>
      </c>
      <c r="BG28" s="37">
        <v>0</v>
      </c>
      <c r="BH28" s="37">
        <v>0</v>
      </c>
      <c r="BI28" s="37">
        <v>0</v>
      </c>
      <c r="BJ28" s="37">
        <v>0</v>
      </c>
      <c r="BK28" s="32" t="s">
        <v>12</v>
      </c>
      <c r="BL28" s="32" t="s">
        <v>13</v>
      </c>
      <c r="BM28" s="33">
        <v>46016.896423611113</v>
      </c>
      <c r="BN28" s="32" t="s">
        <v>25</v>
      </c>
      <c r="BO28" s="32" t="s">
        <v>26</v>
      </c>
      <c r="BP28" s="38">
        <v>58</v>
      </c>
      <c r="BQ28" s="42"/>
      <c r="BR28" s="39">
        <v>58</v>
      </c>
      <c r="BS28" s="22" t="s">
        <v>220</v>
      </c>
      <c r="BT28" s="4" t="str">
        <f t="shared" si="0"/>
        <v>120</v>
      </c>
      <c r="BU28" s="4" t="str">
        <f t="shared" si="1"/>
        <v>58</v>
      </c>
      <c r="BV28" s="4">
        <f t="shared" si="2"/>
        <v>30</v>
      </c>
      <c r="BW28" s="29">
        <f t="shared" si="3"/>
        <v>14859482.84</v>
      </c>
      <c r="BX28" s="4">
        <v>51.49</v>
      </c>
      <c r="BY28" s="29">
        <f t="shared" si="4"/>
        <v>20962.048532372602</v>
      </c>
    </row>
    <row r="29" spans="1:77" ht="15" customHeight="1" x14ac:dyDescent="0.35">
      <c r="A29" s="32" t="s">
        <v>217</v>
      </c>
      <c r="B29" s="32" t="s">
        <v>483</v>
      </c>
      <c r="C29" s="32" t="s">
        <v>7</v>
      </c>
      <c r="D29" s="32" t="s">
        <v>8</v>
      </c>
      <c r="E29" s="32" t="s">
        <v>9</v>
      </c>
      <c r="F29" s="32" t="s">
        <v>10</v>
      </c>
      <c r="G29" s="33">
        <v>46017</v>
      </c>
      <c r="H29" s="33">
        <v>46017</v>
      </c>
      <c r="I29" s="33">
        <v>46024</v>
      </c>
      <c r="J29" s="32" t="s">
        <v>11</v>
      </c>
      <c r="K29" s="34">
        <v>12249990.9</v>
      </c>
      <c r="L29" s="34">
        <v>12009795</v>
      </c>
      <c r="M29" s="34">
        <v>240195.9</v>
      </c>
      <c r="N29" s="34">
        <v>0</v>
      </c>
      <c r="O29" s="34">
        <v>0</v>
      </c>
      <c r="P29" s="34">
        <v>12249990.9</v>
      </c>
      <c r="Q29" s="34">
        <v>0</v>
      </c>
      <c r="R29" s="34">
        <v>12249990.9</v>
      </c>
      <c r="S29" s="34">
        <v>240326.90172289999</v>
      </c>
      <c r="T29" s="34">
        <v>12249990.9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12249990.9</v>
      </c>
      <c r="AF29" s="35">
        <v>0</v>
      </c>
      <c r="AG29" s="35">
        <v>0</v>
      </c>
      <c r="AH29" s="35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240326.90172289999</v>
      </c>
      <c r="AT29" s="36">
        <v>0</v>
      </c>
      <c r="AU29" s="36">
        <v>0</v>
      </c>
      <c r="AV29" s="36">
        <v>0</v>
      </c>
      <c r="AW29" s="37">
        <v>0</v>
      </c>
      <c r="AX29" s="37">
        <v>0</v>
      </c>
      <c r="AY29" s="37">
        <v>0</v>
      </c>
      <c r="AZ29" s="37">
        <v>0</v>
      </c>
      <c r="BA29" s="37">
        <v>0</v>
      </c>
      <c r="BB29" s="37">
        <v>0</v>
      </c>
      <c r="BC29" s="37">
        <v>0</v>
      </c>
      <c r="BD29" s="37">
        <v>0</v>
      </c>
      <c r="BE29" s="37">
        <v>0</v>
      </c>
      <c r="BF29" s="37">
        <v>0</v>
      </c>
      <c r="BG29" s="37">
        <v>12249990.9</v>
      </c>
      <c r="BH29" s="37">
        <v>0</v>
      </c>
      <c r="BI29" s="37">
        <v>0</v>
      </c>
      <c r="BJ29" s="37">
        <v>0</v>
      </c>
      <c r="BK29" s="32" t="s">
        <v>12</v>
      </c>
      <c r="BL29" s="32" t="s">
        <v>13</v>
      </c>
      <c r="BM29" s="33">
        <v>46016.897638888891</v>
      </c>
      <c r="BN29" s="32" t="s">
        <v>14</v>
      </c>
      <c r="BO29" s="32" t="s">
        <v>15</v>
      </c>
      <c r="BP29" s="38">
        <v>81</v>
      </c>
      <c r="BQ29" s="42"/>
      <c r="BR29" s="39">
        <v>81</v>
      </c>
      <c r="BS29" s="22" t="s">
        <v>220</v>
      </c>
      <c r="BT29" s="4" t="str">
        <f t="shared" si="0"/>
        <v>120</v>
      </c>
      <c r="BU29" s="4" t="str">
        <f t="shared" si="1"/>
        <v>81</v>
      </c>
      <c r="BV29" s="4">
        <f t="shared" si="2"/>
        <v>7</v>
      </c>
      <c r="BW29" s="29">
        <f t="shared" si="3"/>
        <v>992249262.89999998</v>
      </c>
      <c r="BX29" s="4">
        <v>51.49</v>
      </c>
      <c r="BY29" s="29">
        <f t="shared" si="4"/>
        <v>1399751.0834718083</v>
      </c>
    </row>
    <row r="30" spans="1:77" ht="15" hidden="1" customHeight="1" x14ac:dyDescent="0.35">
      <c r="A30" s="32" t="s">
        <v>217</v>
      </c>
      <c r="B30" s="32" t="s">
        <v>484</v>
      </c>
      <c r="C30" s="32" t="s">
        <v>7</v>
      </c>
      <c r="D30" s="32" t="s">
        <v>311</v>
      </c>
      <c r="E30" s="32" t="s">
        <v>312</v>
      </c>
      <c r="F30" s="32" t="s">
        <v>104</v>
      </c>
      <c r="G30" s="33">
        <v>46017</v>
      </c>
      <c r="H30" s="33">
        <v>46017</v>
      </c>
      <c r="I30" s="33">
        <v>46032</v>
      </c>
      <c r="J30" s="32" t="s">
        <v>11</v>
      </c>
      <c r="K30" s="34">
        <v>209860.4</v>
      </c>
      <c r="L30" s="34">
        <v>205745.49</v>
      </c>
      <c r="M30" s="34">
        <v>4114.91</v>
      </c>
      <c r="N30" s="34">
        <v>0</v>
      </c>
      <c r="O30" s="34">
        <v>0</v>
      </c>
      <c r="P30" s="34">
        <v>209860.4</v>
      </c>
      <c r="Q30" s="34">
        <v>0</v>
      </c>
      <c r="R30" s="34">
        <v>209860.4</v>
      </c>
      <c r="S30" s="34">
        <v>4117.1540565249297</v>
      </c>
      <c r="T30" s="34">
        <v>209860.4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5">
        <v>0</v>
      </c>
      <c r="AC30" s="35">
        <v>0</v>
      </c>
      <c r="AD30" s="35">
        <v>0</v>
      </c>
      <c r="AE30" s="35">
        <v>209860.4</v>
      </c>
      <c r="AF30" s="35">
        <v>0</v>
      </c>
      <c r="AG30" s="35">
        <v>0</v>
      </c>
      <c r="AH30" s="35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4117.1540565249297</v>
      </c>
      <c r="AT30" s="36">
        <v>0</v>
      </c>
      <c r="AU30" s="36">
        <v>0</v>
      </c>
      <c r="AV30" s="36">
        <v>0</v>
      </c>
      <c r="AW30" s="37">
        <v>0</v>
      </c>
      <c r="AX30" s="37">
        <v>0</v>
      </c>
      <c r="AY30" s="37"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209860.4</v>
      </c>
      <c r="BH30" s="37">
        <v>0</v>
      </c>
      <c r="BI30" s="37">
        <v>0</v>
      </c>
      <c r="BJ30" s="37">
        <v>0</v>
      </c>
      <c r="BK30" s="32" t="s">
        <v>12</v>
      </c>
      <c r="BL30" s="32" t="s">
        <v>13</v>
      </c>
      <c r="BM30" s="33">
        <v>46016.898263888892</v>
      </c>
      <c r="BN30" s="32" t="s">
        <v>356</v>
      </c>
      <c r="BO30" s="32" t="s">
        <v>15</v>
      </c>
      <c r="BP30" s="38">
        <v>73</v>
      </c>
      <c r="BQ30" s="42"/>
      <c r="BR30" s="39">
        <v>73</v>
      </c>
      <c r="BS30" s="22" t="s">
        <v>220</v>
      </c>
      <c r="BT30" s="4" t="str">
        <f t="shared" si="0"/>
        <v>120</v>
      </c>
      <c r="BU30" s="4" t="str">
        <f t="shared" si="1"/>
        <v>73</v>
      </c>
      <c r="BV30" s="4">
        <f t="shared" si="2"/>
        <v>15</v>
      </c>
      <c r="BW30" s="29">
        <f t="shared" si="3"/>
        <v>15319809.199999999</v>
      </c>
      <c r="BX30" s="4">
        <v>51.49</v>
      </c>
      <c r="BY30" s="29">
        <f t="shared" si="4"/>
        <v>21611.423992</v>
      </c>
    </row>
    <row r="31" spans="1:77" ht="15" customHeight="1" x14ac:dyDescent="0.35">
      <c r="A31" s="32" t="s">
        <v>217</v>
      </c>
      <c r="B31" s="32" t="s">
        <v>485</v>
      </c>
      <c r="C31" s="32" t="s">
        <v>7</v>
      </c>
      <c r="D31" s="32" t="s">
        <v>325</v>
      </c>
      <c r="E31" s="32" t="s">
        <v>228</v>
      </c>
      <c r="F31" s="32" t="s">
        <v>104</v>
      </c>
      <c r="G31" s="33">
        <v>46020</v>
      </c>
      <c r="H31" s="33">
        <v>46020</v>
      </c>
      <c r="I31" s="33">
        <v>46035</v>
      </c>
      <c r="J31" s="32" t="s">
        <v>11</v>
      </c>
      <c r="K31" s="34">
        <v>268198.09999999998</v>
      </c>
      <c r="L31" s="34">
        <v>262939.32</v>
      </c>
      <c r="M31" s="34">
        <v>5258.78</v>
      </c>
      <c r="N31" s="34">
        <v>0</v>
      </c>
      <c r="O31" s="34">
        <v>0</v>
      </c>
      <c r="P31" s="34">
        <v>268198.09999999998</v>
      </c>
      <c r="Q31" s="34">
        <v>0</v>
      </c>
      <c r="R31" s="34">
        <v>268198.09999999998</v>
      </c>
      <c r="S31" s="34">
        <v>5261.6543920019103</v>
      </c>
      <c r="T31" s="34">
        <v>268198.09999999998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5">
        <v>0</v>
      </c>
      <c r="AC31" s="35">
        <v>0</v>
      </c>
      <c r="AD31" s="35">
        <v>0</v>
      </c>
      <c r="AE31" s="35">
        <v>268198.09999999998</v>
      </c>
      <c r="AF31" s="35">
        <v>0</v>
      </c>
      <c r="AG31" s="35">
        <v>0</v>
      </c>
      <c r="AH31" s="35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5261.6543920019103</v>
      </c>
      <c r="AT31" s="36">
        <v>0</v>
      </c>
      <c r="AU31" s="36">
        <v>0</v>
      </c>
      <c r="AV31" s="36">
        <v>0</v>
      </c>
      <c r="AW31" s="37">
        <v>0</v>
      </c>
      <c r="AX31" s="37">
        <v>0</v>
      </c>
      <c r="AY31" s="37">
        <v>0</v>
      </c>
      <c r="AZ31" s="37">
        <v>0</v>
      </c>
      <c r="BA31" s="37">
        <v>0</v>
      </c>
      <c r="BB31" s="37">
        <v>0</v>
      </c>
      <c r="BC31" s="37">
        <v>0</v>
      </c>
      <c r="BD31" s="37">
        <v>0</v>
      </c>
      <c r="BE31" s="37">
        <v>0</v>
      </c>
      <c r="BF31" s="37">
        <v>0</v>
      </c>
      <c r="BG31" s="37">
        <v>268198.09999999998</v>
      </c>
      <c r="BH31" s="37">
        <v>0</v>
      </c>
      <c r="BI31" s="37">
        <v>0</v>
      </c>
      <c r="BJ31" s="37">
        <v>0</v>
      </c>
      <c r="BK31" s="32" t="s">
        <v>12</v>
      </c>
      <c r="BL31" s="32" t="s">
        <v>13</v>
      </c>
      <c r="BM31" s="33">
        <v>46016.898680555554</v>
      </c>
      <c r="BN31" s="32" t="s">
        <v>326</v>
      </c>
      <c r="BO31" s="32" t="s">
        <v>26</v>
      </c>
      <c r="BP31" s="38">
        <v>70</v>
      </c>
      <c r="BQ31" s="42"/>
      <c r="BR31" s="39">
        <v>70</v>
      </c>
      <c r="BS31" s="22" t="s">
        <v>220</v>
      </c>
      <c r="BT31" s="4" t="str">
        <f t="shared" si="0"/>
        <v>120</v>
      </c>
      <c r="BU31" s="4" t="str">
        <f t="shared" si="1"/>
        <v>70</v>
      </c>
      <c r="BV31" s="4">
        <f t="shared" si="2"/>
        <v>15</v>
      </c>
      <c r="BW31" s="29">
        <f t="shared" si="3"/>
        <v>18773867</v>
      </c>
      <c r="BX31" s="4">
        <v>51.49</v>
      </c>
      <c r="BY31" s="29">
        <f t="shared" si="4"/>
        <v>26484.0112830137</v>
      </c>
    </row>
    <row r="32" spans="1:77" ht="15" hidden="1" customHeight="1" x14ac:dyDescent="0.35">
      <c r="A32" s="32" t="s">
        <v>217</v>
      </c>
      <c r="B32" s="32" t="s">
        <v>488</v>
      </c>
      <c r="C32" s="32" t="s">
        <v>30</v>
      </c>
      <c r="D32" s="32" t="s">
        <v>449</v>
      </c>
      <c r="E32" s="32" t="s">
        <v>327</v>
      </c>
      <c r="F32" s="32" t="s">
        <v>46</v>
      </c>
      <c r="G32" s="33">
        <v>46021</v>
      </c>
      <c r="H32" s="33">
        <v>46021</v>
      </c>
      <c r="I32" s="33">
        <v>46036</v>
      </c>
      <c r="J32" s="32" t="s">
        <v>11</v>
      </c>
      <c r="K32" s="34">
        <v>381790.08</v>
      </c>
      <c r="L32" s="34">
        <v>374304</v>
      </c>
      <c r="M32" s="34">
        <v>7486.08</v>
      </c>
      <c r="N32" s="34">
        <v>0</v>
      </c>
      <c r="O32" s="34">
        <v>0</v>
      </c>
      <c r="P32" s="34">
        <v>381790.08</v>
      </c>
      <c r="Q32" s="34">
        <v>0</v>
      </c>
      <c r="R32" s="34">
        <v>381790.08</v>
      </c>
      <c r="S32" s="34">
        <v>7490.1628730955299</v>
      </c>
      <c r="T32" s="34">
        <v>381790.08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5">
        <v>0</v>
      </c>
      <c r="AC32" s="35">
        <v>0</v>
      </c>
      <c r="AD32" s="35">
        <v>0</v>
      </c>
      <c r="AE32" s="35">
        <v>381790.08</v>
      </c>
      <c r="AF32" s="35">
        <v>0</v>
      </c>
      <c r="AG32" s="35">
        <v>0</v>
      </c>
      <c r="AH32" s="35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7490.1628730955299</v>
      </c>
      <c r="AT32" s="36">
        <v>0</v>
      </c>
      <c r="AU32" s="36">
        <v>0</v>
      </c>
      <c r="AV32" s="36">
        <v>0</v>
      </c>
      <c r="AW32" s="37">
        <v>0</v>
      </c>
      <c r="AX32" s="37">
        <v>0</v>
      </c>
      <c r="AY32" s="37"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381790.08</v>
      </c>
      <c r="BH32" s="37">
        <v>0</v>
      </c>
      <c r="BI32" s="37">
        <v>0</v>
      </c>
      <c r="BJ32" s="37">
        <v>0</v>
      </c>
      <c r="BK32" s="32" t="s">
        <v>12</v>
      </c>
      <c r="BL32" s="32" t="s">
        <v>13</v>
      </c>
      <c r="BM32" s="33">
        <v>46017.397210648145</v>
      </c>
      <c r="BN32" s="32" t="s">
        <v>28</v>
      </c>
      <c r="BO32" s="32" t="s">
        <v>29</v>
      </c>
      <c r="BP32" s="38">
        <v>69</v>
      </c>
      <c r="BQ32" s="42"/>
      <c r="BR32" s="39">
        <v>69</v>
      </c>
      <c r="BS32" s="22" t="s">
        <v>220</v>
      </c>
      <c r="BT32" s="4" t="str">
        <f t="shared" si="0"/>
        <v>120</v>
      </c>
      <c r="BU32" s="4" t="str">
        <f t="shared" si="1"/>
        <v>69</v>
      </c>
      <c r="BV32" s="4">
        <f t="shared" si="2"/>
        <v>15</v>
      </c>
      <c r="BW32" s="29">
        <f t="shared" si="3"/>
        <v>26343515.52</v>
      </c>
      <c r="BX32" s="4">
        <v>51.49</v>
      </c>
      <c r="BY32" s="29">
        <f t="shared" si="4"/>
        <v>37162.400386980822</v>
      </c>
    </row>
    <row r="33" spans="1:77" ht="15" customHeight="1" x14ac:dyDescent="0.35">
      <c r="A33" s="32" t="s">
        <v>217</v>
      </c>
      <c r="B33" s="32" t="s">
        <v>487</v>
      </c>
      <c r="C33" s="32" t="s">
        <v>7</v>
      </c>
      <c r="D33" s="32" t="s">
        <v>305</v>
      </c>
      <c r="E33" s="32" t="s">
        <v>148</v>
      </c>
      <c r="F33" s="32" t="s">
        <v>306</v>
      </c>
      <c r="G33" s="33">
        <v>46020</v>
      </c>
      <c r="H33" s="33">
        <v>46020</v>
      </c>
      <c r="I33" s="33">
        <v>46035</v>
      </c>
      <c r="J33" s="32" t="s">
        <v>11</v>
      </c>
      <c r="K33" s="34">
        <v>201862.12</v>
      </c>
      <c r="L33" s="34">
        <v>197904.04</v>
      </c>
      <c r="M33" s="34">
        <v>3958.08</v>
      </c>
      <c r="N33" s="34">
        <v>0</v>
      </c>
      <c r="O33" s="34">
        <v>0</v>
      </c>
      <c r="P33" s="34">
        <v>201862.12</v>
      </c>
      <c r="Q33" s="34">
        <v>0</v>
      </c>
      <c r="R33" s="34">
        <v>201862.12</v>
      </c>
      <c r="S33" s="34">
        <v>3960.2395031016899</v>
      </c>
      <c r="T33" s="34">
        <v>201862.12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5">
        <v>0</v>
      </c>
      <c r="AC33" s="35">
        <v>0</v>
      </c>
      <c r="AD33" s="35">
        <v>0</v>
      </c>
      <c r="AE33" s="35">
        <v>201862.12</v>
      </c>
      <c r="AF33" s="35">
        <v>0</v>
      </c>
      <c r="AG33" s="35">
        <v>0</v>
      </c>
      <c r="AH33" s="35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3960.2395031016899</v>
      </c>
      <c r="AT33" s="36">
        <v>0</v>
      </c>
      <c r="AU33" s="36">
        <v>0</v>
      </c>
      <c r="AV33" s="36">
        <v>0</v>
      </c>
      <c r="AW33" s="37">
        <v>0</v>
      </c>
      <c r="AX33" s="37">
        <v>0</v>
      </c>
      <c r="AY33" s="37">
        <v>0</v>
      </c>
      <c r="AZ33" s="37">
        <v>0</v>
      </c>
      <c r="BA33" s="37">
        <v>0</v>
      </c>
      <c r="BB33" s="37">
        <v>0</v>
      </c>
      <c r="BC33" s="37">
        <v>0</v>
      </c>
      <c r="BD33" s="37">
        <v>0</v>
      </c>
      <c r="BE33" s="37">
        <v>0</v>
      </c>
      <c r="BF33" s="37">
        <v>0</v>
      </c>
      <c r="BG33" s="37">
        <v>201862.12</v>
      </c>
      <c r="BH33" s="37">
        <v>0</v>
      </c>
      <c r="BI33" s="37">
        <v>0</v>
      </c>
      <c r="BJ33" s="37">
        <v>0</v>
      </c>
      <c r="BK33" s="32" t="s">
        <v>12</v>
      </c>
      <c r="BL33" s="32" t="s">
        <v>13</v>
      </c>
      <c r="BM33" s="33">
        <v>46019.777592592596</v>
      </c>
      <c r="BN33" s="32" t="s">
        <v>28</v>
      </c>
      <c r="BO33" s="32" t="s">
        <v>29</v>
      </c>
      <c r="BP33" s="38">
        <v>70</v>
      </c>
      <c r="BQ33" s="42"/>
      <c r="BR33" s="39">
        <v>70</v>
      </c>
      <c r="BS33" s="22" t="s">
        <v>220</v>
      </c>
      <c r="BT33" s="4" t="str">
        <f t="shared" si="0"/>
        <v>120</v>
      </c>
      <c r="BU33" s="4" t="str">
        <f t="shared" si="1"/>
        <v>70</v>
      </c>
      <c r="BV33" s="4">
        <f t="shared" si="2"/>
        <v>15</v>
      </c>
      <c r="BW33" s="29">
        <f t="shared" si="3"/>
        <v>14130348.4</v>
      </c>
      <c r="BX33" s="4">
        <v>51.49</v>
      </c>
      <c r="BY33" s="29">
        <f t="shared" si="4"/>
        <v>19933.46956482192</v>
      </c>
    </row>
    <row r="34" spans="1:77" ht="15" hidden="1" customHeight="1" x14ac:dyDescent="0.35">
      <c r="A34" s="32" t="s">
        <v>217</v>
      </c>
      <c r="B34" s="32" t="s">
        <v>491</v>
      </c>
      <c r="C34" s="32" t="s">
        <v>90</v>
      </c>
      <c r="D34" s="32" t="s">
        <v>67</v>
      </c>
      <c r="E34" s="32" t="s">
        <v>68</v>
      </c>
      <c r="F34" s="32" t="s">
        <v>69</v>
      </c>
      <c r="G34" s="33">
        <v>46021</v>
      </c>
      <c r="H34" s="33">
        <v>46021</v>
      </c>
      <c r="I34" s="33">
        <v>46028</v>
      </c>
      <c r="J34" s="32" t="s">
        <v>11</v>
      </c>
      <c r="K34" s="34">
        <v>209010.41</v>
      </c>
      <c r="L34" s="34">
        <v>206941</v>
      </c>
      <c r="M34" s="34">
        <v>2069.41</v>
      </c>
      <c r="N34" s="34">
        <v>0</v>
      </c>
      <c r="O34" s="34">
        <v>0</v>
      </c>
      <c r="P34" s="34">
        <v>209010.41</v>
      </c>
      <c r="Q34" s="34">
        <v>0</v>
      </c>
      <c r="R34" s="34">
        <v>209010.41</v>
      </c>
      <c r="S34" s="34">
        <v>4100.47849612141</v>
      </c>
      <c r="T34" s="34">
        <v>209010.41</v>
      </c>
      <c r="U34" s="35">
        <v>0</v>
      </c>
      <c r="V34" s="35">
        <v>0</v>
      </c>
      <c r="W34" s="35">
        <v>0</v>
      </c>
      <c r="X34" s="35">
        <v>0</v>
      </c>
      <c r="Y34" s="35">
        <v>0</v>
      </c>
      <c r="Z34" s="35">
        <v>0</v>
      </c>
      <c r="AA34" s="35">
        <v>0</v>
      </c>
      <c r="AB34" s="35">
        <v>0</v>
      </c>
      <c r="AC34" s="35">
        <v>0</v>
      </c>
      <c r="AD34" s="35">
        <v>0</v>
      </c>
      <c r="AE34" s="35">
        <v>209010.41</v>
      </c>
      <c r="AF34" s="35">
        <v>0</v>
      </c>
      <c r="AG34" s="35">
        <v>0</v>
      </c>
      <c r="AH34" s="35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4100.47849612141</v>
      </c>
      <c r="AT34" s="36">
        <v>0</v>
      </c>
      <c r="AU34" s="36">
        <v>0</v>
      </c>
      <c r="AV34" s="36">
        <v>0</v>
      </c>
      <c r="AW34" s="37">
        <v>0</v>
      </c>
      <c r="AX34" s="37">
        <v>0</v>
      </c>
      <c r="AY34" s="37"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209010.41</v>
      </c>
      <c r="BH34" s="37">
        <v>0</v>
      </c>
      <c r="BI34" s="37">
        <v>0</v>
      </c>
      <c r="BJ34" s="37">
        <v>0</v>
      </c>
      <c r="BK34" s="32" t="s">
        <v>12</v>
      </c>
      <c r="BL34" s="32" t="s">
        <v>13</v>
      </c>
      <c r="BM34" s="33">
        <v>46021.320497685185</v>
      </c>
      <c r="BN34" s="32" t="s">
        <v>70</v>
      </c>
      <c r="BO34" s="32" t="s">
        <v>15</v>
      </c>
      <c r="BP34" s="38">
        <v>77</v>
      </c>
      <c r="BQ34" s="42"/>
      <c r="BR34" s="39">
        <v>77</v>
      </c>
      <c r="BS34" s="22" t="s">
        <v>220</v>
      </c>
      <c r="BT34" s="4" t="str">
        <f t="shared" si="0"/>
        <v>120</v>
      </c>
      <c r="BU34" s="4" t="str">
        <f t="shared" si="1"/>
        <v>77</v>
      </c>
      <c r="BV34" s="4">
        <f t="shared" si="2"/>
        <v>7</v>
      </c>
      <c r="BW34" s="29">
        <f t="shared" si="3"/>
        <v>16093801.57</v>
      </c>
      <c r="BX34" s="4">
        <v>51.49</v>
      </c>
      <c r="BY34" s="29">
        <f t="shared" si="4"/>
        <v>22703.283365460276</v>
      </c>
    </row>
    <row r="35" spans="1:77" ht="15" hidden="1" customHeight="1" x14ac:dyDescent="0.35">
      <c r="A35" s="32" t="s">
        <v>217</v>
      </c>
      <c r="B35" s="32" t="s">
        <v>492</v>
      </c>
      <c r="C35" s="32" t="s">
        <v>30</v>
      </c>
      <c r="D35" s="32" t="s">
        <v>91</v>
      </c>
      <c r="E35" s="32" t="s">
        <v>92</v>
      </c>
      <c r="F35" s="32" t="s">
        <v>493</v>
      </c>
      <c r="G35" s="33">
        <v>46021</v>
      </c>
      <c r="H35" s="33">
        <v>46021</v>
      </c>
      <c r="I35" s="33">
        <v>46036</v>
      </c>
      <c r="J35" s="32" t="s">
        <v>11</v>
      </c>
      <c r="K35" s="34">
        <v>3021226.08</v>
      </c>
      <c r="L35" s="34">
        <v>2961986.35</v>
      </c>
      <c r="M35" s="34">
        <v>59239.73</v>
      </c>
      <c r="N35" s="34">
        <v>0</v>
      </c>
      <c r="O35" s="34">
        <v>0</v>
      </c>
      <c r="P35" s="34">
        <v>3021226.08</v>
      </c>
      <c r="Q35" s="34">
        <v>0</v>
      </c>
      <c r="R35" s="34">
        <v>3021226.08</v>
      </c>
      <c r="S35" s="34">
        <v>59272.036129498003</v>
      </c>
      <c r="T35" s="34">
        <v>3021226.08</v>
      </c>
      <c r="U35" s="35">
        <v>0</v>
      </c>
      <c r="V35" s="35">
        <v>0</v>
      </c>
      <c r="W35" s="35">
        <v>0</v>
      </c>
      <c r="X35" s="35">
        <v>0</v>
      </c>
      <c r="Y35" s="35">
        <v>0</v>
      </c>
      <c r="Z35" s="35">
        <v>0</v>
      </c>
      <c r="AA35" s="35">
        <v>0</v>
      </c>
      <c r="AB35" s="35">
        <v>0</v>
      </c>
      <c r="AC35" s="35">
        <v>0</v>
      </c>
      <c r="AD35" s="35">
        <v>0</v>
      </c>
      <c r="AE35" s="35">
        <v>3021226.08</v>
      </c>
      <c r="AF35" s="35">
        <v>0</v>
      </c>
      <c r="AG35" s="35">
        <v>0</v>
      </c>
      <c r="AH35" s="35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59272.036129498003</v>
      </c>
      <c r="AT35" s="36">
        <v>0</v>
      </c>
      <c r="AU35" s="36">
        <v>0</v>
      </c>
      <c r="AV35" s="36">
        <v>0</v>
      </c>
      <c r="AW35" s="37">
        <v>0</v>
      </c>
      <c r="AX35" s="37">
        <v>0</v>
      </c>
      <c r="AY35" s="37">
        <v>0</v>
      </c>
      <c r="AZ35" s="37">
        <v>0</v>
      </c>
      <c r="BA35" s="37">
        <v>0</v>
      </c>
      <c r="BB35" s="37">
        <v>0</v>
      </c>
      <c r="BC35" s="37">
        <v>0</v>
      </c>
      <c r="BD35" s="37">
        <v>0</v>
      </c>
      <c r="BE35" s="37">
        <v>0</v>
      </c>
      <c r="BF35" s="37">
        <v>0</v>
      </c>
      <c r="BG35" s="37">
        <v>3021226.08</v>
      </c>
      <c r="BH35" s="37">
        <v>0</v>
      </c>
      <c r="BI35" s="37">
        <v>0</v>
      </c>
      <c r="BJ35" s="37">
        <v>0</v>
      </c>
      <c r="BK35" s="32" t="s">
        <v>12</v>
      </c>
      <c r="BL35" s="32" t="s">
        <v>13</v>
      </c>
      <c r="BM35" s="33">
        <v>46021.42796296296</v>
      </c>
      <c r="BN35" s="32" t="s">
        <v>28</v>
      </c>
      <c r="BO35" s="32" t="s">
        <v>29</v>
      </c>
      <c r="BP35" s="38">
        <v>69</v>
      </c>
      <c r="BQ35" s="42"/>
      <c r="BR35" s="39">
        <v>69</v>
      </c>
      <c r="BS35" s="22" t="s">
        <v>220</v>
      </c>
      <c r="BT35" s="4" t="str">
        <f t="shared" si="0"/>
        <v>120</v>
      </c>
      <c r="BU35" s="4" t="str">
        <f t="shared" si="1"/>
        <v>69</v>
      </c>
      <c r="BV35" s="4">
        <f t="shared" si="2"/>
        <v>15</v>
      </c>
      <c r="BW35" s="29">
        <f t="shared" si="3"/>
        <v>208464599.52000001</v>
      </c>
      <c r="BX35" s="4">
        <v>51.49</v>
      </c>
      <c r="BY35" s="29">
        <f t="shared" si="4"/>
        <v>294077.86929547403</v>
      </c>
    </row>
    <row r="36" spans="1:77" ht="15" hidden="1" customHeight="1" x14ac:dyDescent="0.35">
      <c r="A36" s="32" t="s">
        <v>217</v>
      </c>
      <c r="B36" s="32" t="s">
        <v>500</v>
      </c>
      <c r="C36" s="32" t="s">
        <v>16</v>
      </c>
      <c r="D36" s="32" t="s">
        <v>409</v>
      </c>
      <c r="E36" s="32" t="s">
        <v>100</v>
      </c>
      <c r="F36" s="32" t="s">
        <v>410</v>
      </c>
      <c r="G36" s="33">
        <v>46022</v>
      </c>
      <c r="H36" s="33">
        <v>46022</v>
      </c>
      <c r="I36" s="33">
        <v>46037</v>
      </c>
      <c r="J36" s="32" t="s">
        <v>11</v>
      </c>
      <c r="K36" s="34">
        <v>197425.7</v>
      </c>
      <c r="L36" s="34">
        <v>193554.61</v>
      </c>
      <c r="M36" s="34">
        <v>3871.09</v>
      </c>
      <c r="N36" s="34">
        <v>0</v>
      </c>
      <c r="O36" s="34">
        <v>0</v>
      </c>
      <c r="P36" s="34">
        <v>197425.7</v>
      </c>
      <c r="Q36" s="34">
        <v>0</v>
      </c>
      <c r="R36" s="34">
        <v>197425.7</v>
      </c>
      <c r="S36" s="34">
        <v>3873.2034324592601</v>
      </c>
      <c r="T36" s="34">
        <v>197425.7</v>
      </c>
      <c r="U36" s="35">
        <v>0</v>
      </c>
      <c r="V36" s="35">
        <v>0</v>
      </c>
      <c r="W36" s="35">
        <v>0</v>
      </c>
      <c r="X36" s="35">
        <v>0</v>
      </c>
      <c r="Y36" s="35">
        <v>0</v>
      </c>
      <c r="Z36" s="35">
        <v>0</v>
      </c>
      <c r="AA36" s="35">
        <v>0</v>
      </c>
      <c r="AB36" s="35">
        <v>0</v>
      </c>
      <c r="AC36" s="35">
        <v>0</v>
      </c>
      <c r="AD36" s="35">
        <v>0</v>
      </c>
      <c r="AE36" s="35">
        <v>197425.7</v>
      </c>
      <c r="AF36" s="35">
        <v>0</v>
      </c>
      <c r="AG36" s="35">
        <v>0</v>
      </c>
      <c r="AH36" s="35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3873.2034324592601</v>
      </c>
      <c r="AT36" s="36">
        <v>0</v>
      </c>
      <c r="AU36" s="36">
        <v>0</v>
      </c>
      <c r="AV36" s="36">
        <v>0</v>
      </c>
      <c r="AW36" s="37">
        <v>0</v>
      </c>
      <c r="AX36" s="37">
        <v>0</v>
      </c>
      <c r="AY36" s="37"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197425.7</v>
      </c>
      <c r="BH36" s="37">
        <v>0</v>
      </c>
      <c r="BI36" s="37">
        <v>0</v>
      </c>
      <c r="BJ36" s="37">
        <v>0</v>
      </c>
      <c r="BK36" s="32" t="s">
        <v>12</v>
      </c>
      <c r="BL36" s="32" t="s">
        <v>13</v>
      </c>
      <c r="BM36" s="33">
        <v>46025.557349537034</v>
      </c>
      <c r="BN36" s="32" t="s">
        <v>28</v>
      </c>
      <c r="BO36" s="32" t="s">
        <v>29</v>
      </c>
      <c r="BP36" s="38">
        <v>68</v>
      </c>
      <c r="BQ36" s="42"/>
      <c r="BR36" s="39">
        <v>68</v>
      </c>
      <c r="BS36" s="22" t="s">
        <v>220</v>
      </c>
      <c r="BT36" s="4" t="str">
        <f t="shared" si="0"/>
        <v>120</v>
      </c>
      <c r="BU36" s="4" t="str">
        <f t="shared" si="1"/>
        <v>68</v>
      </c>
      <c r="BV36" s="4">
        <f t="shared" si="2"/>
        <v>15</v>
      </c>
      <c r="BW36" s="29">
        <f t="shared" si="3"/>
        <v>13424947.600000001</v>
      </c>
      <c r="BX36" s="4">
        <v>51.49</v>
      </c>
      <c r="BY36" s="29">
        <f t="shared" si="4"/>
        <v>18938.371285589044</v>
      </c>
    </row>
    <row r="37" spans="1:77" ht="15" hidden="1" customHeight="1" x14ac:dyDescent="0.35">
      <c r="A37" s="32" t="s">
        <v>217</v>
      </c>
      <c r="B37" s="32" t="s">
        <v>506</v>
      </c>
      <c r="C37" s="32" t="s">
        <v>90</v>
      </c>
      <c r="D37" s="32" t="s">
        <v>67</v>
      </c>
      <c r="E37" s="32" t="s">
        <v>68</v>
      </c>
      <c r="F37" s="32" t="s">
        <v>69</v>
      </c>
      <c r="G37" s="33">
        <v>46037</v>
      </c>
      <c r="H37" s="33">
        <v>46037</v>
      </c>
      <c r="I37" s="33">
        <v>46044</v>
      </c>
      <c r="J37" s="32" t="s">
        <v>11</v>
      </c>
      <c r="K37" s="34">
        <v>5800</v>
      </c>
      <c r="L37" s="34">
        <v>5800</v>
      </c>
      <c r="M37" s="34">
        <v>0</v>
      </c>
      <c r="N37" s="34">
        <v>0</v>
      </c>
      <c r="O37" s="34">
        <v>0</v>
      </c>
      <c r="P37" s="34">
        <v>5800</v>
      </c>
      <c r="Q37" s="34">
        <v>0</v>
      </c>
      <c r="R37" s="34">
        <v>5800</v>
      </c>
      <c r="S37" s="34">
        <v>113.787515547691</v>
      </c>
      <c r="T37" s="34">
        <v>5800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0</v>
      </c>
      <c r="AB37" s="35">
        <v>0</v>
      </c>
      <c r="AC37" s="35">
        <v>0</v>
      </c>
      <c r="AD37" s="35">
        <v>0</v>
      </c>
      <c r="AE37" s="35">
        <v>5800</v>
      </c>
      <c r="AF37" s="35">
        <v>0</v>
      </c>
      <c r="AG37" s="35">
        <v>0</v>
      </c>
      <c r="AH37" s="35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113.787515547691</v>
      </c>
      <c r="AT37" s="36">
        <v>0</v>
      </c>
      <c r="AU37" s="36">
        <v>0</v>
      </c>
      <c r="AV37" s="36">
        <v>0</v>
      </c>
      <c r="AW37" s="37">
        <v>0</v>
      </c>
      <c r="AX37" s="37">
        <v>0</v>
      </c>
      <c r="AY37" s="37">
        <v>0</v>
      </c>
      <c r="AZ37" s="37">
        <v>0</v>
      </c>
      <c r="BA37" s="37">
        <v>0</v>
      </c>
      <c r="BB37" s="37">
        <v>0</v>
      </c>
      <c r="BC37" s="37">
        <v>0</v>
      </c>
      <c r="BD37" s="37">
        <v>0</v>
      </c>
      <c r="BE37" s="37">
        <v>0</v>
      </c>
      <c r="BF37" s="37">
        <v>0</v>
      </c>
      <c r="BG37" s="37">
        <v>5800</v>
      </c>
      <c r="BH37" s="37">
        <v>0</v>
      </c>
      <c r="BI37" s="37">
        <v>0</v>
      </c>
      <c r="BJ37" s="37">
        <v>0</v>
      </c>
      <c r="BK37" s="32" t="s">
        <v>12</v>
      </c>
      <c r="BL37" s="32" t="s">
        <v>13</v>
      </c>
      <c r="BM37" s="33">
        <v>46036.641689814816</v>
      </c>
      <c r="BN37" s="32" t="s">
        <v>70</v>
      </c>
      <c r="BO37" s="32" t="s">
        <v>15</v>
      </c>
      <c r="BP37" s="38">
        <v>61</v>
      </c>
      <c r="BQ37" s="42"/>
      <c r="BR37" s="39">
        <v>61</v>
      </c>
      <c r="BS37" s="22" t="s">
        <v>220</v>
      </c>
      <c r="BT37" s="4" t="str">
        <f t="shared" si="0"/>
        <v>120</v>
      </c>
      <c r="BU37" s="4" t="str">
        <f t="shared" si="1"/>
        <v>61</v>
      </c>
      <c r="BV37" s="4">
        <f t="shared" si="2"/>
        <v>7</v>
      </c>
      <c r="BW37" s="29">
        <f t="shared" si="3"/>
        <v>353800</v>
      </c>
      <c r="BX37" s="4">
        <v>51.49</v>
      </c>
      <c r="BY37" s="29">
        <f t="shared" si="4"/>
        <v>499.1003287671233</v>
      </c>
    </row>
    <row r="38" spans="1:77" ht="15" hidden="1" customHeight="1" x14ac:dyDescent="0.35">
      <c r="A38" s="32" t="s">
        <v>217</v>
      </c>
      <c r="B38" s="32" t="s">
        <v>519</v>
      </c>
      <c r="C38" s="32" t="s">
        <v>30</v>
      </c>
      <c r="D38" s="32" t="s">
        <v>67</v>
      </c>
      <c r="E38" s="32" t="s">
        <v>68</v>
      </c>
      <c r="F38" s="32" t="s">
        <v>69</v>
      </c>
      <c r="G38" s="33">
        <v>46052</v>
      </c>
      <c r="H38" s="33">
        <v>46052</v>
      </c>
      <c r="I38" s="33">
        <v>46059</v>
      </c>
      <c r="J38" s="32" t="s">
        <v>11</v>
      </c>
      <c r="K38" s="34">
        <v>21504298.48</v>
      </c>
      <c r="L38" s="34">
        <v>21082645.57</v>
      </c>
      <c r="M38" s="34">
        <v>421652.91</v>
      </c>
      <c r="N38" s="34">
        <v>0</v>
      </c>
      <c r="O38" s="34">
        <v>0</v>
      </c>
      <c r="P38" s="34">
        <v>21504298.48</v>
      </c>
      <c r="Q38" s="34">
        <v>0</v>
      </c>
      <c r="R38" s="34">
        <v>21504298.48</v>
      </c>
      <c r="S38" s="34">
        <v>421882.87890261703</v>
      </c>
      <c r="T38" s="34">
        <v>21504298.48</v>
      </c>
      <c r="U38" s="35">
        <v>0</v>
      </c>
      <c r="V38" s="35">
        <v>0</v>
      </c>
      <c r="W38" s="35">
        <v>0</v>
      </c>
      <c r="X38" s="35">
        <v>0</v>
      </c>
      <c r="Y38" s="35">
        <v>0</v>
      </c>
      <c r="Z38" s="35">
        <v>0</v>
      </c>
      <c r="AA38" s="35">
        <v>0</v>
      </c>
      <c r="AB38" s="35">
        <v>0</v>
      </c>
      <c r="AC38" s="35">
        <v>0</v>
      </c>
      <c r="AD38" s="35">
        <v>21504298.48</v>
      </c>
      <c r="AE38" s="35">
        <v>0</v>
      </c>
      <c r="AF38" s="35">
        <v>0</v>
      </c>
      <c r="AG38" s="35">
        <v>0</v>
      </c>
      <c r="AH38" s="35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421882.87890261703</v>
      </c>
      <c r="AS38" s="36">
        <v>0</v>
      </c>
      <c r="AT38" s="36">
        <v>0</v>
      </c>
      <c r="AU38" s="36">
        <v>0</v>
      </c>
      <c r="AV38" s="36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21504298.48</v>
      </c>
      <c r="BG38" s="37">
        <v>0</v>
      </c>
      <c r="BH38" s="37">
        <v>0</v>
      </c>
      <c r="BI38" s="37">
        <v>0</v>
      </c>
      <c r="BJ38" s="37">
        <v>0</v>
      </c>
      <c r="BK38" s="32" t="s">
        <v>12</v>
      </c>
      <c r="BL38" s="32" t="s">
        <v>13</v>
      </c>
      <c r="BM38" s="33">
        <v>46048.502928240741</v>
      </c>
      <c r="BN38" s="32" t="s">
        <v>70</v>
      </c>
      <c r="BO38" s="32" t="s">
        <v>15</v>
      </c>
      <c r="BP38" s="38">
        <v>46</v>
      </c>
      <c r="BQ38" s="42"/>
      <c r="BR38" s="39">
        <v>46</v>
      </c>
      <c r="BS38" s="22" t="s">
        <v>220</v>
      </c>
      <c r="BT38" s="4" t="str">
        <f t="shared" si="0"/>
        <v>120</v>
      </c>
      <c r="BU38" s="4" t="str">
        <f t="shared" si="1"/>
        <v>46</v>
      </c>
      <c r="BV38" s="4">
        <f t="shared" si="2"/>
        <v>7</v>
      </c>
      <c r="BW38" s="29">
        <f t="shared" si="3"/>
        <v>989197730.08000004</v>
      </c>
      <c r="BX38" s="4">
        <v>51.49</v>
      </c>
      <c r="BY38" s="29">
        <f t="shared" si="4"/>
        <v>1395446.3321046359</v>
      </c>
    </row>
    <row r="39" spans="1:77" ht="15" hidden="1" customHeight="1" x14ac:dyDescent="0.35">
      <c r="A39" s="32" t="s">
        <v>217</v>
      </c>
      <c r="B39" s="32" t="s">
        <v>507</v>
      </c>
      <c r="C39" s="32" t="s">
        <v>30</v>
      </c>
      <c r="D39" s="32" t="s">
        <v>22</v>
      </c>
      <c r="E39" s="32" t="s">
        <v>23</v>
      </c>
      <c r="F39" s="32" t="s">
        <v>24</v>
      </c>
      <c r="G39" s="33">
        <v>46048</v>
      </c>
      <c r="H39" s="33">
        <v>46048</v>
      </c>
      <c r="I39" s="33">
        <v>46078</v>
      </c>
      <c r="J39" s="32" t="s">
        <v>11</v>
      </c>
      <c r="K39" s="34">
        <v>344519.07</v>
      </c>
      <c r="L39" s="34">
        <v>337763.79</v>
      </c>
      <c r="M39" s="34">
        <v>6755.28</v>
      </c>
      <c r="N39" s="34">
        <v>0</v>
      </c>
      <c r="O39" s="34">
        <v>0</v>
      </c>
      <c r="P39" s="34">
        <v>344519.07</v>
      </c>
      <c r="Q39" s="34">
        <v>0</v>
      </c>
      <c r="R39" s="34">
        <v>344519.07</v>
      </c>
      <c r="S39" s="34">
        <v>6758.9601782932696</v>
      </c>
      <c r="T39" s="34">
        <v>344519.07</v>
      </c>
      <c r="U39" s="35">
        <v>0</v>
      </c>
      <c r="V39" s="35">
        <v>0</v>
      </c>
      <c r="W39" s="35">
        <v>0</v>
      </c>
      <c r="X39" s="35">
        <v>0</v>
      </c>
      <c r="Y39" s="35">
        <v>0</v>
      </c>
      <c r="Z39" s="35">
        <v>0</v>
      </c>
      <c r="AA39" s="35">
        <v>0</v>
      </c>
      <c r="AB39" s="35">
        <v>0</v>
      </c>
      <c r="AC39" s="35">
        <v>344519.07</v>
      </c>
      <c r="AD39" s="35">
        <v>0</v>
      </c>
      <c r="AE39" s="35">
        <v>0</v>
      </c>
      <c r="AF39" s="35">
        <v>0</v>
      </c>
      <c r="AG39" s="35">
        <v>0</v>
      </c>
      <c r="AH39" s="35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6758.9601782932696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7">
        <v>0</v>
      </c>
      <c r="AX39" s="37">
        <v>0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344519.07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2" t="s">
        <v>12</v>
      </c>
      <c r="BL39" s="32" t="s">
        <v>13</v>
      </c>
      <c r="BM39" s="33">
        <v>46048.503136574072</v>
      </c>
      <c r="BN39" s="32" t="s">
        <v>25</v>
      </c>
      <c r="BO39" s="32" t="s">
        <v>26</v>
      </c>
      <c r="BP39" s="38">
        <v>27</v>
      </c>
      <c r="BQ39" s="42"/>
      <c r="BR39" s="39">
        <v>27</v>
      </c>
      <c r="BS39" s="22" t="s">
        <v>220</v>
      </c>
      <c r="BT39" s="4" t="str">
        <f t="shared" si="0"/>
        <v>120</v>
      </c>
      <c r="BU39" s="4" t="str">
        <f t="shared" si="1"/>
        <v>27</v>
      </c>
      <c r="BV39" s="4">
        <f t="shared" si="2"/>
        <v>30</v>
      </c>
      <c r="BW39" s="29">
        <f t="shared" si="3"/>
        <v>9302014.8900000006</v>
      </c>
      <c r="BX39" s="4">
        <v>51.49</v>
      </c>
      <c r="BY39" s="29">
        <f t="shared" si="4"/>
        <v>13122.212237975344</v>
      </c>
    </row>
    <row r="40" spans="1:77" ht="15" hidden="1" customHeight="1" x14ac:dyDescent="0.35">
      <c r="A40" s="32" t="s">
        <v>217</v>
      </c>
      <c r="B40" s="32" t="s">
        <v>508</v>
      </c>
      <c r="C40" s="32" t="s">
        <v>30</v>
      </c>
      <c r="D40" s="32" t="s">
        <v>387</v>
      </c>
      <c r="E40" s="32" t="s">
        <v>114</v>
      </c>
      <c r="F40" s="32" t="s">
        <v>388</v>
      </c>
      <c r="G40" s="33">
        <v>46048</v>
      </c>
      <c r="H40" s="33">
        <v>46048</v>
      </c>
      <c r="I40" s="33">
        <v>46063</v>
      </c>
      <c r="J40" s="32" t="s">
        <v>11</v>
      </c>
      <c r="K40" s="34">
        <v>795922.18</v>
      </c>
      <c r="L40" s="34">
        <v>780315.86</v>
      </c>
      <c r="M40" s="34">
        <v>15606.32</v>
      </c>
      <c r="N40" s="34">
        <v>495922.18</v>
      </c>
      <c r="O40" s="34">
        <v>0</v>
      </c>
      <c r="P40" s="34">
        <v>300000</v>
      </c>
      <c r="Q40" s="34">
        <v>0</v>
      </c>
      <c r="R40" s="34">
        <v>300000</v>
      </c>
      <c r="S40" s="34">
        <v>5885.5611490184801</v>
      </c>
      <c r="T40" s="34">
        <v>300000</v>
      </c>
      <c r="U40" s="35">
        <v>0</v>
      </c>
      <c r="V40" s="35">
        <v>0</v>
      </c>
      <c r="W40" s="35">
        <v>0</v>
      </c>
      <c r="X40" s="35">
        <v>0</v>
      </c>
      <c r="Y40" s="35">
        <v>0</v>
      </c>
      <c r="Z40" s="35">
        <v>0</v>
      </c>
      <c r="AA40" s="35">
        <v>0</v>
      </c>
      <c r="AB40" s="35">
        <v>0</v>
      </c>
      <c r="AC40" s="35">
        <v>0</v>
      </c>
      <c r="AD40" s="35">
        <v>300000</v>
      </c>
      <c r="AE40" s="35">
        <v>0</v>
      </c>
      <c r="AF40" s="35">
        <v>0</v>
      </c>
      <c r="AG40" s="35">
        <v>0</v>
      </c>
      <c r="AH40" s="35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5885.5611490184801</v>
      </c>
      <c r="AS40" s="36">
        <v>0</v>
      </c>
      <c r="AT40" s="36">
        <v>0</v>
      </c>
      <c r="AU40" s="36">
        <v>0</v>
      </c>
      <c r="AV40" s="36">
        <v>0</v>
      </c>
      <c r="AW40" s="37">
        <v>0</v>
      </c>
      <c r="AX40" s="37">
        <v>0</v>
      </c>
      <c r="AY40" s="37"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300000</v>
      </c>
      <c r="BG40" s="37">
        <v>0</v>
      </c>
      <c r="BH40" s="37">
        <v>0</v>
      </c>
      <c r="BI40" s="37">
        <v>0</v>
      </c>
      <c r="BJ40" s="37">
        <v>0</v>
      </c>
      <c r="BK40" s="32" t="s">
        <v>12</v>
      </c>
      <c r="BL40" s="32" t="s">
        <v>13</v>
      </c>
      <c r="BM40" s="33">
        <v>46048.504467592589</v>
      </c>
      <c r="BN40" s="32" t="s">
        <v>28</v>
      </c>
      <c r="BO40" s="32" t="s">
        <v>29</v>
      </c>
      <c r="BP40" s="38">
        <v>42</v>
      </c>
      <c r="BQ40" s="42"/>
      <c r="BR40" s="39">
        <v>42</v>
      </c>
      <c r="BS40" s="22" t="s">
        <v>220</v>
      </c>
      <c r="BT40" s="4" t="str">
        <f t="shared" si="0"/>
        <v>120</v>
      </c>
      <c r="BU40" s="4" t="str">
        <f t="shared" si="1"/>
        <v>42</v>
      </c>
      <c r="BV40" s="4">
        <f t="shared" si="2"/>
        <v>15</v>
      </c>
      <c r="BW40" s="29">
        <f t="shared" si="3"/>
        <v>12600000</v>
      </c>
      <c r="BX40" s="4">
        <v>51.49</v>
      </c>
      <c r="BY40" s="29">
        <f t="shared" si="4"/>
        <v>17774.630136986303</v>
      </c>
    </row>
    <row r="41" spans="1:77" ht="15" customHeight="1" x14ac:dyDescent="0.35">
      <c r="A41" s="32" t="s">
        <v>217</v>
      </c>
      <c r="B41" s="32" t="s">
        <v>522</v>
      </c>
      <c r="C41" s="32" t="s">
        <v>7</v>
      </c>
      <c r="D41" s="32" t="s">
        <v>8</v>
      </c>
      <c r="E41" s="32" t="s">
        <v>9</v>
      </c>
      <c r="F41" s="32" t="s">
        <v>10</v>
      </c>
      <c r="G41" s="33">
        <v>46052</v>
      </c>
      <c r="H41" s="33">
        <v>46052</v>
      </c>
      <c r="I41" s="33">
        <v>46059</v>
      </c>
      <c r="J41" s="32" t="s">
        <v>11</v>
      </c>
      <c r="K41" s="34">
        <v>12373494.539999999</v>
      </c>
      <c r="L41" s="34">
        <v>12130877</v>
      </c>
      <c r="M41" s="34">
        <v>242617.54</v>
      </c>
      <c r="N41" s="34">
        <v>0</v>
      </c>
      <c r="O41" s="34">
        <v>0</v>
      </c>
      <c r="P41" s="34">
        <v>12373494.539999999</v>
      </c>
      <c r="Q41" s="34">
        <v>0</v>
      </c>
      <c r="R41" s="34">
        <v>12373494.539999999</v>
      </c>
      <c r="S41" s="34">
        <v>242749.86247405401</v>
      </c>
      <c r="T41" s="34">
        <v>12373494.539999999</v>
      </c>
      <c r="U41" s="35">
        <v>0</v>
      </c>
      <c r="V41" s="35">
        <v>0</v>
      </c>
      <c r="W41" s="35">
        <v>0</v>
      </c>
      <c r="X41" s="35">
        <v>0</v>
      </c>
      <c r="Y41" s="35">
        <v>0</v>
      </c>
      <c r="Z41" s="35">
        <v>0</v>
      </c>
      <c r="AA41" s="35">
        <v>0</v>
      </c>
      <c r="AB41" s="35">
        <v>0</v>
      </c>
      <c r="AC41" s="35">
        <v>0</v>
      </c>
      <c r="AD41" s="35">
        <v>12373494.539999999</v>
      </c>
      <c r="AE41" s="35">
        <v>0</v>
      </c>
      <c r="AF41" s="35">
        <v>0</v>
      </c>
      <c r="AG41" s="35">
        <v>0</v>
      </c>
      <c r="AH41" s="35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242749.86247405401</v>
      </c>
      <c r="AS41" s="36">
        <v>0</v>
      </c>
      <c r="AT41" s="36">
        <v>0</v>
      </c>
      <c r="AU41" s="36">
        <v>0</v>
      </c>
      <c r="AV41" s="36">
        <v>0</v>
      </c>
      <c r="AW41" s="37">
        <v>0</v>
      </c>
      <c r="AX41" s="37">
        <v>0</v>
      </c>
      <c r="AY41" s="37">
        <v>0</v>
      </c>
      <c r="AZ41" s="37">
        <v>0</v>
      </c>
      <c r="BA41" s="37">
        <v>0</v>
      </c>
      <c r="BB41" s="37">
        <v>0</v>
      </c>
      <c r="BC41" s="37">
        <v>0</v>
      </c>
      <c r="BD41" s="37">
        <v>0</v>
      </c>
      <c r="BE41" s="37">
        <v>0</v>
      </c>
      <c r="BF41" s="37">
        <v>12373494.539999999</v>
      </c>
      <c r="BG41" s="37">
        <v>0</v>
      </c>
      <c r="BH41" s="37">
        <v>0</v>
      </c>
      <c r="BI41" s="37">
        <v>0</v>
      </c>
      <c r="BJ41" s="37">
        <v>0</v>
      </c>
      <c r="BK41" s="32" t="s">
        <v>12</v>
      </c>
      <c r="BL41" s="32" t="s">
        <v>13</v>
      </c>
      <c r="BM41" s="33">
        <v>46048.62767361111</v>
      </c>
      <c r="BN41" s="32" t="s">
        <v>14</v>
      </c>
      <c r="BO41" s="32" t="s">
        <v>15</v>
      </c>
      <c r="BP41" s="38">
        <v>46</v>
      </c>
      <c r="BQ41" s="42"/>
      <c r="BR41" s="39">
        <v>46</v>
      </c>
      <c r="BS41" s="22" t="s">
        <v>220</v>
      </c>
      <c r="BT41" s="4" t="str">
        <f t="shared" si="0"/>
        <v>120</v>
      </c>
      <c r="BU41" s="4" t="str">
        <f t="shared" si="1"/>
        <v>46</v>
      </c>
      <c r="BV41" s="4">
        <f t="shared" si="2"/>
        <v>7</v>
      </c>
      <c r="BW41" s="29">
        <f t="shared" si="3"/>
        <v>569180748.83999991</v>
      </c>
      <c r="BX41" s="4">
        <v>51.49</v>
      </c>
      <c r="BY41" s="29">
        <f t="shared" si="4"/>
        <v>802934.70569237252</v>
      </c>
    </row>
    <row r="42" spans="1:77" ht="15" hidden="1" customHeight="1" x14ac:dyDescent="0.35">
      <c r="A42" s="32" t="s">
        <v>217</v>
      </c>
      <c r="B42" s="32" t="s">
        <v>523</v>
      </c>
      <c r="C42" s="32" t="s">
        <v>7</v>
      </c>
      <c r="D42" s="32" t="s">
        <v>311</v>
      </c>
      <c r="E42" s="32" t="s">
        <v>312</v>
      </c>
      <c r="F42" s="32" t="s">
        <v>104</v>
      </c>
      <c r="G42" s="33">
        <v>46052</v>
      </c>
      <c r="H42" s="33">
        <v>46052</v>
      </c>
      <c r="I42" s="33">
        <v>46067</v>
      </c>
      <c r="J42" s="32" t="s">
        <v>11</v>
      </c>
      <c r="K42" s="34">
        <v>209860.4</v>
      </c>
      <c r="L42" s="34">
        <v>205745.49</v>
      </c>
      <c r="M42" s="34">
        <v>4114.91</v>
      </c>
      <c r="N42" s="34">
        <v>0</v>
      </c>
      <c r="O42" s="34">
        <v>0</v>
      </c>
      <c r="P42" s="34">
        <v>209860.4</v>
      </c>
      <c r="Q42" s="34">
        <v>0</v>
      </c>
      <c r="R42" s="34">
        <v>209860.4</v>
      </c>
      <c r="S42" s="34">
        <v>4117.1540565249297</v>
      </c>
      <c r="T42" s="34">
        <v>209860.4</v>
      </c>
      <c r="U42" s="35">
        <v>0</v>
      </c>
      <c r="V42" s="35">
        <v>0</v>
      </c>
      <c r="W42" s="35">
        <v>0</v>
      </c>
      <c r="X42" s="35">
        <v>0</v>
      </c>
      <c r="Y42" s="35">
        <v>0</v>
      </c>
      <c r="Z42" s="35">
        <v>0</v>
      </c>
      <c r="AA42" s="35">
        <v>0</v>
      </c>
      <c r="AB42" s="35">
        <v>0</v>
      </c>
      <c r="AC42" s="35">
        <v>0</v>
      </c>
      <c r="AD42" s="35">
        <v>209860.4</v>
      </c>
      <c r="AE42" s="35">
        <v>0</v>
      </c>
      <c r="AF42" s="35">
        <v>0</v>
      </c>
      <c r="AG42" s="35">
        <v>0</v>
      </c>
      <c r="AH42" s="35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4117.1540565249297</v>
      </c>
      <c r="AS42" s="36">
        <v>0</v>
      </c>
      <c r="AT42" s="36">
        <v>0</v>
      </c>
      <c r="AU42" s="36">
        <v>0</v>
      </c>
      <c r="AV42" s="36">
        <v>0</v>
      </c>
      <c r="AW42" s="37">
        <v>0</v>
      </c>
      <c r="AX42" s="37">
        <v>0</v>
      </c>
      <c r="AY42" s="37"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209860.4</v>
      </c>
      <c r="BG42" s="37">
        <v>0</v>
      </c>
      <c r="BH42" s="37">
        <v>0</v>
      </c>
      <c r="BI42" s="37">
        <v>0</v>
      </c>
      <c r="BJ42" s="37">
        <v>0</v>
      </c>
      <c r="BK42" s="32" t="s">
        <v>12</v>
      </c>
      <c r="BL42" s="32" t="s">
        <v>13</v>
      </c>
      <c r="BM42" s="33">
        <v>46048.62809027778</v>
      </c>
      <c r="BN42" s="32" t="s">
        <v>356</v>
      </c>
      <c r="BO42" s="32" t="s">
        <v>15</v>
      </c>
      <c r="BP42" s="38">
        <v>38</v>
      </c>
      <c r="BQ42" s="42"/>
      <c r="BR42" s="39">
        <v>38</v>
      </c>
      <c r="BS42" s="22" t="s">
        <v>220</v>
      </c>
      <c r="BT42" s="4" t="str">
        <f t="shared" si="0"/>
        <v>120</v>
      </c>
      <c r="BU42" s="4" t="str">
        <f t="shared" si="1"/>
        <v>38</v>
      </c>
      <c r="BV42" s="4">
        <f t="shared" si="2"/>
        <v>15</v>
      </c>
      <c r="BW42" s="29">
        <f t="shared" si="3"/>
        <v>7974695.2000000002</v>
      </c>
      <c r="BX42" s="4">
        <v>51.49</v>
      </c>
      <c r="BY42" s="29">
        <f t="shared" si="4"/>
        <v>11249.782352000002</v>
      </c>
    </row>
    <row r="43" spans="1:77" ht="15" hidden="1" customHeight="1" x14ac:dyDescent="0.35">
      <c r="A43" s="32" t="s">
        <v>217</v>
      </c>
      <c r="B43" s="32" t="s">
        <v>510</v>
      </c>
      <c r="C43" s="32" t="s">
        <v>16</v>
      </c>
      <c r="D43" s="32" t="s">
        <v>59</v>
      </c>
      <c r="E43" s="32" t="s">
        <v>60</v>
      </c>
      <c r="F43" s="32" t="s">
        <v>61</v>
      </c>
      <c r="G43" s="33">
        <v>46049</v>
      </c>
      <c r="H43" s="33">
        <v>46049</v>
      </c>
      <c r="I43" s="33">
        <v>46109</v>
      </c>
      <c r="J43" s="32" t="s">
        <v>11</v>
      </c>
      <c r="K43" s="34">
        <v>180357.97</v>
      </c>
      <c r="L43" s="34">
        <v>176821.54</v>
      </c>
      <c r="M43" s="34">
        <v>3536.43</v>
      </c>
      <c r="N43" s="34">
        <v>0</v>
      </c>
      <c r="O43" s="34">
        <v>0</v>
      </c>
      <c r="P43" s="34">
        <v>180357.97</v>
      </c>
      <c r="Q43" s="34">
        <v>180357.97</v>
      </c>
      <c r="R43" s="34">
        <v>180357.97</v>
      </c>
      <c r="S43" s="34">
        <v>3538.3595371594702</v>
      </c>
      <c r="T43" s="34">
        <v>180357.97</v>
      </c>
      <c r="U43" s="35">
        <v>180357.97</v>
      </c>
      <c r="V43" s="35">
        <v>0</v>
      </c>
      <c r="W43" s="35">
        <v>0</v>
      </c>
      <c r="X43" s="35">
        <v>0</v>
      </c>
      <c r="Y43" s="35">
        <v>0</v>
      </c>
      <c r="Z43" s="35">
        <v>0</v>
      </c>
      <c r="AA43" s="35">
        <v>0</v>
      </c>
      <c r="AB43" s="35">
        <v>0</v>
      </c>
      <c r="AC43" s="35">
        <v>0</v>
      </c>
      <c r="AD43" s="35">
        <v>0</v>
      </c>
      <c r="AE43" s="35">
        <v>0</v>
      </c>
      <c r="AF43" s="35">
        <v>0</v>
      </c>
      <c r="AG43" s="35">
        <v>0</v>
      </c>
      <c r="AH43" s="35">
        <v>0</v>
      </c>
      <c r="AI43" s="36">
        <v>3538.3595371594702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7">
        <v>180357.97</v>
      </c>
      <c r="AX43" s="37">
        <v>0</v>
      </c>
      <c r="AY43" s="37">
        <v>0</v>
      </c>
      <c r="AZ43" s="37">
        <v>0</v>
      </c>
      <c r="BA43" s="37">
        <v>0</v>
      </c>
      <c r="BB43" s="37">
        <v>0</v>
      </c>
      <c r="BC43" s="37">
        <v>0</v>
      </c>
      <c r="BD43" s="37">
        <v>0</v>
      </c>
      <c r="BE43" s="37">
        <v>0</v>
      </c>
      <c r="BF43" s="37">
        <v>0</v>
      </c>
      <c r="BG43" s="37">
        <v>0</v>
      </c>
      <c r="BH43" s="37">
        <v>0</v>
      </c>
      <c r="BI43" s="37">
        <v>0</v>
      </c>
      <c r="BJ43" s="37">
        <v>0</v>
      </c>
      <c r="BK43" s="32" t="s">
        <v>12</v>
      </c>
      <c r="BL43" s="32" t="s">
        <v>13</v>
      </c>
      <c r="BM43" s="33">
        <v>46048.883946759262</v>
      </c>
      <c r="BN43" s="32" t="s">
        <v>28</v>
      </c>
      <c r="BO43" s="32" t="s">
        <v>29</v>
      </c>
      <c r="BP43" s="38">
        <v>-4</v>
      </c>
      <c r="BQ43" s="42"/>
      <c r="BR43" s="39">
        <v>-4</v>
      </c>
      <c r="BS43" s="22" t="s">
        <v>221</v>
      </c>
      <c r="BT43" s="4" t="str">
        <f t="shared" si="0"/>
        <v>120</v>
      </c>
      <c r="BU43" s="4" t="str">
        <f t="shared" si="1"/>
        <v>-4</v>
      </c>
      <c r="BV43" s="4">
        <f t="shared" si="2"/>
        <v>60</v>
      </c>
      <c r="BW43" s="29">
        <f t="shared" si="3"/>
        <v>-721431.88</v>
      </c>
      <c r="BX43" s="4">
        <v>51.49</v>
      </c>
      <c r="BY43" s="29">
        <f t="shared" si="4"/>
        <v>-1017.7130822246575</v>
      </c>
    </row>
    <row r="44" spans="1:77" ht="15" hidden="1" customHeight="1" x14ac:dyDescent="0.35">
      <c r="A44" s="32" t="s">
        <v>217</v>
      </c>
      <c r="B44" s="32" t="s">
        <v>511</v>
      </c>
      <c r="C44" s="32" t="s">
        <v>16</v>
      </c>
      <c r="D44" s="32" t="s">
        <v>59</v>
      </c>
      <c r="E44" s="32" t="s">
        <v>60</v>
      </c>
      <c r="F44" s="32" t="s">
        <v>61</v>
      </c>
      <c r="G44" s="33">
        <v>46049</v>
      </c>
      <c r="H44" s="33">
        <v>46049</v>
      </c>
      <c r="I44" s="33">
        <v>46109</v>
      </c>
      <c r="J44" s="32" t="s">
        <v>11</v>
      </c>
      <c r="K44" s="34">
        <v>96464.75</v>
      </c>
      <c r="L44" s="34">
        <v>94573.28</v>
      </c>
      <c r="M44" s="34">
        <v>1891.47</v>
      </c>
      <c r="N44" s="34">
        <v>0</v>
      </c>
      <c r="O44" s="34">
        <v>0</v>
      </c>
      <c r="P44" s="34">
        <v>96464.75</v>
      </c>
      <c r="Q44" s="34">
        <v>96464.75</v>
      </c>
      <c r="R44" s="34">
        <v>96464.75</v>
      </c>
      <c r="S44" s="34">
        <v>1892.4972828325999</v>
      </c>
      <c r="T44" s="34">
        <v>96464.75</v>
      </c>
      <c r="U44" s="35">
        <v>96464.75</v>
      </c>
      <c r="V44" s="35">
        <v>0</v>
      </c>
      <c r="W44" s="35">
        <v>0</v>
      </c>
      <c r="X44" s="35">
        <v>0</v>
      </c>
      <c r="Y44" s="35">
        <v>0</v>
      </c>
      <c r="Z44" s="35">
        <v>0</v>
      </c>
      <c r="AA44" s="35">
        <v>0</v>
      </c>
      <c r="AB44" s="35">
        <v>0</v>
      </c>
      <c r="AC44" s="35">
        <v>0</v>
      </c>
      <c r="AD44" s="35">
        <v>0</v>
      </c>
      <c r="AE44" s="35">
        <v>0</v>
      </c>
      <c r="AF44" s="35">
        <v>0</v>
      </c>
      <c r="AG44" s="35">
        <v>0</v>
      </c>
      <c r="AH44" s="35">
        <v>0</v>
      </c>
      <c r="AI44" s="36">
        <v>1892.4972828325999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7">
        <v>96464.75</v>
      </c>
      <c r="AX44" s="37">
        <v>0</v>
      </c>
      <c r="AY44" s="37"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2" t="s">
        <v>12</v>
      </c>
      <c r="BL44" s="32" t="s">
        <v>13</v>
      </c>
      <c r="BM44" s="33">
        <v>46048.884166666663</v>
      </c>
      <c r="BN44" s="32" t="s">
        <v>28</v>
      </c>
      <c r="BO44" s="32" t="s">
        <v>29</v>
      </c>
      <c r="BP44" s="38">
        <v>-4</v>
      </c>
      <c r="BQ44" s="42"/>
      <c r="BR44" s="39">
        <v>-4</v>
      </c>
      <c r="BS44" s="22" t="s">
        <v>221</v>
      </c>
      <c r="BT44" s="4" t="str">
        <f t="shared" si="0"/>
        <v>120</v>
      </c>
      <c r="BU44" s="4" t="str">
        <f t="shared" si="1"/>
        <v>-4</v>
      </c>
      <c r="BV44" s="4">
        <f t="shared" si="2"/>
        <v>60</v>
      </c>
      <c r="BW44" s="29">
        <f t="shared" si="3"/>
        <v>-385859</v>
      </c>
      <c r="BX44" s="4">
        <v>51.49</v>
      </c>
      <c r="BY44" s="29">
        <f t="shared" si="4"/>
        <v>-544.3254769863014</v>
      </c>
    </row>
    <row r="45" spans="1:77" ht="15" hidden="1" customHeight="1" x14ac:dyDescent="0.35">
      <c r="A45" s="32" t="s">
        <v>217</v>
      </c>
      <c r="B45" s="32" t="s">
        <v>524</v>
      </c>
      <c r="C45" s="32" t="s">
        <v>16</v>
      </c>
      <c r="D45" s="32" t="s">
        <v>436</v>
      </c>
      <c r="E45" s="32" t="s">
        <v>365</v>
      </c>
      <c r="F45" s="32" t="s">
        <v>437</v>
      </c>
      <c r="G45" s="33">
        <v>46052</v>
      </c>
      <c r="H45" s="33">
        <v>46052</v>
      </c>
      <c r="I45" s="33">
        <v>46082</v>
      </c>
      <c r="J45" s="32" t="s">
        <v>11</v>
      </c>
      <c r="K45" s="34">
        <v>1051035.5900000001</v>
      </c>
      <c r="L45" s="34">
        <v>1030427.05</v>
      </c>
      <c r="M45" s="34">
        <v>20608.54</v>
      </c>
      <c r="N45" s="34">
        <v>0</v>
      </c>
      <c r="O45" s="34">
        <v>0</v>
      </c>
      <c r="P45" s="34">
        <v>1051035.5900000001</v>
      </c>
      <c r="Q45" s="34">
        <v>0</v>
      </c>
      <c r="R45" s="34">
        <v>1051035.5900000001</v>
      </c>
      <c r="S45" s="34">
        <v>20619.780782465699</v>
      </c>
      <c r="T45" s="34">
        <v>1051035.5900000001</v>
      </c>
      <c r="U45" s="35">
        <v>0</v>
      </c>
      <c r="V45" s="35">
        <v>0</v>
      </c>
      <c r="W45" s="35">
        <v>0</v>
      </c>
      <c r="X45" s="35">
        <v>0</v>
      </c>
      <c r="Y45" s="35">
        <v>0</v>
      </c>
      <c r="Z45" s="35">
        <v>0</v>
      </c>
      <c r="AA45" s="35">
        <v>0</v>
      </c>
      <c r="AB45" s="35">
        <v>0</v>
      </c>
      <c r="AC45" s="35">
        <v>1051035.5900000001</v>
      </c>
      <c r="AD45" s="35">
        <v>0</v>
      </c>
      <c r="AE45" s="35">
        <v>0</v>
      </c>
      <c r="AF45" s="35">
        <v>0</v>
      </c>
      <c r="AG45" s="35">
        <v>0</v>
      </c>
      <c r="AH45" s="35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20619.780782465699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7">
        <v>0</v>
      </c>
      <c r="AX45" s="37">
        <v>0</v>
      </c>
      <c r="AY45" s="37">
        <v>0</v>
      </c>
      <c r="AZ45" s="37">
        <v>0</v>
      </c>
      <c r="BA45" s="37">
        <v>0</v>
      </c>
      <c r="BB45" s="37">
        <v>0</v>
      </c>
      <c r="BC45" s="37">
        <v>0</v>
      </c>
      <c r="BD45" s="37">
        <v>0</v>
      </c>
      <c r="BE45" s="37">
        <v>1051035.5900000001</v>
      </c>
      <c r="BF45" s="37">
        <v>0</v>
      </c>
      <c r="BG45" s="37">
        <v>0</v>
      </c>
      <c r="BH45" s="37">
        <v>0</v>
      </c>
      <c r="BI45" s="37">
        <v>0</v>
      </c>
      <c r="BJ45" s="37">
        <v>0</v>
      </c>
      <c r="BK45" s="32" t="s">
        <v>12</v>
      </c>
      <c r="BL45" s="32" t="s">
        <v>13</v>
      </c>
      <c r="BM45" s="33">
        <v>46049.354745370372</v>
      </c>
      <c r="BN45" s="32" t="s">
        <v>438</v>
      </c>
      <c r="BO45" s="32" t="s">
        <v>15</v>
      </c>
      <c r="BP45" s="38">
        <v>23</v>
      </c>
      <c r="BQ45" s="42"/>
      <c r="BR45" s="39">
        <v>23</v>
      </c>
      <c r="BS45" s="22" t="s">
        <v>220</v>
      </c>
      <c r="BT45" s="4" t="str">
        <f t="shared" si="0"/>
        <v>120</v>
      </c>
      <c r="BU45" s="4" t="str">
        <f t="shared" si="1"/>
        <v>23</v>
      </c>
      <c r="BV45" s="4">
        <f t="shared" si="2"/>
        <v>30</v>
      </c>
      <c r="BW45" s="29">
        <f t="shared" si="3"/>
        <v>24173818.57</v>
      </c>
      <c r="BX45" s="4">
        <v>51.49</v>
      </c>
      <c r="BY45" s="29">
        <f t="shared" si="4"/>
        <v>34101.641593679451</v>
      </c>
    </row>
    <row r="46" spans="1:77" ht="15" hidden="1" customHeight="1" x14ac:dyDescent="0.35">
      <c r="A46" s="32" t="s">
        <v>217</v>
      </c>
      <c r="B46" s="32" t="s">
        <v>525</v>
      </c>
      <c r="C46" s="32" t="s">
        <v>16</v>
      </c>
      <c r="D46" s="32" t="s">
        <v>110</v>
      </c>
      <c r="E46" s="32" t="s">
        <v>111</v>
      </c>
      <c r="F46" s="32" t="s">
        <v>46</v>
      </c>
      <c r="G46" s="33">
        <v>46053</v>
      </c>
      <c r="H46" s="33">
        <v>46053</v>
      </c>
      <c r="I46" s="33">
        <v>46083</v>
      </c>
      <c r="J46" s="32" t="s">
        <v>11</v>
      </c>
      <c r="K46" s="34">
        <v>2402685.0099999998</v>
      </c>
      <c r="L46" s="34">
        <v>2355573.54</v>
      </c>
      <c r="M46" s="34">
        <v>47111.47</v>
      </c>
      <c r="N46" s="34">
        <v>0</v>
      </c>
      <c r="O46" s="34">
        <v>0</v>
      </c>
      <c r="P46" s="34">
        <v>2402685.0099999998</v>
      </c>
      <c r="Q46" s="34">
        <v>0</v>
      </c>
      <c r="R46" s="34">
        <v>2402685.0099999998</v>
      </c>
      <c r="S46" s="34">
        <v>47137.165160616998</v>
      </c>
      <c r="T46" s="34">
        <v>2402685.0099999998</v>
      </c>
      <c r="U46" s="35">
        <v>0</v>
      </c>
      <c r="V46" s="35">
        <v>0</v>
      </c>
      <c r="W46" s="35">
        <v>0</v>
      </c>
      <c r="X46" s="35">
        <v>0</v>
      </c>
      <c r="Y46" s="35">
        <v>0</v>
      </c>
      <c r="Z46" s="35">
        <v>0</v>
      </c>
      <c r="AA46" s="35">
        <v>0</v>
      </c>
      <c r="AB46" s="35">
        <v>0</v>
      </c>
      <c r="AC46" s="35">
        <v>2402685.0099999998</v>
      </c>
      <c r="AD46" s="35">
        <v>0</v>
      </c>
      <c r="AE46" s="35">
        <v>0</v>
      </c>
      <c r="AF46" s="35">
        <v>0</v>
      </c>
      <c r="AG46" s="35">
        <v>0</v>
      </c>
      <c r="AH46" s="35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47137.165160616998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7">
        <v>0</v>
      </c>
      <c r="AX46" s="37">
        <v>0</v>
      </c>
      <c r="AY46" s="37"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2402685.0099999998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2" t="s">
        <v>12</v>
      </c>
      <c r="BL46" s="32" t="s">
        <v>13</v>
      </c>
      <c r="BM46" s="33">
        <v>46049.355162037034</v>
      </c>
      <c r="BN46" s="32" t="s">
        <v>112</v>
      </c>
      <c r="BO46" s="32" t="s">
        <v>15</v>
      </c>
      <c r="BP46" s="38">
        <v>22</v>
      </c>
      <c r="BQ46" s="42"/>
      <c r="BR46" s="39">
        <v>22</v>
      </c>
      <c r="BS46" s="22" t="s">
        <v>220</v>
      </c>
      <c r="BT46" s="4" t="str">
        <f t="shared" si="0"/>
        <v>120</v>
      </c>
      <c r="BU46" s="4" t="str">
        <f t="shared" si="1"/>
        <v>22</v>
      </c>
      <c r="BV46" s="4">
        <f t="shared" si="2"/>
        <v>30</v>
      </c>
      <c r="BW46" s="29">
        <f t="shared" si="3"/>
        <v>52859070.219999999</v>
      </c>
      <c r="BX46" s="4">
        <v>51.49</v>
      </c>
      <c r="BY46" s="29">
        <f t="shared" si="4"/>
        <v>74567.493852816435</v>
      </c>
    </row>
    <row r="47" spans="1:77" ht="15" hidden="1" customHeight="1" x14ac:dyDescent="0.35">
      <c r="A47" s="32" t="s">
        <v>217</v>
      </c>
      <c r="B47" s="32" t="s">
        <v>526</v>
      </c>
      <c r="C47" s="32" t="s">
        <v>16</v>
      </c>
      <c r="D47" s="32" t="s">
        <v>110</v>
      </c>
      <c r="E47" s="32" t="s">
        <v>111</v>
      </c>
      <c r="F47" s="32" t="s">
        <v>46</v>
      </c>
      <c r="G47" s="33">
        <v>46053</v>
      </c>
      <c r="H47" s="33">
        <v>46053</v>
      </c>
      <c r="I47" s="33">
        <v>46083</v>
      </c>
      <c r="J47" s="32" t="s">
        <v>11</v>
      </c>
      <c r="K47" s="34">
        <v>1805057.29</v>
      </c>
      <c r="L47" s="34">
        <v>1769664.01</v>
      </c>
      <c r="M47" s="34">
        <v>35393.279999999999</v>
      </c>
      <c r="N47" s="34">
        <v>0</v>
      </c>
      <c r="O47" s="34">
        <v>0</v>
      </c>
      <c r="P47" s="34">
        <v>1805057.29</v>
      </c>
      <c r="Q47" s="34">
        <v>0</v>
      </c>
      <c r="R47" s="34">
        <v>1805057.29</v>
      </c>
      <c r="S47" s="34">
        <v>35412.583525921997</v>
      </c>
      <c r="T47" s="34">
        <v>1805057.29</v>
      </c>
      <c r="U47" s="35">
        <v>0</v>
      </c>
      <c r="V47" s="35">
        <v>0</v>
      </c>
      <c r="W47" s="35">
        <v>0</v>
      </c>
      <c r="X47" s="35">
        <v>0</v>
      </c>
      <c r="Y47" s="35">
        <v>0</v>
      </c>
      <c r="Z47" s="35">
        <v>0</v>
      </c>
      <c r="AA47" s="35">
        <v>0</v>
      </c>
      <c r="AB47" s="35">
        <v>0</v>
      </c>
      <c r="AC47" s="35">
        <v>1805057.29</v>
      </c>
      <c r="AD47" s="35">
        <v>0</v>
      </c>
      <c r="AE47" s="35">
        <v>0</v>
      </c>
      <c r="AF47" s="35">
        <v>0</v>
      </c>
      <c r="AG47" s="35">
        <v>0</v>
      </c>
      <c r="AH47" s="35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35412.583525921997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7">
        <v>0</v>
      </c>
      <c r="AX47" s="37">
        <v>0</v>
      </c>
      <c r="AY47" s="37">
        <v>0</v>
      </c>
      <c r="AZ47" s="37">
        <v>0</v>
      </c>
      <c r="BA47" s="37">
        <v>0</v>
      </c>
      <c r="BB47" s="37">
        <v>0</v>
      </c>
      <c r="BC47" s="37">
        <v>0</v>
      </c>
      <c r="BD47" s="37">
        <v>0</v>
      </c>
      <c r="BE47" s="37">
        <v>1805057.29</v>
      </c>
      <c r="BF47" s="37">
        <v>0</v>
      </c>
      <c r="BG47" s="37">
        <v>0</v>
      </c>
      <c r="BH47" s="37">
        <v>0</v>
      </c>
      <c r="BI47" s="37">
        <v>0</v>
      </c>
      <c r="BJ47" s="37">
        <v>0</v>
      </c>
      <c r="BK47" s="32" t="s">
        <v>12</v>
      </c>
      <c r="BL47" s="32" t="s">
        <v>13</v>
      </c>
      <c r="BM47" s="33">
        <v>46049.355370370373</v>
      </c>
      <c r="BN47" s="32" t="s">
        <v>112</v>
      </c>
      <c r="BO47" s="32" t="s">
        <v>15</v>
      </c>
      <c r="BP47" s="38">
        <v>22</v>
      </c>
      <c r="BQ47" s="42"/>
      <c r="BR47" s="39">
        <v>22</v>
      </c>
      <c r="BS47" s="22" t="s">
        <v>220</v>
      </c>
      <c r="BT47" s="4" t="str">
        <f t="shared" si="0"/>
        <v>120</v>
      </c>
      <c r="BU47" s="4" t="str">
        <f t="shared" si="1"/>
        <v>22</v>
      </c>
      <c r="BV47" s="4">
        <f t="shared" si="2"/>
        <v>30</v>
      </c>
      <c r="BW47" s="29">
        <f t="shared" si="3"/>
        <v>39711260.380000003</v>
      </c>
      <c r="BX47" s="4">
        <v>51.49</v>
      </c>
      <c r="BY47" s="29">
        <f t="shared" si="4"/>
        <v>56020.076629210962</v>
      </c>
    </row>
    <row r="48" spans="1:77" ht="15" hidden="1" customHeight="1" x14ac:dyDescent="0.35">
      <c r="A48" s="32" t="s">
        <v>217</v>
      </c>
      <c r="B48" s="32" t="s">
        <v>527</v>
      </c>
      <c r="C48" s="32" t="s">
        <v>16</v>
      </c>
      <c r="D48" s="32" t="s">
        <v>110</v>
      </c>
      <c r="E48" s="32" t="s">
        <v>111</v>
      </c>
      <c r="F48" s="32" t="s">
        <v>46</v>
      </c>
      <c r="G48" s="33">
        <v>46053</v>
      </c>
      <c r="H48" s="33">
        <v>46053</v>
      </c>
      <c r="I48" s="33">
        <v>46083</v>
      </c>
      <c r="J48" s="32" t="s">
        <v>11</v>
      </c>
      <c r="K48" s="34">
        <v>1427379.4</v>
      </c>
      <c r="L48" s="34">
        <v>1399391.57</v>
      </c>
      <c r="M48" s="34">
        <v>27987.83</v>
      </c>
      <c r="N48" s="34">
        <v>0</v>
      </c>
      <c r="O48" s="34">
        <v>0</v>
      </c>
      <c r="P48" s="34">
        <v>1427379.4</v>
      </c>
      <c r="Q48" s="34">
        <v>0</v>
      </c>
      <c r="R48" s="34">
        <v>1427379.4</v>
      </c>
      <c r="S48" s="34">
        <v>28003.095805164401</v>
      </c>
      <c r="T48" s="34">
        <v>1427379.4</v>
      </c>
      <c r="U48" s="35">
        <v>0</v>
      </c>
      <c r="V48" s="35">
        <v>0</v>
      </c>
      <c r="W48" s="35">
        <v>0</v>
      </c>
      <c r="X48" s="35">
        <v>0</v>
      </c>
      <c r="Y48" s="35">
        <v>0</v>
      </c>
      <c r="Z48" s="35">
        <v>0</v>
      </c>
      <c r="AA48" s="35">
        <v>0</v>
      </c>
      <c r="AB48" s="35">
        <v>0</v>
      </c>
      <c r="AC48" s="35">
        <v>1427379.4</v>
      </c>
      <c r="AD48" s="35">
        <v>0</v>
      </c>
      <c r="AE48" s="35">
        <v>0</v>
      </c>
      <c r="AF48" s="35">
        <v>0</v>
      </c>
      <c r="AG48" s="35">
        <v>0</v>
      </c>
      <c r="AH48" s="35">
        <v>0</v>
      </c>
      <c r="AI48" s="36">
        <v>0</v>
      </c>
      <c r="AJ48" s="36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28003.095805164401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7">
        <v>0</v>
      </c>
      <c r="AX48" s="37">
        <v>0</v>
      </c>
      <c r="AY48" s="37"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1427379.4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2" t="s">
        <v>12</v>
      </c>
      <c r="BL48" s="32" t="s">
        <v>13</v>
      </c>
      <c r="BM48" s="33">
        <v>46049.355578703704</v>
      </c>
      <c r="BN48" s="32" t="s">
        <v>112</v>
      </c>
      <c r="BO48" s="32" t="s">
        <v>15</v>
      </c>
      <c r="BP48" s="38">
        <v>22</v>
      </c>
      <c r="BQ48" s="42"/>
      <c r="BR48" s="39">
        <v>22</v>
      </c>
      <c r="BS48" s="22" t="s">
        <v>220</v>
      </c>
      <c r="BT48" s="4" t="str">
        <f t="shared" si="0"/>
        <v>120</v>
      </c>
      <c r="BU48" s="4" t="str">
        <f t="shared" si="1"/>
        <v>22</v>
      </c>
      <c r="BV48" s="4">
        <f t="shared" si="2"/>
        <v>30</v>
      </c>
      <c r="BW48" s="29">
        <f t="shared" si="3"/>
        <v>31402346.799999997</v>
      </c>
      <c r="BX48" s="4">
        <v>51.49</v>
      </c>
      <c r="BY48" s="29">
        <f t="shared" si="4"/>
        <v>44298.817444712324</v>
      </c>
    </row>
    <row r="49" spans="1:77" ht="15" hidden="1" customHeight="1" x14ac:dyDescent="0.35">
      <c r="A49" s="32" t="s">
        <v>217</v>
      </c>
      <c r="B49" s="32" t="s">
        <v>512</v>
      </c>
      <c r="C49" s="32" t="s">
        <v>16</v>
      </c>
      <c r="D49" s="32" t="s">
        <v>50</v>
      </c>
      <c r="E49" s="32" t="s">
        <v>51</v>
      </c>
      <c r="F49" s="32" t="s">
        <v>52</v>
      </c>
      <c r="G49" s="33">
        <v>46049</v>
      </c>
      <c r="H49" s="33">
        <v>46049</v>
      </c>
      <c r="I49" s="33">
        <v>46109</v>
      </c>
      <c r="J49" s="32" t="s">
        <v>11</v>
      </c>
      <c r="K49" s="34">
        <v>96532.05</v>
      </c>
      <c r="L49" s="34">
        <v>94639.27</v>
      </c>
      <c r="M49" s="34">
        <v>1892.78</v>
      </c>
      <c r="N49" s="34">
        <v>0</v>
      </c>
      <c r="O49" s="34">
        <v>0</v>
      </c>
      <c r="P49" s="34">
        <v>96532.05</v>
      </c>
      <c r="Q49" s="34">
        <v>96532.05</v>
      </c>
      <c r="R49" s="34">
        <v>96532.05</v>
      </c>
      <c r="S49" s="34">
        <v>1893.8176103837</v>
      </c>
      <c r="T49" s="34">
        <v>96532.05</v>
      </c>
      <c r="U49" s="35">
        <v>96532.05</v>
      </c>
      <c r="V49" s="35">
        <v>0</v>
      </c>
      <c r="W49" s="35">
        <v>0</v>
      </c>
      <c r="X49" s="35">
        <v>0</v>
      </c>
      <c r="Y49" s="35">
        <v>0</v>
      </c>
      <c r="Z49" s="35">
        <v>0</v>
      </c>
      <c r="AA49" s="35">
        <v>0</v>
      </c>
      <c r="AB49" s="35">
        <v>0</v>
      </c>
      <c r="AC49" s="35">
        <v>0</v>
      </c>
      <c r="AD49" s="35">
        <v>0</v>
      </c>
      <c r="AE49" s="35">
        <v>0</v>
      </c>
      <c r="AF49" s="35">
        <v>0</v>
      </c>
      <c r="AG49" s="35">
        <v>0</v>
      </c>
      <c r="AH49" s="35">
        <v>0</v>
      </c>
      <c r="AI49" s="36">
        <v>1893.8176103837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7">
        <v>96532.05</v>
      </c>
      <c r="AX49" s="37">
        <v>0</v>
      </c>
      <c r="AY49" s="37">
        <v>0</v>
      </c>
      <c r="AZ49" s="37">
        <v>0</v>
      </c>
      <c r="BA49" s="37">
        <v>0</v>
      </c>
      <c r="BB49" s="37">
        <v>0</v>
      </c>
      <c r="BC49" s="37">
        <v>0</v>
      </c>
      <c r="BD49" s="37">
        <v>0</v>
      </c>
      <c r="BE49" s="37">
        <v>0</v>
      </c>
      <c r="BF49" s="37">
        <v>0</v>
      </c>
      <c r="BG49" s="37">
        <v>0</v>
      </c>
      <c r="BH49" s="37">
        <v>0</v>
      </c>
      <c r="BI49" s="37">
        <v>0</v>
      </c>
      <c r="BJ49" s="37">
        <v>0</v>
      </c>
      <c r="BK49" s="32" t="s">
        <v>12</v>
      </c>
      <c r="BL49" s="32" t="s">
        <v>13</v>
      </c>
      <c r="BM49" s="33">
        <v>46049.358506944445</v>
      </c>
      <c r="BN49" s="32" t="s">
        <v>28</v>
      </c>
      <c r="BO49" s="32" t="s">
        <v>29</v>
      </c>
      <c r="BP49" s="38">
        <v>-4</v>
      </c>
      <c r="BQ49" s="42"/>
      <c r="BR49" s="39">
        <v>-4</v>
      </c>
      <c r="BS49" s="22" t="s">
        <v>221</v>
      </c>
      <c r="BT49" s="4" t="str">
        <f t="shared" si="0"/>
        <v>120</v>
      </c>
      <c r="BU49" s="4" t="str">
        <f t="shared" si="1"/>
        <v>-4</v>
      </c>
      <c r="BV49" s="4">
        <f t="shared" si="2"/>
        <v>60</v>
      </c>
      <c r="BW49" s="29">
        <f t="shared" si="3"/>
        <v>-386128.2</v>
      </c>
      <c r="BX49" s="4">
        <v>51.49</v>
      </c>
      <c r="BY49" s="29">
        <f t="shared" si="4"/>
        <v>-544.70523336986309</v>
      </c>
    </row>
    <row r="50" spans="1:77" ht="15" hidden="1" customHeight="1" x14ac:dyDescent="0.35">
      <c r="A50" s="32" t="s">
        <v>217</v>
      </c>
      <c r="B50" s="32" t="s">
        <v>513</v>
      </c>
      <c r="C50" s="32" t="s">
        <v>16</v>
      </c>
      <c r="D50" s="32" t="s">
        <v>44</v>
      </c>
      <c r="E50" s="32" t="s">
        <v>45</v>
      </c>
      <c r="F50" s="32" t="s">
        <v>46</v>
      </c>
      <c r="G50" s="33">
        <v>46049</v>
      </c>
      <c r="H50" s="33">
        <v>46049</v>
      </c>
      <c r="I50" s="33">
        <v>46069</v>
      </c>
      <c r="J50" s="32" t="s">
        <v>11</v>
      </c>
      <c r="K50" s="34">
        <v>984000</v>
      </c>
      <c r="L50" s="34">
        <v>820000</v>
      </c>
      <c r="M50" s="34">
        <v>164000</v>
      </c>
      <c r="N50" s="34">
        <v>103257.65</v>
      </c>
      <c r="O50" s="34">
        <v>0</v>
      </c>
      <c r="P50" s="34">
        <v>880742.35</v>
      </c>
      <c r="Q50" s="34">
        <v>0</v>
      </c>
      <c r="R50" s="34">
        <v>880742.35</v>
      </c>
      <c r="S50" s="34">
        <v>17278.876524850799</v>
      </c>
      <c r="T50" s="34">
        <v>880742.35</v>
      </c>
      <c r="U50" s="35">
        <v>0</v>
      </c>
      <c r="V50" s="35">
        <v>0</v>
      </c>
      <c r="W50" s="35">
        <v>0</v>
      </c>
      <c r="X50" s="35">
        <v>0</v>
      </c>
      <c r="Y50" s="35">
        <v>0</v>
      </c>
      <c r="Z50" s="35">
        <v>0</v>
      </c>
      <c r="AA50" s="35">
        <v>0</v>
      </c>
      <c r="AB50" s="35">
        <v>0</v>
      </c>
      <c r="AC50" s="35">
        <v>0</v>
      </c>
      <c r="AD50" s="35">
        <v>880742.35</v>
      </c>
      <c r="AE50" s="35">
        <v>0</v>
      </c>
      <c r="AF50" s="35">
        <v>0</v>
      </c>
      <c r="AG50" s="35">
        <v>0</v>
      </c>
      <c r="AH50" s="35">
        <v>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17278.876524850799</v>
      </c>
      <c r="AS50" s="36">
        <v>0</v>
      </c>
      <c r="AT50" s="36">
        <v>0</v>
      </c>
      <c r="AU50" s="36">
        <v>0</v>
      </c>
      <c r="AV50" s="36">
        <v>0</v>
      </c>
      <c r="AW50" s="37">
        <v>0</v>
      </c>
      <c r="AX50" s="37">
        <v>0</v>
      </c>
      <c r="AY50" s="37"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880742.35</v>
      </c>
      <c r="BG50" s="37">
        <v>0</v>
      </c>
      <c r="BH50" s="37">
        <v>0</v>
      </c>
      <c r="BI50" s="37">
        <v>0</v>
      </c>
      <c r="BJ50" s="37">
        <v>0</v>
      </c>
      <c r="BK50" s="32" t="s">
        <v>12</v>
      </c>
      <c r="BL50" s="32" t="s">
        <v>13</v>
      </c>
      <c r="BM50" s="33">
        <v>46049.358715277776</v>
      </c>
      <c r="BN50" s="32" t="s">
        <v>28</v>
      </c>
      <c r="BO50" s="32" t="s">
        <v>29</v>
      </c>
      <c r="BP50" s="38">
        <v>36</v>
      </c>
      <c r="BQ50" s="42"/>
      <c r="BR50" s="39">
        <v>36</v>
      </c>
      <c r="BS50" s="22" t="s">
        <v>220</v>
      </c>
      <c r="BT50" s="4" t="str">
        <f t="shared" si="0"/>
        <v>120</v>
      </c>
      <c r="BU50" s="4" t="str">
        <f t="shared" si="1"/>
        <v>36</v>
      </c>
      <c r="BV50" s="4">
        <f t="shared" si="2"/>
        <v>20</v>
      </c>
      <c r="BW50" s="29">
        <f t="shared" si="3"/>
        <v>31706724.599999998</v>
      </c>
      <c r="BX50" s="4">
        <v>51.49</v>
      </c>
      <c r="BY50" s="29">
        <f t="shared" si="4"/>
        <v>44728.198620657538</v>
      </c>
    </row>
    <row r="51" spans="1:77" ht="15" hidden="1" customHeight="1" x14ac:dyDescent="0.35">
      <c r="A51" s="32" t="s">
        <v>217</v>
      </c>
      <c r="B51" s="32" t="s">
        <v>514</v>
      </c>
      <c r="C51" s="32" t="s">
        <v>16</v>
      </c>
      <c r="D51" s="32" t="s">
        <v>370</v>
      </c>
      <c r="E51" s="32" t="s">
        <v>371</v>
      </c>
      <c r="F51" s="32" t="s">
        <v>46</v>
      </c>
      <c r="G51" s="33">
        <v>46049</v>
      </c>
      <c r="H51" s="33">
        <v>46049</v>
      </c>
      <c r="I51" s="33">
        <v>46094</v>
      </c>
      <c r="J51" s="32" t="s">
        <v>11</v>
      </c>
      <c r="K51" s="34">
        <v>2530453.37</v>
      </c>
      <c r="L51" s="34">
        <v>2480836.64</v>
      </c>
      <c r="M51" s="34">
        <v>49616.73</v>
      </c>
      <c r="N51" s="34">
        <v>0</v>
      </c>
      <c r="O51" s="34">
        <v>0</v>
      </c>
      <c r="P51" s="34">
        <v>2530453.37</v>
      </c>
      <c r="Q51" s="34">
        <v>0</v>
      </c>
      <c r="R51" s="34">
        <v>2530453.37</v>
      </c>
      <c r="S51" s="34">
        <v>49643.793479583001</v>
      </c>
      <c r="T51" s="34">
        <v>2530453.37</v>
      </c>
      <c r="U51" s="35">
        <v>0</v>
      </c>
      <c r="V51" s="35">
        <v>0</v>
      </c>
      <c r="W51" s="35">
        <v>0</v>
      </c>
      <c r="X51" s="35">
        <v>0</v>
      </c>
      <c r="Y51" s="35">
        <v>0</v>
      </c>
      <c r="Z51" s="35">
        <v>0</v>
      </c>
      <c r="AA51" s="35">
        <v>0</v>
      </c>
      <c r="AB51" s="35">
        <v>2530453.37</v>
      </c>
      <c r="AC51" s="35">
        <v>0</v>
      </c>
      <c r="AD51" s="35">
        <v>0</v>
      </c>
      <c r="AE51" s="35">
        <v>0</v>
      </c>
      <c r="AF51" s="35">
        <v>0</v>
      </c>
      <c r="AG51" s="35">
        <v>0</v>
      </c>
      <c r="AH51" s="35">
        <v>0</v>
      </c>
      <c r="AI51" s="36">
        <v>0</v>
      </c>
      <c r="AJ51" s="36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49643.793479583001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7">
        <v>0</v>
      </c>
      <c r="AX51" s="37">
        <v>0</v>
      </c>
      <c r="AY51" s="37">
        <v>0</v>
      </c>
      <c r="AZ51" s="37">
        <v>0</v>
      </c>
      <c r="BA51" s="37">
        <v>0</v>
      </c>
      <c r="BB51" s="37">
        <v>0</v>
      </c>
      <c r="BC51" s="37">
        <v>0</v>
      </c>
      <c r="BD51" s="37">
        <v>2530453.37</v>
      </c>
      <c r="BE51" s="37">
        <v>0</v>
      </c>
      <c r="BF51" s="37">
        <v>0</v>
      </c>
      <c r="BG51" s="37">
        <v>0</v>
      </c>
      <c r="BH51" s="37">
        <v>0</v>
      </c>
      <c r="BI51" s="37">
        <v>0</v>
      </c>
      <c r="BJ51" s="37">
        <v>0</v>
      </c>
      <c r="BK51" s="32" t="s">
        <v>12</v>
      </c>
      <c r="BL51" s="32" t="s">
        <v>13</v>
      </c>
      <c r="BM51" s="33">
        <v>46049.360196759262</v>
      </c>
      <c r="BN51" s="32" t="s">
        <v>28</v>
      </c>
      <c r="BO51" s="32" t="s">
        <v>29</v>
      </c>
      <c r="BP51" s="38">
        <v>11</v>
      </c>
      <c r="BQ51" s="42"/>
      <c r="BR51" s="39">
        <v>11</v>
      </c>
      <c r="BS51" s="22" t="s">
        <v>220</v>
      </c>
      <c r="BT51" s="4" t="str">
        <f t="shared" si="0"/>
        <v>120</v>
      </c>
      <c r="BU51" s="4" t="str">
        <f t="shared" si="1"/>
        <v>11</v>
      </c>
      <c r="BV51" s="4">
        <f t="shared" si="2"/>
        <v>45</v>
      </c>
      <c r="BW51" s="29">
        <f t="shared" si="3"/>
        <v>27834987.07</v>
      </c>
      <c r="BX51" s="4">
        <v>51.49</v>
      </c>
      <c r="BY51" s="29">
        <f t="shared" si="4"/>
        <v>39266.39682833699</v>
      </c>
    </row>
    <row r="52" spans="1:77" ht="15" hidden="1" customHeight="1" x14ac:dyDescent="0.35">
      <c r="A52" s="32" t="s">
        <v>217</v>
      </c>
      <c r="B52" s="32" t="s">
        <v>517</v>
      </c>
      <c r="C52" s="32" t="s">
        <v>7</v>
      </c>
      <c r="D52" s="32" t="s">
        <v>64</v>
      </c>
      <c r="E52" s="32" t="s">
        <v>65</v>
      </c>
      <c r="F52" s="32" t="s">
        <v>41</v>
      </c>
      <c r="G52" s="33">
        <v>46050</v>
      </c>
      <c r="H52" s="33">
        <v>46050</v>
      </c>
      <c r="I52" s="33">
        <v>46065</v>
      </c>
      <c r="J52" s="32" t="s">
        <v>11</v>
      </c>
      <c r="K52" s="34">
        <v>648925.07999999996</v>
      </c>
      <c r="L52" s="34">
        <v>636201.06000000006</v>
      </c>
      <c r="M52" s="34">
        <v>12724.02</v>
      </c>
      <c r="N52" s="34">
        <v>648925.06999999995</v>
      </c>
      <c r="O52" s="34">
        <v>0</v>
      </c>
      <c r="P52" s="34">
        <v>0.01</v>
      </c>
      <c r="Q52" s="34">
        <v>0</v>
      </c>
      <c r="R52" s="34">
        <v>0.01</v>
      </c>
      <c r="S52" s="34">
        <v>1.9618537163394899E-4</v>
      </c>
      <c r="T52" s="34">
        <v>0.01</v>
      </c>
      <c r="U52" s="35">
        <v>0</v>
      </c>
      <c r="V52" s="35">
        <v>0</v>
      </c>
      <c r="W52" s="35">
        <v>0</v>
      </c>
      <c r="X52" s="35">
        <v>0</v>
      </c>
      <c r="Y52" s="35">
        <v>0</v>
      </c>
      <c r="Z52" s="35">
        <v>0</v>
      </c>
      <c r="AA52" s="35">
        <v>0</v>
      </c>
      <c r="AB52" s="35">
        <v>0</v>
      </c>
      <c r="AC52" s="35">
        <v>0</v>
      </c>
      <c r="AD52" s="35">
        <v>0.01</v>
      </c>
      <c r="AE52" s="35">
        <v>0</v>
      </c>
      <c r="AF52" s="35">
        <v>0</v>
      </c>
      <c r="AG52" s="35">
        <v>0</v>
      </c>
      <c r="AH52" s="35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1.9618537163394899E-4</v>
      </c>
      <c r="AS52" s="36">
        <v>0</v>
      </c>
      <c r="AT52" s="36">
        <v>0</v>
      </c>
      <c r="AU52" s="36">
        <v>0</v>
      </c>
      <c r="AV52" s="36">
        <v>0</v>
      </c>
      <c r="AW52" s="37">
        <v>0</v>
      </c>
      <c r="AX52" s="37">
        <v>0</v>
      </c>
      <c r="AY52" s="37"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0.01</v>
      </c>
      <c r="BG52" s="37">
        <v>0</v>
      </c>
      <c r="BH52" s="37">
        <v>0</v>
      </c>
      <c r="BI52" s="37">
        <v>0</v>
      </c>
      <c r="BJ52" s="37">
        <v>0</v>
      </c>
      <c r="BK52" s="32" t="s">
        <v>12</v>
      </c>
      <c r="BL52" s="32" t="s">
        <v>13</v>
      </c>
      <c r="BM52" s="33">
        <v>46049.873715277776</v>
      </c>
      <c r="BN52" s="32" t="s">
        <v>66</v>
      </c>
      <c r="BO52" s="32" t="s">
        <v>26</v>
      </c>
      <c r="BP52" s="38">
        <v>40</v>
      </c>
      <c r="BQ52" s="42"/>
      <c r="BR52" s="39">
        <v>40</v>
      </c>
      <c r="BS52" s="22" t="s">
        <v>220</v>
      </c>
      <c r="BT52" s="4" t="str">
        <f t="shared" si="0"/>
        <v>120</v>
      </c>
      <c r="BU52" s="4" t="str">
        <f t="shared" si="1"/>
        <v>40</v>
      </c>
      <c r="BV52" s="4">
        <f t="shared" si="2"/>
        <v>15</v>
      </c>
      <c r="BW52" s="29">
        <f t="shared" si="3"/>
        <v>0.4</v>
      </c>
      <c r="BX52" s="4">
        <v>51.49</v>
      </c>
      <c r="BY52" s="29">
        <f t="shared" si="4"/>
        <v>5.6427397260273978E-4</v>
      </c>
    </row>
    <row r="53" spans="1:77" ht="15" hidden="1" customHeight="1" x14ac:dyDescent="0.35">
      <c r="A53" s="32" t="s">
        <v>217</v>
      </c>
      <c r="B53" s="32" t="s">
        <v>531</v>
      </c>
      <c r="C53" s="32" t="s">
        <v>30</v>
      </c>
      <c r="D53" s="32" t="s">
        <v>459</v>
      </c>
      <c r="E53" s="32" t="s">
        <v>236</v>
      </c>
      <c r="F53" s="32" t="s">
        <v>476</v>
      </c>
      <c r="G53" s="33">
        <v>46053</v>
      </c>
      <c r="H53" s="33">
        <v>46053</v>
      </c>
      <c r="I53" s="33">
        <v>46068</v>
      </c>
      <c r="J53" s="32" t="s">
        <v>11</v>
      </c>
      <c r="K53" s="34">
        <v>434202.57</v>
      </c>
      <c r="L53" s="34">
        <v>425688.79</v>
      </c>
      <c r="M53" s="34">
        <v>8513.7800000000007</v>
      </c>
      <c r="N53" s="34">
        <v>0</v>
      </c>
      <c r="O53" s="34">
        <v>0</v>
      </c>
      <c r="P53" s="34">
        <v>434202.57</v>
      </c>
      <c r="Q53" s="34">
        <v>0</v>
      </c>
      <c r="R53" s="34">
        <v>434202.57</v>
      </c>
      <c r="S53" s="34">
        <v>8518.4192559866005</v>
      </c>
      <c r="T53" s="34">
        <v>434202.57</v>
      </c>
      <c r="U53" s="35">
        <v>0</v>
      </c>
      <c r="V53" s="35">
        <v>0</v>
      </c>
      <c r="W53" s="35">
        <v>0</v>
      </c>
      <c r="X53" s="35">
        <v>0</v>
      </c>
      <c r="Y53" s="35">
        <v>0</v>
      </c>
      <c r="Z53" s="35">
        <v>0</v>
      </c>
      <c r="AA53" s="35">
        <v>0</v>
      </c>
      <c r="AB53" s="35">
        <v>0</v>
      </c>
      <c r="AC53" s="35">
        <v>0</v>
      </c>
      <c r="AD53" s="35">
        <v>434202.57</v>
      </c>
      <c r="AE53" s="35">
        <v>0</v>
      </c>
      <c r="AF53" s="35">
        <v>0</v>
      </c>
      <c r="AG53" s="35">
        <v>0</v>
      </c>
      <c r="AH53" s="35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8518.4192559866005</v>
      </c>
      <c r="AS53" s="36">
        <v>0</v>
      </c>
      <c r="AT53" s="36">
        <v>0</v>
      </c>
      <c r="AU53" s="36">
        <v>0</v>
      </c>
      <c r="AV53" s="36">
        <v>0</v>
      </c>
      <c r="AW53" s="37">
        <v>0</v>
      </c>
      <c r="AX53" s="37">
        <v>0</v>
      </c>
      <c r="AY53" s="37">
        <v>0</v>
      </c>
      <c r="AZ53" s="37">
        <v>0</v>
      </c>
      <c r="BA53" s="37">
        <v>0</v>
      </c>
      <c r="BB53" s="37">
        <v>0</v>
      </c>
      <c r="BC53" s="37">
        <v>0</v>
      </c>
      <c r="BD53" s="37">
        <v>0</v>
      </c>
      <c r="BE53" s="37">
        <v>0</v>
      </c>
      <c r="BF53" s="37">
        <v>434202.57</v>
      </c>
      <c r="BG53" s="37">
        <v>0</v>
      </c>
      <c r="BH53" s="37">
        <v>0</v>
      </c>
      <c r="BI53" s="37">
        <v>0</v>
      </c>
      <c r="BJ53" s="37">
        <v>0</v>
      </c>
      <c r="BK53" s="32" t="s">
        <v>12</v>
      </c>
      <c r="BL53" s="32" t="s">
        <v>13</v>
      </c>
      <c r="BM53" s="33">
        <v>46049.878877314812</v>
      </c>
      <c r="BN53" s="32" t="s">
        <v>28</v>
      </c>
      <c r="BO53" s="32" t="s">
        <v>29</v>
      </c>
      <c r="BP53" s="38">
        <v>37</v>
      </c>
      <c r="BQ53" s="42"/>
      <c r="BR53" s="39">
        <v>37</v>
      </c>
      <c r="BS53" s="22" t="s">
        <v>220</v>
      </c>
      <c r="BT53" s="4" t="str">
        <f t="shared" si="0"/>
        <v>120</v>
      </c>
      <c r="BU53" s="4" t="str">
        <f t="shared" si="1"/>
        <v>37</v>
      </c>
      <c r="BV53" s="4">
        <f t="shared" si="2"/>
        <v>15</v>
      </c>
      <c r="BW53" s="29">
        <f t="shared" si="3"/>
        <v>16065495.09</v>
      </c>
      <c r="BX53" s="4">
        <v>51.49</v>
      </c>
      <c r="BY53" s="29">
        <f t="shared" si="4"/>
        <v>22663.351840660274</v>
      </c>
    </row>
    <row r="54" spans="1:77" ht="15" hidden="1" customHeight="1" x14ac:dyDescent="0.35">
      <c r="A54" s="32" t="s">
        <v>217</v>
      </c>
      <c r="B54" s="32" t="s">
        <v>532</v>
      </c>
      <c r="C54" s="32" t="s">
        <v>30</v>
      </c>
      <c r="D54" s="32" t="s">
        <v>459</v>
      </c>
      <c r="E54" s="32" t="s">
        <v>236</v>
      </c>
      <c r="F54" s="32" t="s">
        <v>476</v>
      </c>
      <c r="G54" s="33">
        <v>46053</v>
      </c>
      <c r="H54" s="33">
        <v>46053</v>
      </c>
      <c r="I54" s="33">
        <v>46068</v>
      </c>
      <c r="J54" s="32" t="s">
        <v>11</v>
      </c>
      <c r="K54" s="34">
        <v>868454.97</v>
      </c>
      <c r="L54" s="34">
        <v>851426.44</v>
      </c>
      <c r="M54" s="34">
        <v>17028.53</v>
      </c>
      <c r="N54" s="34">
        <v>0</v>
      </c>
      <c r="O54" s="34">
        <v>0</v>
      </c>
      <c r="P54" s="34">
        <v>868454.97</v>
      </c>
      <c r="Q54" s="34">
        <v>0</v>
      </c>
      <c r="R54" s="34">
        <v>868454.97</v>
      </c>
      <c r="S54" s="34">
        <v>17037.816103680001</v>
      </c>
      <c r="T54" s="34">
        <v>868454.97</v>
      </c>
      <c r="U54" s="35">
        <v>0</v>
      </c>
      <c r="V54" s="35">
        <v>0</v>
      </c>
      <c r="W54" s="35">
        <v>0</v>
      </c>
      <c r="X54" s="35">
        <v>0</v>
      </c>
      <c r="Y54" s="35">
        <v>0</v>
      </c>
      <c r="Z54" s="35">
        <v>0</v>
      </c>
      <c r="AA54" s="35">
        <v>0</v>
      </c>
      <c r="AB54" s="35">
        <v>0</v>
      </c>
      <c r="AC54" s="35">
        <v>0</v>
      </c>
      <c r="AD54" s="35">
        <v>868454.97</v>
      </c>
      <c r="AE54" s="35">
        <v>0</v>
      </c>
      <c r="AF54" s="35">
        <v>0</v>
      </c>
      <c r="AG54" s="35">
        <v>0</v>
      </c>
      <c r="AH54" s="35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17037.816103680001</v>
      </c>
      <c r="AS54" s="36">
        <v>0</v>
      </c>
      <c r="AT54" s="36">
        <v>0</v>
      </c>
      <c r="AU54" s="36">
        <v>0</v>
      </c>
      <c r="AV54" s="36">
        <v>0</v>
      </c>
      <c r="AW54" s="37">
        <v>0</v>
      </c>
      <c r="AX54" s="37">
        <v>0</v>
      </c>
      <c r="AY54" s="37"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868454.97</v>
      </c>
      <c r="BG54" s="37">
        <v>0</v>
      </c>
      <c r="BH54" s="37">
        <v>0</v>
      </c>
      <c r="BI54" s="37">
        <v>0</v>
      </c>
      <c r="BJ54" s="37">
        <v>0</v>
      </c>
      <c r="BK54" s="32" t="s">
        <v>12</v>
      </c>
      <c r="BL54" s="32" t="s">
        <v>13</v>
      </c>
      <c r="BM54" s="33">
        <v>46049.87908564815</v>
      </c>
      <c r="BN54" s="32" t="s">
        <v>28</v>
      </c>
      <c r="BO54" s="32" t="s">
        <v>29</v>
      </c>
      <c r="BP54" s="38">
        <v>37</v>
      </c>
      <c r="BQ54" s="42"/>
      <c r="BR54" s="39">
        <v>37</v>
      </c>
      <c r="BS54" s="22" t="s">
        <v>220</v>
      </c>
      <c r="BT54" s="4" t="str">
        <f t="shared" si="0"/>
        <v>120</v>
      </c>
      <c r="BU54" s="4" t="str">
        <f t="shared" si="1"/>
        <v>37</v>
      </c>
      <c r="BV54" s="4">
        <f t="shared" si="2"/>
        <v>15</v>
      </c>
      <c r="BW54" s="29">
        <f t="shared" si="3"/>
        <v>32132833.890000001</v>
      </c>
      <c r="BX54" s="4">
        <v>51.49</v>
      </c>
      <c r="BY54" s="29">
        <f t="shared" si="4"/>
        <v>45329.304575235619</v>
      </c>
    </row>
    <row r="55" spans="1:77" ht="15" hidden="1" customHeight="1" x14ac:dyDescent="0.35">
      <c r="A55" s="32" t="s">
        <v>217</v>
      </c>
      <c r="B55" s="32" t="s">
        <v>533</v>
      </c>
      <c r="C55" s="32" t="s">
        <v>30</v>
      </c>
      <c r="D55" s="32" t="s">
        <v>31</v>
      </c>
      <c r="E55" s="32" t="s">
        <v>32</v>
      </c>
      <c r="F55" s="32" t="s">
        <v>33</v>
      </c>
      <c r="G55" s="33">
        <v>46053</v>
      </c>
      <c r="H55" s="33">
        <v>46053</v>
      </c>
      <c r="I55" s="33">
        <v>46083</v>
      </c>
      <c r="J55" s="32" t="s">
        <v>11</v>
      </c>
      <c r="K55" s="34">
        <v>158407.22</v>
      </c>
      <c r="L55" s="34">
        <v>155301.20000000001</v>
      </c>
      <c r="M55" s="34">
        <v>3106.02</v>
      </c>
      <c r="N55" s="34">
        <v>158407.20000000001</v>
      </c>
      <c r="O55" s="34">
        <v>0</v>
      </c>
      <c r="P55" s="34">
        <v>0.02</v>
      </c>
      <c r="Q55" s="34">
        <v>0</v>
      </c>
      <c r="R55" s="34">
        <v>0.02</v>
      </c>
      <c r="S55" s="34">
        <v>3.9237074326789901E-4</v>
      </c>
      <c r="T55" s="34">
        <v>0.02</v>
      </c>
      <c r="U55" s="35">
        <v>0</v>
      </c>
      <c r="V55" s="35">
        <v>0</v>
      </c>
      <c r="W55" s="35">
        <v>0</v>
      </c>
      <c r="X55" s="35">
        <v>0</v>
      </c>
      <c r="Y55" s="35">
        <v>0</v>
      </c>
      <c r="Z55" s="35">
        <v>0</v>
      </c>
      <c r="AA55" s="35">
        <v>0</v>
      </c>
      <c r="AB55" s="35">
        <v>0</v>
      </c>
      <c r="AC55" s="35">
        <v>0.02</v>
      </c>
      <c r="AD55" s="35">
        <v>0</v>
      </c>
      <c r="AE55" s="35">
        <v>0</v>
      </c>
      <c r="AF55" s="35">
        <v>0</v>
      </c>
      <c r="AG55" s="35">
        <v>0</v>
      </c>
      <c r="AH55" s="35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3.9237074326789901E-4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7">
        <v>0</v>
      </c>
      <c r="AX55" s="37">
        <v>0</v>
      </c>
      <c r="AY55" s="37">
        <v>0</v>
      </c>
      <c r="AZ55" s="37">
        <v>0</v>
      </c>
      <c r="BA55" s="37">
        <v>0</v>
      </c>
      <c r="BB55" s="37">
        <v>0</v>
      </c>
      <c r="BC55" s="37">
        <v>0</v>
      </c>
      <c r="BD55" s="37">
        <v>0</v>
      </c>
      <c r="BE55" s="37">
        <v>0.02</v>
      </c>
      <c r="BF55" s="37">
        <v>0</v>
      </c>
      <c r="BG55" s="37">
        <v>0</v>
      </c>
      <c r="BH55" s="37">
        <v>0</v>
      </c>
      <c r="BI55" s="37">
        <v>0</v>
      </c>
      <c r="BJ55" s="37">
        <v>0</v>
      </c>
      <c r="BK55" s="32" t="s">
        <v>12</v>
      </c>
      <c r="BL55" s="32" t="s">
        <v>13</v>
      </c>
      <c r="BM55" s="33">
        <v>46049.880347222221</v>
      </c>
      <c r="BN55" s="32" t="s">
        <v>28</v>
      </c>
      <c r="BO55" s="32" t="s">
        <v>29</v>
      </c>
      <c r="BP55" s="38">
        <v>22</v>
      </c>
      <c r="BQ55" s="42"/>
      <c r="BR55" s="39">
        <v>22</v>
      </c>
      <c r="BS55" s="22" t="s">
        <v>220</v>
      </c>
      <c r="BT55" s="4" t="str">
        <f t="shared" si="0"/>
        <v>120</v>
      </c>
      <c r="BU55" s="4" t="str">
        <f t="shared" si="1"/>
        <v>22</v>
      </c>
      <c r="BV55" s="4">
        <f t="shared" si="2"/>
        <v>30</v>
      </c>
      <c r="BW55" s="29">
        <f t="shared" si="3"/>
        <v>0.44</v>
      </c>
      <c r="BX55" s="4">
        <v>51.49</v>
      </c>
      <c r="BY55" s="29">
        <f t="shared" si="4"/>
        <v>6.2070136986301368E-4</v>
      </c>
    </row>
    <row r="56" spans="1:77" ht="15" hidden="1" customHeight="1" x14ac:dyDescent="0.35">
      <c r="A56" s="32" t="s">
        <v>217</v>
      </c>
      <c r="B56" s="32" t="s">
        <v>534</v>
      </c>
      <c r="C56" s="32" t="s">
        <v>16</v>
      </c>
      <c r="D56" s="32" t="s">
        <v>82</v>
      </c>
      <c r="E56" s="32" t="s">
        <v>83</v>
      </c>
      <c r="F56" s="32" t="s">
        <v>84</v>
      </c>
      <c r="G56" s="33">
        <v>46050</v>
      </c>
      <c r="H56" s="33">
        <v>46050</v>
      </c>
      <c r="I56" s="33">
        <v>46080</v>
      </c>
      <c r="J56" s="32" t="s">
        <v>11</v>
      </c>
      <c r="K56" s="34">
        <v>304267.5</v>
      </c>
      <c r="L56" s="34">
        <v>253556.25</v>
      </c>
      <c r="M56" s="34">
        <v>50711.25</v>
      </c>
      <c r="N56" s="34">
        <v>0</v>
      </c>
      <c r="O56" s="34">
        <v>0</v>
      </c>
      <c r="P56" s="34">
        <v>304267.5</v>
      </c>
      <c r="Q56" s="34">
        <v>0</v>
      </c>
      <c r="R56" s="34">
        <v>304267.5</v>
      </c>
      <c r="S56" s="34">
        <v>5969.2832563632701</v>
      </c>
      <c r="T56" s="34">
        <v>304267.5</v>
      </c>
      <c r="U56" s="35">
        <v>0</v>
      </c>
      <c r="V56" s="35">
        <v>0</v>
      </c>
      <c r="W56" s="35">
        <v>0</v>
      </c>
      <c r="X56" s="35">
        <v>0</v>
      </c>
      <c r="Y56" s="35">
        <v>0</v>
      </c>
      <c r="Z56" s="35">
        <v>0</v>
      </c>
      <c r="AA56" s="35">
        <v>0</v>
      </c>
      <c r="AB56" s="35">
        <v>0</v>
      </c>
      <c r="AC56" s="35">
        <v>304267.5</v>
      </c>
      <c r="AD56" s="35">
        <v>0</v>
      </c>
      <c r="AE56" s="35">
        <v>0</v>
      </c>
      <c r="AF56" s="35">
        <v>0</v>
      </c>
      <c r="AG56" s="35">
        <v>0</v>
      </c>
      <c r="AH56" s="35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5969.2832563632701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7">
        <v>0</v>
      </c>
      <c r="AX56" s="37">
        <v>0</v>
      </c>
      <c r="AY56" s="37"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304267.5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2" t="s">
        <v>12</v>
      </c>
      <c r="BL56" s="32" t="s">
        <v>13</v>
      </c>
      <c r="BM56" s="33">
        <v>46050.403692129628</v>
      </c>
      <c r="BN56" s="32" t="s">
        <v>28</v>
      </c>
      <c r="BO56" s="32" t="s">
        <v>29</v>
      </c>
      <c r="BP56" s="38">
        <v>25</v>
      </c>
      <c r="BQ56" s="42"/>
      <c r="BR56" s="39">
        <v>25</v>
      </c>
      <c r="BS56" s="22" t="s">
        <v>220</v>
      </c>
      <c r="BT56" s="4" t="str">
        <f t="shared" si="0"/>
        <v>120</v>
      </c>
      <c r="BU56" s="4" t="str">
        <f t="shared" si="1"/>
        <v>25</v>
      </c>
      <c r="BV56" s="4">
        <f t="shared" si="2"/>
        <v>30</v>
      </c>
      <c r="BW56" s="29">
        <f t="shared" si="3"/>
        <v>7606687.5</v>
      </c>
      <c r="BX56" s="4">
        <v>51.49</v>
      </c>
      <c r="BY56" s="29">
        <f t="shared" si="4"/>
        <v>10730.639434931507</v>
      </c>
    </row>
    <row r="57" spans="1:77" ht="15" hidden="1" customHeight="1" x14ac:dyDescent="0.35">
      <c r="A57" s="32" t="s">
        <v>217</v>
      </c>
      <c r="B57" s="32" t="s">
        <v>535</v>
      </c>
      <c r="C57" s="32" t="s">
        <v>30</v>
      </c>
      <c r="D57" s="32" t="s">
        <v>536</v>
      </c>
      <c r="E57" s="32" t="s">
        <v>537</v>
      </c>
      <c r="F57" s="32" t="s">
        <v>33</v>
      </c>
      <c r="G57" s="33">
        <v>46050</v>
      </c>
      <c r="H57" s="33">
        <v>46050</v>
      </c>
      <c r="I57" s="33">
        <v>46080</v>
      </c>
      <c r="J57" s="32" t="s">
        <v>11</v>
      </c>
      <c r="K57" s="34">
        <v>134200.07999999999</v>
      </c>
      <c r="L57" s="34">
        <v>131568.71</v>
      </c>
      <c r="M57" s="34">
        <v>2631.37</v>
      </c>
      <c r="N57" s="34">
        <v>134200</v>
      </c>
      <c r="O57" s="34">
        <v>0</v>
      </c>
      <c r="P57" s="34">
        <v>0.08</v>
      </c>
      <c r="Q57" s="34">
        <v>0</v>
      </c>
      <c r="R57" s="34">
        <v>0.08</v>
      </c>
      <c r="S57" s="34">
        <v>1.56948297307159E-3</v>
      </c>
      <c r="T57" s="34">
        <v>0.08</v>
      </c>
      <c r="U57" s="35">
        <v>0</v>
      </c>
      <c r="V57" s="35">
        <v>0</v>
      </c>
      <c r="W57" s="35">
        <v>0</v>
      </c>
      <c r="X57" s="35">
        <v>0</v>
      </c>
      <c r="Y57" s="35">
        <v>0</v>
      </c>
      <c r="Z57" s="35">
        <v>0</v>
      </c>
      <c r="AA57" s="35">
        <v>0</v>
      </c>
      <c r="AB57" s="35">
        <v>0</v>
      </c>
      <c r="AC57" s="35">
        <v>0.08</v>
      </c>
      <c r="AD57" s="35">
        <v>0</v>
      </c>
      <c r="AE57" s="35">
        <v>0</v>
      </c>
      <c r="AF57" s="35">
        <v>0</v>
      </c>
      <c r="AG57" s="35">
        <v>0</v>
      </c>
      <c r="AH57" s="35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1.56948297307159E-3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7">
        <v>0</v>
      </c>
      <c r="AX57" s="37">
        <v>0</v>
      </c>
      <c r="AY57" s="37">
        <v>0</v>
      </c>
      <c r="AZ57" s="37">
        <v>0</v>
      </c>
      <c r="BA57" s="37">
        <v>0</v>
      </c>
      <c r="BB57" s="37">
        <v>0</v>
      </c>
      <c r="BC57" s="37">
        <v>0</v>
      </c>
      <c r="BD57" s="37">
        <v>0</v>
      </c>
      <c r="BE57" s="37">
        <v>0.08</v>
      </c>
      <c r="BF57" s="37">
        <v>0</v>
      </c>
      <c r="BG57" s="37">
        <v>0</v>
      </c>
      <c r="BH57" s="37">
        <v>0</v>
      </c>
      <c r="BI57" s="37">
        <v>0</v>
      </c>
      <c r="BJ57" s="37">
        <v>0</v>
      </c>
      <c r="BK57" s="32" t="s">
        <v>12</v>
      </c>
      <c r="BL57" s="32" t="s">
        <v>13</v>
      </c>
      <c r="BM57" s="33">
        <v>46050.408564814818</v>
      </c>
      <c r="BN57" s="32" t="s">
        <v>28</v>
      </c>
      <c r="BO57" s="32" t="s">
        <v>29</v>
      </c>
      <c r="BP57" s="38">
        <v>25</v>
      </c>
      <c r="BQ57" s="42"/>
      <c r="BR57" s="39">
        <v>25</v>
      </c>
      <c r="BS57" s="22" t="s">
        <v>220</v>
      </c>
      <c r="BT57" s="4" t="str">
        <f t="shared" si="0"/>
        <v>120</v>
      </c>
      <c r="BU57" s="4" t="str">
        <f t="shared" si="1"/>
        <v>25</v>
      </c>
      <c r="BV57" s="4">
        <f t="shared" si="2"/>
        <v>30</v>
      </c>
      <c r="BW57" s="29">
        <f t="shared" si="3"/>
        <v>2</v>
      </c>
      <c r="BX57" s="4">
        <v>51.49</v>
      </c>
      <c r="BY57" s="29">
        <f t="shared" si="4"/>
        <v>2.8213698630136989E-3</v>
      </c>
    </row>
    <row r="58" spans="1:77" ht="15" hidden="1" customHeight="1" x14ac:dyDescent="0.35">
      <c r="A58" s="32" t="s">
        <v>217</v>
      </c>
      <c r="B58" s="32" t="s">
        <v>538</v>
      </c>
      <c r="C58" s="32" t="s">
        <v>16</v>
      </c>
      <c r="D58" s="32" t="s">
        <v>463</v>
      </c>
      <c r="E58" s="32" t="s">
        <v>259</v>
      </c>
      <c r="F58" s="32" t="s">
        <v>464</v>
      </c>
      <c r="G58" s="33">
        <v>46051</v>
      </c>
      <c r="H58" s="33">
        <v>46051</v>
      </c>
      <c r="I58" s="33">
        <v>46066</v>
      </c>
      <c r="J58" s="32" t="s">
        <v>11</v>
      </c>
      <c r="K58" s="34">
        <v>639660.29</v>
      </c>
      <c r="L58" s="34">
        <v>533050.24</v>
      </c>
      <c r="M58" s="34">
        <v>106610.05</v>
      </c>
      <c r="N58" s="34">
        <v>0</v>
      </c>
      <c r="O58" s="34">
        <v>0</v>
      </c>
      <c r="P58" s="34">
        <v>639660.29</v>
      </c>
      <c r="Q58" s="34">
        <v>0</v>
      </c>
      <c r="R58" s="34">
        <v>639660.29</v>
      </c>
      <c r="S58" s="34">
        <v>12549.199171312999</v>
      </c>
      <c r="T58" s="34">
        <v>639660.29</v>
      </c>
      <c r="U58" s="35">
        <v>0</v>
      </c>
      <c r="V58" s="35">
        <v>0</v>
      </c>
      <c r="W58" s="35">
        <v>0</v>
      </c>
      <c r="X58" s="35">
        <v>0</v>
      </c>
      <c r="Y58" s="35">
        <v>0</v>
      </c>
      <c r="Z58" s="35">
        <v>0</v>
      </c>
      <c r="AA58" s="35">
        <v>0</v>
      </c>
      <c r="AB58" s="35">
        <v>0</v>
      </c>
      <c r="AC58" s="35">
        <v>0</v>
      </c>
      <c r="AD58" s="35">
        <v>639660.29</v>
      </c>
      <c r="AE58" s="35">
        <v>0</v>
      </c>
      <c r="AF58" s="35">
        <v>0</v>
      </c>
      <c r="AG58" s="35">
        <v>0</v>
      </c>
      <c r="AH58" s="35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12549.199171312999</v>
      </c>
      <c r="AS58" s="36">
        <v>0</v>
      </c>
      <c r="AT58" s="36">
        <v>0</v>
      </c>
      <c r="AU58" s="36">
        <v>0</v>
      </c>
      <c r="AV58" s="36">
        <v>0</v>
      </c>
      <c r="AW58" s="37">
        <v>0</v>
      </c>
      <c r="AX58" s="37">
        <v>0</v>
      </c>
      <c r="AY58" s="37"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639660.29</v>
      </c>
      <c r="BG58" s="37">
        <v>0</v>
      </c>
      <c r="BH58" s="37">
        <v>0</v>
      </c>
      <c r="BI58" s="37">
        <v>0</v>
      </c>
      <c r="BJ58" s="37">
        <v>0</v>
      </c>
      <c r="BK58" s="32" t="s">
        <v>12</v>
      </c>
      <c r="BL58" s="32" t="s">
        <v>13</v>
      </c>
      <c r="BM58" s="33">
        <v>46051.593969907408</v>
      </c>
      <c r="BN58" s="32" t="s">
        <v>28</v>
      </c>
      <c r="BO58" s="32" t="s">
        <v>29</v>
      </c>
      <c r="BP58" s="38">
        <v>39</v>
      </c>
      <c r="BQ58" s="42"/>
      <c r="BR58" s="39">
        <v>39</v>
      </c>
      <c r="BS58" s="22" t="s">
        <v>220</v>
      </c>
      <c r="BT58" s="4" t="str">
        <f t="shared" si="0"/>
        <v>120</v>
      </c>
      <c r="BU58" s="4" t="str">
        <f t="shared" si="1"/>
        <v>39</v>
      </c>
      <c r="BV58" s="4">
        <f t="shared" si="2"/>
        <v>15</v>
      </c>
      <c r="BW58" s="29">
        <f t="shared" si="3"/>
        <v>24946751.310000002</v>
      </c>
      <c r="BX58" s="4">
        <v>51.49</v>
      </c>
      <c r="BY58" s="29">
        <f t="shared" si="4"/>
        <v>35192.006163065758</v>
      </c>
    </row>
    <row r="59" spans="1:77" ht="15" customHeight="1" x14ac:dyDescent="0.35">
      <c r="A59" s="32" t="s">
        <v>217</v>
      </c>
      <c r="B59" s="32" t="s">
        <v>539</v>
      </c>
      <c r="C59" s="32" t="s">
        <v>7</v>
      </c>
      <c r="D59" s="32" t="s">
        <v>305</v>
      </c>
      <c r="E59" s="32" t="s">
        <v>148</v>
      </c>
      <c r="F59" s="32" t="s">
        <v>306</v>
      </c>
      <c r="G59" s="33">
        <v>46052</v>
      </c>
      <c r="H59" s="33">
        <v>46052</v>
      </c>
      <c r="I59" s="33">
        <v>46067</v>
      </c>
      <c r="J59" s="32" t="s">
        <v>11</v>
      </c>
      <c r="K59" s="34">
        <v>273736.8</v>
      </c>
      <c r="L59" s="34">
        <v>268369.42</v>
      </c>
      <c r="M59" s="34">
        <v>5367.38</v>
      </c>
      <c r="N59" s="34">
        <v>0</v>
      </c>
      <c r="O59" s="34">
        <v>0</v>
      </c>
      <c r="P59" s="34">
        <v>273736.8</v>
      </c>
      <c r="Q59" s="34">
        <v>0</v>
      </c>
      <c r="R59" s="34">
        <v>273736.8</v>
      </c>
      <c r="S59" s="34">
        <v>5370.3155837888098</v>
      </c>
      <c r="T59" s="34">
        <v>273736.8</v>
      </c>
      <c r="U59" s="35">
        <v>0</v>
      </c>
      <c r="V59" s="35">
        <v>0</v>
      </c>
      <c r="W59" s="35">
        <v>0</v>
      </c>
      <c r="X59" s="35">
        <v>0</v>
      </c>
      <c r="Y59" s="35">
        <v>0</v>
      </c>
      <c r="Z59" s="35">
        <v>0</v>
      </c>
      <c r="AA59" s="35">
        <v>0</v>
      </c>
      <c r="AB59" s="35">
        <v>0</v>
      </c>
      <c r="AC59" s="35">
        <v>0</v>
      </c>
      <c r="AD59" s="35">
        <v>273736.8</v>
      </c>
      <c r="AE59" s="35">
        <v>0</v>
      </c>
      <c r="AF59" s="35">
        <v>0</v>
      </c>
      <c r="AG59" s="35">
        <v>0</v>
      </c>
      <c r="AH59" s="35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5370.3155837888098</v>
      </c>
      <c r="AS59" s="36">
        <v>0</v>
      </c>
      <c r="AT59" s="36">
        <v>0</v>
      </c>
      <c r="AU59" s="36">
        <v>0</v>
      </c>
      <c r="AV59" s="36">
        <v>0</v>
      </c>
      <c r="AW59" s="37">
        <v>0</v>
      </c>
      <c r="AX59" s="37">
        <v>0</v>
      </c>
      <c r="AY59" s="37">
        <v>0</v>
      </c>
      <c r="AZ59" s="37">
        <v>0</v>
      </c>
      <c r="BA59" s="37">
        <v>0</v>
      </c>
      <c r="BB59" s="37">
        <v>0</v>
      </c>
      <c r="BC59" s="37">
        <v>0</v>
      </c>
      <c r="BD59" s="37">
        <v>0</v>
      </c>
      <c r="BE59" s="37">
        <v>0</v>
      </c>
      <c r="BF59" s="37">
        <v>273736.8</v>
      </c>
      <c r="BG59" s="37">
        <v>0</v>
      </c>
      <c r="BH59" s="37">
        <v>0</v>
      </c>
      <c r="BI59" s="37">
        <v>0</v>
      </c>
      <c r="BJ59" s="37">
        <v>0</v>
      </c>
      <c r="BK59" s="32" t="s">
        <v>12</v>
      </c>
      <c r="BL59" s="32" t="s">
        <v>13</v>
      </c>
      <c r="BM59" s="33">
        <v>46051.673981481479</v>
      </c>
      <c r="BN59" s="32" t="s">
        <v>28</v>
      </c>
      <c r="BO59" s="32" t="s">
        <v>29</v>
      </c>
      <c r="BP59" s="38">
        <v>38</v>
      </c>
      <c r="BQ59" s="42"/>
      <c r="BR59" s="39">
        <v>38</v>
      </c>
      <c r="BS59" s="22" t="s">
        <v>220</v>
      </c>
      <c r="BT59" s="4" t="str">
        <f t="shared" si="0"/>
        <v>120</v>
      </c>
      <c r="BU59" s="4" t="str">
        <f t="shared" si="1"/>
        <v>38</v>
      </c>
      <c r="BV59" s="4">
        <f t="shared" si="2"/>
        <v>15</v>
      </c>
      <c r="BW59" s="29">
        <f t="shared" si="3"/>
        <v>10401998.4</v>
      </c>
      <c r="BX59" s="4">
        <v>51.49</v>
      </c>
      <c r="BY59" s="29">
        <f t="shared" si="4"/>
        <v>14673.942400438358</v>
      </c>
    </row>
    <row r="60" spans="1:77" ht="15" hidden="1" customHeight="1" x14ac:dyDescent="0.35">
      <c r="A60" s="32" t="s">
        <v>217</v>
      </c>
      <c r="B60" s="32" t="s">
        <v>542</v>
      </c>
      <c r="C60" s="32" t="s">
        <v>16</v>
      </c>
      <c r="D60" s="32" t="s">
        <v>543</v>
      </c>
      <c r="E60" s="32" t="s">
        <v>80</v>
      </c>
      <c r="F60" s="32" t="s">
        <v>544</v>
      </c>
      <c r="G60" s="33">
        <v>46052</v>
      </c>
      <c r="H60" s="33">
        <v>46052</v>
      </c>
      <c r="I60" s="33">
        <v>46067</v>
      </c>
      <c r="J60" s="32" t="s">
        <v>11</v>
      </c>
      <c r="K60" s="34">
        <v>782868.57</v>
      </c>
      <c r="L60" s="34">
        <v>767518.21</v>
      </c>
      <c r="M60" s="34">
        <v>15350.36</v>
      </c>
      <c r="N60" s="34">
        <v>341046.97</v>
      </c>
      <c r="O60" s="34">
        <v>0</v>
      </c>
      <c r="P60" s="34">
        <v>441821.6</v>
      </c>
      <c r="Q60" s="34">
        <v>0</v>
      </c>
      <c r="R60" s="34">
        <v>441821.6</v>
      </c>
      <c r="S60" s="34">
        <v>8667.8934791906195</v>
      </c>
      <c r="T60" s="34">
        <v>441821.6</v>
      </c>
      <c r="U60" s="35">
        <v>0</v>
      </c>
      <c r="V60" s="35">
        <v>0</v>
      </c>
      <c r="W60" s="35">
        <v>0</v>
      </c>
      <c r="X60" s="35">
        <v>0</v>
      </c>
      <c r="Y60" s="35">
        <v>0</v>
      </c>
      <c r="Z60" s="35">
        <v>0</v>
      </c>
      <c r="AA60" s="35">
        <v>0</v>
      </c>
      <c r="AB60" s="35">
        <v>0</v>
      </c>
      <c r="AC60" s="35">
        <v>0</v>
      </c>
      <c r="AD60" s="35">
        <v>441821.6</v>
      </c>
      <c r="AE60" s="35">
        <v>0</v>
      </c>
      <c r="AF60" s="35">
        <v>0</v>
      </c>
      <c r="AG60" s="35">
        <v>0</v>
      </c>
      <c r="AH60" s="35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8667.8934791906195</v>
      </c>
      <c r="AS60" s="36">
        <v>0</v>
      </c>
      <c r="AT60" s="36">
        <v>0</v>
      </c>
      <c r="AU60" s="36">
        <v>0</v>
      </c>
      <c r="AV60" s="36">
        <v>0</v>
      </c>
      <c r="AW60" s="37">
        <v>0</v>
      </c>
      <c r="AX60" s="37">
        <v>0</v>
      </c>
      <c r="AY60" s="37"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441821.6</v>
      </c>
      <c r="BG60" s="37">
        <v>0</v>
      </c>
      <c r="BH60" s="37">
        <v>0</v>
      </c>
      <c r="BI60" s="37">
        <v>0</v>
      </c>
      <c r="BJ60" s="37">
        <v>0</v>
      </c>
      <c r="BK60" s="32" t="s">
        <v>12</v>
      </c>
      <c r="BL60" s="32" t="s">
        <v>13</v>
      </c>
      <c r="BM60" s="33">
        <v>46052.596921296295</v>
      </c>
      <c r="BN60" s="32" t="s">
        <v>28</v>
      </c>
      <c r="BO60" s="32" t="s">
        <v>29</v>
      </c>
      <c r="BP60" s="38">
        <v>38</v>
      </c>
      <c r="BQ60" s="42"/>
      <c r="BR60" s="39">
        <v>38</v>
      </c>
      <c r="BS60" s="22" t="s">
        <v>220</v>
      </c>
      <c r="BT60" s="4" t="str">
        <f t="shared" si="0"/>
        <v>120</v>
      </c>
      <c r="BU60" s="4" t="str">
        <f t="shared" si="1"/>
        <v>38</v>
      </c>
      <c r="BV60" s="4">
        <f t="shared" si="2"/>
        <v>15</v>
      </c>
      <c r="BW60" s="29">
        <f t="shared" si="3"/>
        <v>16789220.800000001</v>
      </c>
      <c r="BX60" s="4">
        <v>51.49</v>
      </c>
      <c r="BY60" s="29">
        <f t="shared" si="4"/>
        <v>23684.300794301373</v>
      </c>
    </row>
    <row r="61" spans="1:77" ht="15" hidden="1" customHeight="1" x14ac:dyDescent="0.35">
      <c r="A61" s="32" t="s">
        <v>217</v>
      </c>
      <c r="B61" s="32" t="s">
        <v>545</v>
      </c>
      <c r="C61" s="32" t="s">
        <v>30</v>
      </c>
      <c r="D61" s="32" t="s">
        <v>353</v>
      </c>
      <c r="E61" s="32" t="s">
        <v>354</v>
      </c>
      <c r="F61" s="32" t="s">
        <v>351</v>
      </c>
      <c r="G61" s="33">
        <v>46053</v>
      </c>
      <c r="H61" s="33">
        <v>46053</v>
      </c>
      <c r="I61" s="33">
        <v>46113</v>
      </c>
      <c r="J61" s="32" t="s">
        <v>11</v>
      </c>
      <c r="K61" s="34">
        <v>2297548.06</v>
      </c>
      <c r="L61" s="34">
        <v>2252498.1</v>
      </c>
      <c r="M61" s="34">
        <v>45049.96</v>
      </c>
      <c r="N61" s="34">
        <v>389.91</v>
      </c>
      <c r="O61" s="34">
        <v>0</v>
      </c>
      <c r="P61" s="34">
        <v>2297158.15</v>
      </c>
      <c r="Q61" s="34">
        <v>2297158.15</v>
      </c>
      <c r="R61" s="34">
        <v>2297158.15</v>
      </c>
      <c r="S61" s="34">
        <v>45066.882535970602</v>
      </c>
      <c r="T61" s="34">
        <v>2297158.15</v>
      </c>
      <c r="U61" s="35">
        <v>2297158.15</v>
      </c>
      <c r="V61" s="35">
        <v>0</v>
      </c>
      <c r="W61" s="35">
        <v>0</v>
      </c>
      <c r="X61" s="35">
        <v>0</v>
      </c>
      <c r="Y61" s="35">
        <v>0</v>
      </c>
      <c r="Z61" s="35">
        <v>0</v>
      </c>
      <c r="AA61" s="35">
        <v>0</v>
      </c>
      <c r="AB61" s="35">
        <v>0</v>
      </c>
      <c r="AC61" s="35">
        <v>0</v>
      </c>
      <c r="AD61" s="35">
        <v>0</v>
      </c>
      <c r="AE61" s="35">
        <v>0</v>
      </c>
      <c r="AF61" s="35">
        <v>0</v>
      </c>
      <c r="AG61" s="35">
        <v>0</v>
      </c>
      <c r="AH61" s="35">
        <v>0</v>
      </c>
      <c r="AI61" s="36">
        <v>45066.882535970602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7">
        <v>2297158.15</v>
      </c>
      <c r="AX61" s="37">
        <v>0</v>
      </c>
      <c r="AY61" s="37">
        <v>0</v>
      </c>
      <c r="AZ61" s="37">
        <v>0</v>
      </c>
      <c r="BA61" s="37">
        <v>0</v>
      </c>
      <c r="BB61" s="37">
        <v>0</v>
      </c>
      <c r="BC61" s="37">
        <v>0</v>
      </c>
      <c r="BD61" s="37">
        <v>0</v>
      </c>
      <c r="BE61" s="37">
        <v>0</v>
      </c>
      <c r="BF61" s="37">
        <v>0</v>
      </c>
      <c r="BG61" s="37">
        <v>0</v>
      </c>
      <c r="BH61" s="37">
        <v>0</v>
      </c>
      <c r="BI61" s="37">
        <v>0</v>
      </c>
      <c r="BJ61" s="37">
        <v>0</v>
      </c>
      <c r="BK61" s="32" t="s">
        <v>12</v>
      </c>
      <c r="BL61" s="32" t="s">
        <v>13</v>
      </c>
      <c r="BM61" s="33">
        <v>46052.626145833332</v>
      </c>
      <c r="BN61" s="32" t="s">
        <v>28</v>
      </c>
      <c r="BO61" s="32" t="s">
        <v>29</v>
      </c>
      <c r="BP61" s="38">
        <v>-8</v>
      </c>
      <c r="BQ61" s="42"/>
      <c r="BR61" s="39">
        <v>-8</v>
      </c>
      <c r="BS61" s="22" t="s">
        <v>221</v>
      </c>
      <c r="BT61" s="4" t="str">
        <f t="shared" si="0"/>
        <v>120</v>
      </c>
      <c r="BU61" s="4" t="str">
        <f t="shared" si="1"/>
        <v>-8</v>
      </c>
      <c r="BV61" s="4">
        <f t="shared" si="2"/>
        <v>60</v>
      </c>
      <c r="BW61" s="29">
        <f t="shared" si="3"/>
        <v>-18377265.199999999</v>
      </c>
      <c r="BX61" s="4">
        <v>51.49</v>
      </c>
      <c r="BY61" s="29">
        <f t="shared" si="4"/>
        <v>-25924.531099945205</v>
      </c>
    </row>
    <row r="62" spans="1:77" ht="15" hidden="1" customHeight="1" x14ac:dyDescent="0.35">
      <c r="A62" s="32" t="s">
        <v>217</v>
      </c>
      <c r="B62" s="32" t="s">
        <v>546</v>
      </c>
      <c r="C62" s="32" t="s">
        <v>30</v>
      </c>
      <c r="D62" s="32" t="s">
        <v>353</v>
      </c>
      <c r="E62" s="32" t="s">
        <v>354</v>
      </c>
      <c r="F62" s="32" t="s">
        <v>351</v>
      </c>
      <c r="G62" s="33">
        <v>46053</v>
      </c>
      <c r="H62" s="33">
        <v>46053</v>
      </c>
      <c r="I62" s="33">
        <v>46113</v>
      </c>
      <c r="J62" s="32" t="s">
        <v>11</v>
      </c>
      <c r="K62" s="34">
        <v>339433.76</v>
      </c>
      <c r="L62" s="34">
        <v>332778.2</v>
      </c>
      <c r="M62" s="34">
        <v>6655.56</v>
      </c>
      <c r="N62" s="34">
        <v>0</v>
      </c>
      <c r="O62" s="34">
        <v>0</v>
      </c>
      <c r="P62" s="34">
        <v>339433.76</v>
      </c>
      <c r="Q62" s="34">
        <v>339433.76</v>
      </c>
      <c r="R62" s="34">
        <v>339433.76</v>
      </c>
      <c r="S62" s="34">
        <v>6659.1938350708797</v>
      </c>
      <c r="T62" s="34">
        <v>339433.76</v>
      </c>
      <c r="U62" s="35">
        <v>339433.76</v>
      </c>
      <c r="V62" s="35">
        <v>0</v>
      </c>
      <c r="W62" s="35">
        <v>0</v>
      </c>
      <c r="X62" s="35">
        <v>0</v>
      </c>
      <c r="Y62" s="35">
        <v>0</v>
      </c>
      <c r="Z62" s="35">
        <v>0</v>
      </c>
      <c r="AA62" s="35">
        <v>0</v>
      </c>
      <c r="AB62" s="35">
        <v>0</v>
      </c>
      <c r="AC62" s="35">
        <v>0</v>
      </c>
      <c r="AD62" s="35">
        <v>0</v>
      </c>
      <c r="AE62" s="35">
        <v>0</v>
      </c>
      <c r="AF62" s="35">
        <v>0</v>
      </c>
      <c r="AG62" s="35">
        <v>0</v>
      </c>
      <c r="AH62" s="35">
        <v>0</v>
      </c>
      <c r="AI62" s="36">
        <v>6659.1938350708797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7">
        <v>339433.76</v>
      </c>
      <c r="AX62" s="37">
        <v>0</v>
      </c>
      <c r="AY62" s="37"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2" t="s">
        <v>12</v>
      </c>
      <c r="BL62" s="32" t="s">
        <v>13</v>
      </c>
      <c r="BM62" s="33">
        <v>46052.626354166663</v>
      </c>
      <c r="BN62" s="32" t="s">
        <v>28</v>
      </c>
      <c r="BO62" s="32" t="s">
        <v>29</v>
      </c>
      <c r="BP62" s="38">
        <v>-8</v>
      </c>
      <c r="BQ62" s="42"/>
      <c r="BR62" s="39">
        <v>-8</v>
      </c>
      <c r="BS62" s="22" t="s">
        <v>221</v>
      </c>
      <c r="BT62" s="4" t="str">
        <f t="shared" si="0"/>
        <v>120</v>
      </c>
      <c r="BU62" s="4" t="str">
        <f t="shared" si="1"/>
        <v>-8</v>
      </c>
      <c r="BV62" s="4">
        <f t="shared" si="2"/>
        <v>60</v>
      </c>
      <c r="BW62" s="29">
        <f t="shared" si="3"/>
        <v>-2715470.08</v>
      </c>
      <c r="BX62" s="4">
        <v>51.49</v>
      </c>
      <c r="BY62" s="29">
        <f t="shared" si="4"/>
        <v>-3830.6727238136987</v>
      </c>
    </row>
    <row r="63" spans="1:77" ht="15" hidden="1" customHeight="1" x14ac:dyDescent="0.35">
      <c r="A63" s="32" t="s">
        <v>217</v>
      </c>
      <c r="B63" s="32" t="s">
        <v>547</v>
      </c>
      <c r="C63" s="32" t="s">
        <v>30</v>
      </c>
      <c r="D63" s="32" t="s">
        <v>353</v>
      </c>
      <c r="E63" s="32" t="s">
        <v>354</v>
      </c>
      <c r="F63" s="32" t="s">
        <v>351</v>
      </c>
      <c r="G63" s="33">
        <v>46053</v>
      </c>
      <c r="H63" s="33">
        <v>46053</v>
      </c>
      <c r="I63" s="33">
        <v>46113</v>
      </c>
      <c r="J63" s="32" t="s">
        <v>11</v>
      </c>
      <c r="K63" s="34">
        <v>509150.65</v>
      </c>
      <c r="L63" s="34">
        <v>499167.3</v>
      </c>
      <c r="M63" s="34">
        <v>9983.35</v>
      </c>
      <c r="N63" s="34">
        <v>0</v>
      </c>
      <c r="O63" s="34">
        <v>0</v>
      </c>
      <c r="P63" s="34">
        <v>509150.65</v>
      </c>
      <c r="Q63" s="34">
        <v>509150.65</v>
      </c>
      <c r="R63" s="34">
        <v>509150.65</v>
      </c>
      <c r="S63" s="34">
        <v>9988.7909487916895</v>
      </c>
      <c r="T63" s="34">
        <v>509150.65</v>
      </c>
      <c r="U63" s="35">
        <v>509150.65</v>
      </c>
      <c r="V63" s="35">
        <v>0</v>
      </c>
      <c r="W63" s="35">
        <v>0</v>
      </c>
      <c r="X63" s="35">
        <v>0</v>
      </c>
      <c r="Y63" s="35">
        <v>0</v>
      </c>
      <c r="Z63" s="35">
        <v>0</v>
      </c>
      <c r="AA63" s="35">
        <v>0</v>
      </c>
      <c r="AB63" s="35">
        <v>0</v>
      </c>
      <c r="AC63" s="35">
        <v>0</v>
      </c>
      <c r="AD63" s="35">
        <v>0</v>
      </c>
      <c r="AE63" s="35">
        <v>0</v>
      </c>
      <c r="AF63" s="35">
        <v>0</v>
      </c>
      <c r="AG63" s="35">
        <v>0</v>
      </c>
      <c r="AH63" s="35">
        <v>0</v>
      </c>
      <c r="AI63" s="36">
        <v>9988.7909487916895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7">
        <v>509150.65</v>
      </c>
      <c r="AX63" s="37">
        <v>0</v>
      </c>
      <c r="AY63" s="37">
        <v>0</v>
      </c>
      <c r="AZ63" s="37">
        <v>0</v>
      </c>
      <c r="BA63" s="37">
        <v>0</v>
      </c>
      <c r="BB63" s="37">
        <v>0</v>
      </c>
      <c r="BC63" s="37">
        <v>0</v>
      </c>
      <c r="BD63" s="37">
        <v>0</v>
      </c>
      <c r="BE63" s="37">
        <v>0</v>
      </c>
      <c r="BF63" s="37">
        <v>0</v>
      </c>
      <c r="BG63" s="37">
        <v>0</v>
      </c>
      <c r="BH63" s="37">
        <v>0</v>
      </c>
      <c r="BI63" s="37">
        <v>0</v>
      </c>
      <c r="BJ63" s="37">
        <v>0</v>
      </c>
      <c r="BK63" s="32" t="s">
        <v>12</v>
      </c>
      <c r="BL63" s="32" t="s">
        <v>13</v>
      </c>
      <c r="BM63" s="33">
        <v>46052.626574074071</v>
      </c>
      <c r="BN63" s="32" t="s">
        <v>28</v>
      </c>
      <c r="BO63" s="32" t="s">
        <v>29</v>
      </c>
      <c r="BP63" s="38">
        <v>-8</v>
      </c>
      <c r="BQ63" s="42"/>
      <c r="BR63" s="39">
        <v>-8</v>
      </c>
      <c r="BS63" s="22" t="s">
        <v>221</v>
      </c>
      <c r="BT63" s="4" t="str">
        <f t="shared" si="0"/>
        <v>120</v>
      </c>
      <c r="BU63" s="4" t="str">
        <f t="shared" si="1"/>
        <v>-8</v>
      </c>
      <c r="BV63" s="4">
        <f t="shared" si="2"/>
        <v>60</v>
      </c>
      <c r="BW63" s="29">
        <f t="shared" si="3"/>
        <v>-4073205.2</v>
      </c>
      <c r="BX63" s="4">
        <v>51.49</v>
      </c>
      <c r="BY63" s="29">
        <f t="shared" si="4"/>
        <v>-5746.0091985753434</v>
      </c>
    </row>
    <row r="64" spans="1:77" ht="15" hidden="1" customHeight="1" x14ac:dyDescent="0.35">
      <c r="A64" s="32" t="s">
        <v>217</v>
      </c>
      <c r="B64" s="32" t="s">
        <v>550</v>
      </c>
      <c r="C64" s="32" t="s">
        <v>30</v>
      </c>
      <c r="D64" s="32" t="s">
        <v>449</v>
      </c>
      <c r="E64" s="32" t="s">
        <v>327</v>
      </c>
      <c r="F64" s="32" t="s">
        <v>46</v>
      </c>
      <c r="G64" s="33">
        <v>46053</v>
      </c>
      <c r="H64" s="33">
        <v>46053</v>
      </c>
      <c r="I64" s="33">
        <v>46068</v>
      </c>
      <c r="J64" s="32" t="s">
        <v>11</v>
      </c>
      <c r="K64" s="34">
        <v>543564.16</v>
      </c>
      <c r="L64" s="34">
        <v>532906.04</v>
      </c>
      <c r="M64" s="34">
        <v>10658.12</v>
      </c>
      <c r="N64" s="34">
        <v>0</v>
      </c>
      <c r="O64" s="34">
        <v>0</v>
      </c>
      <c r="P64" s="34">
        <v>543564.16</v>
      </c>
      <c r="Q64" s="34">
        <v>0</v>
      </c>
      <c r="R64" s="34">
        <v>543564.16</v>
      </c>
      <c r="S64" s="34">
        <v>10663.933673649601</v>
      </c>
      <c r="T64" s="34">
        <v>543564.16</v>
      </c>
      <c r="U64" s="35">
        <v>0</v>
      </c>
      <c r="V64" s="35">
        <v>0</v>
      </c>
      <c r="W64" s="35">
        <v>0</v>
      </c>
      <c r="X64" s="35">
        <v>0</v>
      </c>
      <c r="Y64" s="35">
        <v>0</v>
      </c>
      <c r="Z64" s="35">
        <v>0</v>
      </c>
      <c r="AA64" s="35">
        <v>0</v>
      </c>
      <c r="AB64" s="35">
        <v>0</v>
      </c>
      <c r="AC64" s="35">
        <v>0</v>
      </c>
      <c r="AD64" s="35">
        <v>543564.16</v>
      </c>
      <c r="AE64" s="35">
        <v>0</v>
      </c>
      <c r="AF64" s="35">
        <v>0</v>
      </c>
      <c r="AG64" s="35">
        <v>0</v>
      </c>
      <c r="AH64" s="35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10663.933673649601</v>
      </c>
      <c r="AS64" s="36">
        <v>0</v>
      </c>
      <c r="AT64" s="36">
        <v>0</v>
      </c>
      <c r="AU64" s="36">
        <v>0</v>
      </c>
      <c r="AV64" s="36">
        <v>0</v>
      </c>
      <c r="AW64" s="37">
        <v>0</v>
      </c>
      <c r="AX64" s="37">
        <v>0</v>
      </c>
      <c r="AY64" s="37"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543564.16</v>
      </c>
      <c r="BG64" s="37">
        <v>0</v>
      </c>
      <c r="BH64" s="37">
        <v>0</v>
      </c>
      <c r="BI64" s="37">
        <v>0</v>
      </c>
      <c r="BJ64" s="37">
        <v>0</v>
      </c>
      <c r="BK64" s="32" t="s">
        <v>12</v>
      </c>
      <c r="BL64" s="32" t="s">
        <v>13</v>
      </c>
      <c r="BM64" s="33">
        <v>46052.627418981479</v>
      </c>
      <c r="BN64" s="32" t="s">
        <v>28</v>
      </c>
      <c r="BO64" s="32" t="s">
        <v>29</v>
      </c>
      <c r="BP64" s="38">
        <v>37</v>
      </c>
      <c r="BQ64" s="42"/>
      <c r="BR64" s="39">
        <v>37</v>
      </c>
      <c r="BS64" s="22" t="s">
        <v>220</v>
      </c>
      <c r="BT64" s="4" t="str">
        <f t="shared" si="0"/>
        <v>120</v>
      </c>
      <c r="BU64" s="4" t="str">
        <f t="shared" si="1"/>
        <v>37</v>
      </c>
      <c r="BV64" s="4">
        <f t="shared" si="2"/>
        <v>15</v>
      </c>
      <c r="BW64" s="29">
        <f t="shared" si="3"/>
        <v>20111873.920000002</v>
      </c>
      <c r="BX64" s="4">
        <v>51.49</v>
      </c>
      <c r="BY64" s="29">
        <f t="shared" si="4"/>
        <v>28371.517483309592</v>
      </c>
    </row>
    <row r="65" spans="1:77" ht="15" hidden="1" customHeight="1" x14ac:dyDescent="0.35">
      <c r="A65" s="32" t="s">
        <v>217</v>
      </c>
      <c r="B65" s="32" t="s">
        <v>551</v>
      </c>
      <c r="C65" s="32" t="s">
        <v>16</v>
      </c>
      <c r="D65" s="32" t="s">
        <v>374</v>
      </c>
      <c r="E65" s="32" t="s">
        <v>361</v>
      </c>
      <c r="F65" s="32" t="s">
        <v>46</v>
      </c>
      <c r="G65" s="33">
        <v>46053</v>
      </c>
      <c r="H65" s="33">
        <v>46053</v>
      </c>
      <c r="I65" s="33">
        <v>46083</v>
      </c>
      <c r="J65" s="32" t="s">
        <v>11</v>
      </c>
      <c r="K65" s="34">
        <v>1207157.73</v>
      </c>
      <c r="L65" s="34">
        <v>1183487.97</v>
      </c>
      <c r="M65" s="34">
        <v>23669.759999999998</v>
      </c>
      <c r="N65" s="34">
        <v>0</v>
      </c>
      <c r="O65" s="34">
        <v>0</v>
      </c>
      <c r="P65" s="34">
        <v>1207157.73</v>
      </c>
      <c r="Q65" s="34">
        <v>0</v>
      </c>
      <c r="R65" s="34">
        <v>1207157.73</v>
      </c>
      <c r="S65" s="34">
        <v>23682.668788084498</v>
      </c>
      <c r="T65" s="34">
        <v>1207157.73</v>
      </c>
      <c r="U65" s="35">
        <v>0</v>
      </c>
      <c r="V65" s="35">
        <v>0</v>
      </c>
      <c r="W65" s="35">
        <v>0</v>
      </c>
      <c r="X65" s="35">
        <v>0</v>
      </c>
      <c r="Y65" s="35">
        <v>0</v>
      </c>
      <c r="Z65" s="35">
        <v>0</v>
      </c>
      <c r="AA65" s="35">
        <v>0</v>
      </c>
      <c r="AB65" s="35">
        <v>0</v>
      </c>
      <c r="AC65" s="35">
        <v>1207157.73</v>
      </c>
      <c r="AD65" s="35">
        <v>0</v>
      </c>
      <c r="AE65" s="35">
        <v>0</v>
      </c>
      <c r="AF65" s="35">
        <v>0</v>
      </c>
      <c r="AG65" s="35">
        <v>0</v>
      </c>
      <c r="AH65" s="35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23682.668788084498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7">
        <v>0</v>
      </c>
      <c r="AX65" s="37">
        <v>0</v>
      </c>
      <c r="AY65" s="37">
        <v>0</v>
      </c>
      <c r="AZ65" s="37">
        <v>0</v>
      </c>
      <c r="BA65" s="37">
        <v>0</v>
      </c>
      <c r="BB65" s="37">
        <v>0</v>
      </c>
      <c r="BC65" s="37">
        <v>0</v>
      </c>
      <c r="BD65" s="37">
        <v>0</v>
      </c>
      <c r="BE65" s="37">
        <v>1207157.73</v>
      </c>
      <c r="BF65" s="37">
        <v>0</v>
      </c>
      <c r="BG65" s="37">
        <v>0</v>
      </c>
      <c r="BH65" s="37">
        <v>0</v>
      </c>
      <c r="BI65" s="37">
        <v>0</v>
      </c>
      <c r="BJ65" s="37">
        <v>0</v>
      </c>
      <c r="BK65" s="32" t="s">
        <v>12</v>
      </c>
      <c r="BL65" s="32" t="s">
        <v>13</v>
      </c>
      <c r="BM65" s="33">
        <v>46052.646087962959</v>
      </c>
      <c r="BN65" s="32" t="s">
        <v>28</v>
      </c>
      <c r="BO65" s="32" t="s">
        <v>29</v>
      </c>
      <c r="BP65" s="38">
        <v>22</v>
      </c>
      <c r="BQ65" s="42"/>
      <c r="BR65" s="39">
        <v>22</v>
      </c>
      <c r="BS65" s="22" t="s">
        <v>220</v>
      </c>
      <c r="BT65" s="4" t="str">
        <f t="shared" si="0"/>
        <v>120</v>
      </c>
      <c r="BU65" s="4" t="str">
        <f t="shared" si="1"/>
        <v>22</v>
      </c>
      <c r="BV65" s="4">
        <f t="shared" si="2"/>
        <v>30</v>
      </c>
      <c r="BW65" s="29">
        <f t="shared" si="3"/>
        <v>26557470.059999999</v>
      </c>
      <c r="BX65" s="4">
        <v>51.49</v>
      </c>
      <c r="BY65" s="29">
        <f t="shared" si="4"/>
        <v>37464.222832586303</v>
      </c>
    </row>
    <row r="66" spans="1:77" ht="15" hidden="1" customHeight="1" x14ac:dyDescent="0.35">
      <c r="A66" s="32" t="s">
        <v>217</v>
      </c>
      <c r="B66" s="32" t="s">
        <v>552</v>
      </c>
      <c r="C66" s="32" t="s">
        <v>16</v>
      </c>
      <c r="D66" s="32" t="s">
        <v>316</v>
      </c>
      <c r="E66" s="32" t="s">
        <v>317</v>
      </c>
      <c r="F66" s="32" t="s">
        <v>46</v>
      </c>
      <c r="G66" s="33">
        <v>46053</v>
      </c>
      <c r="H66" s="33">
        <v>46053</v>
      </c>
      <c r="I66" s="33">
        <v>46083</v>
      </c>
      <c r="J66" s="32" t="s">
        <v>11</v>
      </c>
      <c r="K66" s="34">
        <v>443751</v>
      </c>
      <c r="L66" s="34">
        <v>435050</v>
      </c>
      <c r="M66" s="34">
        <v>8701</v>
      </c>
      <c r="N66" s="34">
        <v>443750.99</v>
      </c>
      <c r="O66" s="34">
        <v>0</v>
      </c>
      <c r="P66" s="34">
        <v>0.01</v>
      </c>
      <c r="Q66" s="34">
        <v>0</v>
      </c>
      <c r="R66" s="34">
        <v>0.01</v>
      </c>
      <c r="S66" s="34">
        <v>1.9618537163394899E-4</v>
      </c>
      <c r="T66" s="34">
        <v>0.01</v>
      </c>
      <c r="U66" s="35">
        <v>0</v>
      </c>
      <c r="V66" s="35">
        <v>0</v>
      </c>
      <c r="W66" s="35">
        <v>0</v>
      </c>
      <c r="X66" s="35">
        <v>0</v>
      </c>
      <c r="Y66" s="35">
        <v>0</v>
      </c>
      <c r="Z66" s="35">
        <v>0</v>
      </c>
      <c r="AA66" s="35">
        <v>0</v>
      </c>
      <c r="AB66" s="35">
        <v>0</v>
      </c>
      <c r="AC66" s="35">
        <v>0.01</v>
      </c>
      <c r="AD66" s="35">
        <v>0</v>
      </c>
      <c r="AE66" s="35">
        <v>0</v>
      </c>
      <c r="AF66" s="35">
        <v>0</v>
      </c>
      <c r="AG66" s="35">
        <v>0</v>
      </c>
      <c r="AH66" s="35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1.9618537163394899E-4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7">
        <v>0</v>
      </c>
      <c r="AX66" s="37">
        <v>0</v>
      </c>
      <c r="AY66" s="37"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0.01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2" t="s">
        <v>12</v>
      </c>
      <c r="BL66" s="32" t="s">
        <v>13</v>
      </c>
      <c r="BM66" s="33">
        <v>46054.560358796298</v>
      </c>
      <c r="BN66" s="32" t="s">
        <v>28</v>
      </c>
      <c r="BO66" s="32" t="s">
        <v>29</v>
      </c>
      <c r="BP66" s="38">
        <v>22</v>
      </c>
      <c r="BQ66" s="42"/>
      <c r="BR66" s="39">
        <v>22</v>
      </c>
      <c r="BS66" s="22" t="s">
        <v>220</v>
      </c>
      <c r="BT66" s="4" t="str">
        <f t="shared" ref="BT66:BU129" si="5">LEFT(BO66,3)</f>
        <v>120</v>
      </c>
      <c r="BU66" s="4" t="str">
        <f t="shared" si="5"/>
        <v>22</v>
      </c>
      <c r="BV66" s="4">
        <f t="shared" si="2"/>
        <v>30</v>
      </c>
      <c r="BW66" s="29">
        <f t="shared" si="3"/>
        <v>0.22</v>
      </c>
      <c r="BX66" s="4">
        <v>51.49</v>
      </c>
      <c r="BY66" s="29">
        <f t="shared" si="4"/>
        <v>3.1035068493150684E-4</v>
      </c>
    </row>
    <row r="67" spans="1:77" ht="15" hidden="1" customHeight="1" x14ac:dyDescent="0.35">
      <c r="A67" s="32" t="s">
        <v>217</v>
      </c>
      <c r="B67" s="32" t="s">
        <v>553</v>
      </c>
      <c r="C67" s="32" t="s">
        <v>16</v>
      </c>
      <c r="D67" s="32" t="s">
        <v>87</v>
      </c>
      <c r="E67" s="32" t="s">
        <v>88</v>
      </c>
      <c r="F67" s="32" t="s">
        <v>89</v>
      </c>
      <c r="G67" s="33">
        <v>46053</v>
      </c>
      <c r="H67" s="33">
        <v>46053</v>
      </c>
      <c r="I67" s="33">
        <v>46113</v>
      </c>
      <c r="J67" s="32" t="s">
        <v>11</v>
      </c>
      <c r="K67" s="34">
        <v>4717859.0999999996</v>
      </c>
      <c r="L67" s="34">
        <v>4625352.09</v>
      </c>
      <c r="M67" s="34">
        <v>92507.01</v>
      </c>
      <c r="N67" s="34">
        <v>0</v>
      </c>
      <c r="O67" s="34">
        <v>0</v>
      </c>
      <c r="P67" s="34">
        <v>4717859.0999999996</v>
      </c>
      <c r="Q67" s="34">
        <v>4717859.0999999996</v>
      </c>
      <c r="R67" s="34">
        <v>4717859.0999999996</v>
      </c>
      <c r="S67" s="34">
        <v>92557.494085011</v>
      </c>
      <c r="T67" s="34">
        <v>4717859.0999999996</v>
      </c>
      <c r="U67" s="35">
        <v>4717859.0999999996</v>
      </c>
      <c r="V67" s="35">
        <v>0</v>
      </c>
      <c r="W67" s="35">
        <v>0</v>
      </c>
      <c r="X67" s="35">
        <v>0</v>
      </c>
      <c r="Y67" s="35">
        <v>0</v>
      </c>
      <c r="Z67" s="35">
        <v>0</v>
      </c>
      <c r="AA67" s="35">
        <v>0</v>
      </c>
      <c r="AB67" s="35">
        <v>0</v>
      </c>
      <c r="AC67" s="35">
        <v>0</v>
      </c>
      <c r="AD67" s="35">
        <v>0</v>
      </c>
      <c r="AE67" s="35">
        <v>0</v>
      </c>
      <c r="AF67" s="35">
        <v>0</v>
      </c>
      <c r="AG67" s="35">
        <v>0</v>
      </c>
      <c r="AH67" s="35">
        <v>0</v>
      </c>
      <c r="AI67" s="36">
        <v>92557.494085011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7">
        <v>4717859.0999999996</v>
      </c>
      <c r="AX67" s="37">
        <v>0</v>
      </c>
      <c r="AY67" s="37">
        <v>0</v>
      </c>
      <c r="AZ67" s="37">
        <v>0</v>
      </c>
      <c r="BA67" s="37">
        <v>0</v>
      </c>
      <c r="BB67" s="37">
        <v>0</v>
      </c>
      <c r="BC67" s="37">
        <v>0</v>
      </c>
      <c r="BD67" s="37">
        <v>0</v>
      </c>
      <c r="BE67" s="37">
        <v>0</v>
      </c>
      <c r="BF67" s="37">
        <v>0</v>
      </c>
      <c r="BG67" s="37">
        <v>0</v>
      </c>
      <c r="BH67" s="37">
        <v>0</v>
      </c>
      <c r="BI67" s="37">
        <v>0</v>
      </c>
      <c r="BJ67" s="37">
        <v>0</v>
      </c>
      <c r="BK67" s="32" t="s">
        <v>12</v>
      </c>
      <c r="BL67" s="32" t="s">
        <v>13</v>
      </c>
      <c r="BM67" s="33">
        <v>46054.561620370368</v>
      </c>
      <c r="BN67" s="32" t="s">
        <v>28</v>
      </c>
      <c r="BO67" s="32" t="s">
        <v>29</v>
      </c>
      <c r="BP67" s="38">
        <v>-8</v>
      </c>
      <c r="BQ67" s="42"/>
      <c r="BR67" s="39">
        <v>-8</v>
      </c>
      <c r="BS67" s="22" t="s">
        <v>221</v>
      </c>
      <c r="BT67" s="4" t="str">
        <f t="shared" si="5"/>
        <v>120</v>
      </c>
      <c r="BU67" s="4" t="str">
        <f t="shared" si="5"/>
        <v>-8</v>
      </c>
      <c r="BV67" s="4">
        <f t="shared" ref="BV67:BV130" si="6">I67-H67</f>
        <v>60</v>
      </c>
      <c r="BW67" s="29">
        <f t="shared" ref="BW67:BW130" si="7">BP67*R67</f>
        <v>-37742872.799999997</v>
      </c>
      <c r="BX67" s="4">
        <v>51.49</v>
      </c>
      <c r="BY67" s="29">
        <f t="shared" ref="BY67:BY130" si="8">BW67*BX67/36500</f>
        <v>-53243.301930739726</v>
      </c>
    </row>
    <row r="68" spans="1:77" ht="15" hidden="1" customHeight="1" x14ac:dyDescent="0.35">
      <c r="A68" s="32" t="s">
        <v>217</v>
      </c>
      <c r="B68" s="32" t="s">
        <v>554</v>
      </c>
      <c r="C68" s="32" t="s">
        <v>16</v>
      </c>
      <c r="D68" s="32" t="s">
        <v>87</v>
      </c>
      <c r="E68" s="32" t="s">
        <v>88</v>
      </c>
      <c r="F68" s="32" t="s">
        <v>89</v>
      </c>
      <c r="G68" s="33">
        <v>46053</v>
      </c>
      <c r="H68" s="33">
        <v>46053</v>
      </c>
      <c r="I68" s="33">
        <v>46113</v>
      </c>
      <c r="J68" s="32" t="s">
        <v>11</v>
      </c>
      <c r="K68" s="34">
        <v>279925.74</v>
      </c>
      <c r="L68" s="34">
        <v>274437</v>
      </c>
      <c r="M68" s="34">
        <v>5488.74</v>
      </c>
      <c r="N68" s="34">
        <v>0</v>
      </c>
      <c r="O68" s="34">
        <v>0</v>
      </c>
      <c r="P68" s="34">
        <v>279925.74</v>
      </c>
      <c r="Q68" s="34">
        <v>279925.74</v>
      </c>
      <c r="R68" s="34">
        <v>279925.74</v>
      </c>
      <c r="S68" s="34">
        <v>5491.7335331808299</v>
      </c>
      <c r="T68" s="34">
        <v>279925.74</v>
      </c>
      <c r="U68" s="35">
        <v>279925.74</v>
      </c>
      <c r="V68" s="35">
        <v>0</v>
      </c>
      <c r="W68" s="35">
        <v>0</v>
      </c>
      <c r="X68" s="35">
        <v>0</v>
      </c>
      <c r="Y68" s="35">
        <v>0</v>
      </c>
      <c r="Z68" s="35">
        <v>0</v>
      </c>
      <c r="AA68" s="35">
        <v>0</v>
      </c>
      <c r="AB68" s="35">
        <v>0</v>
      </c>
      <c r="AC68" s="35">
        <v>0</v>
      </c>
      <c r="AD68" s="35">
        <v>0</v>
      </c>
      <c r="AE68" s="35">
        <v>0</v>
      </c>
      <c r="AF68" s="35">
        <v>0</v>
      </c>
      <c r="AG68" s="35">
        <v>0</v>
      </c>
      <c r="AH68" s="35">
        <v>0</v>
      </c>
      <c r="AI68" s="36">
        <v>5491.7335331808299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7">
        <v>279925.74</v>
      </c>
      <c r="AX68" s="37">
        <v>0</v>
      </c>
      <c r="AY68" s="37"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2" t="s">
        <v>12</v>
      </c>
      <c r="BL68" s="32" t="s">
        <v>13</v>
      </c>
      <c r="BM68" s="33">
        <v>46054.561828703707</v>
      </c>
      <c r="BN68" s="32" t="s">
        <v>28</v>
      </c>
      <c r="BO68" s="32" t="s">
        <v>29</v>
      </c>
      <c r="BP68" s="38">
        <v>-8</v>
      </c>
      <c r="BQ68" s="42"/>
      <c r="BR68" s="39">
        <v>-8</v>
      </c>
      <c r="BS68" s="22" t="s">
        <v>221</v>
      </c>
      <c r="BT68" s="4" t="str">
        <f t="shared" si="5"/>
        <v>120</v>
      </c>
      <c r="BU68" s="4" t="str">
        <f t="shared" si="5"/>
        <v>-8</v>
      </c>
      <c r="BV68" s="4">
        <f t="shared" si="6"/>
        <v>60</v>
      </c>
      <c r="BW68" s="29">
        <f t="shared" si="7"/>
        <v>-2239405.92</v>
      </c>
      <c r="BX68" s="4">
        <v>51.49</v>
      </c>
      <c r="BY68" s="29">
        <f t="shared" si="8"/>
        <v>-3159.0961868712329</v>
      </c>
    </row>
    <row r="69" spans="1:77" ht="15" hidden="1" customHeight="1" x14ac:dyDescent="0.35">
      <c r="A69" s="32" t="s">
        <v>217</v>
      </c>
      <c r="B69" s="32" t="s">
        <v>555</v>
      </c>
      <c r="C69" s="32" t="s">
        <v>35</v>
      </c>
      <c r="D69" s="32" t="s">
        <v>297</v>
      </c>
      <c r="E69" s="32" t="s">
        <v>328</v>
      </c>
      <c r="F69" s="32" t="s">
        <v>337</v>
      </c>
      <c r="G69" s="33">
        <v>46053</v>
      </c>
      <c r="H69" s="33">
        <v>46053</v>
      </c>
      <c r="I69" s="33">
        <v>46083</v>
      </c>
      <c r="J69" s="32" t="s">
        <v>37</v>
      </c>
      <c r="K69" s="34">
        <v>4413</v>
      </c>
      <c r="L69" s="34">
        <v>4413</v>
      </c>
      <c r="M69" s="34">
        <v>0</v>
      </c>
      <c r="N69" s="34">
        <v>4357</v>
      </c>
      <c r="O69" s="34">
        <v>0</v>
      </c>
      <c r="P69" s="34">
        <v>56</v>
      </c>
      <c r="Q69" s="34">
        <v>0</v>
      </c>
      <c r="R69" s="34">
        <v>56</v>
      </c>
      <c r="S69" s="34">
        <v>56</v>
      </c>
      <c r="T69" s="34">
        <v>2854.4432000000002</v>
      </c>
      <c r="U69" s="35">
        <v>0</v>
      </c>
      <c r="V69" s="35">
        <v>0</v>
      </c>
      <c r="W69" s="35">
        <v>0</v>
      </c>
      <c r="X69" s="35">
        <v>0</v>
      </c>
      <c r="Y69" s="35">
        <v>0</v>
      </c>
      <c r="Z69" s="35">
        <v>0</v>
      </c>
      <c r="AA69" s="35">
        <v>0</v>
      </c>
      <c r="AB69" s="35">
        <v>0</v>
      </c>
      <c r="AC69" s="35">
        <v>56</v>
      </c>
      <c r="AD69" s="35">
        <v>0</v>
      </c>
      <c r="AE69" s="35">
        <v>0</v>
      </c>
      <c r="AF69" s="35">
        <v>0</v>
      </c>
      <c r="AG69" s="35">
        <v>0</v>
      </c>
      <c r="AH69" s="35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56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7">
        <v>0</v>
      </c>
      <c r="AX69" s="37">
        <v>0</v>
      </c>
      <c r="AY69" s="37">
        <v>0</v>
      </c>
      <c r="AZ69" s="37">
        <v>0</v>
      </c>
      <c r="BA69" s="37">
        <v>0</v>
      </c>
      <c r="BB69" s="37">
        <v>0</v>
      </c>
      <c r="BC69" s="37">
        <v>0</v>
      </c>
      <c r="BD69" s="37">
        <v>0</v>
      </c>
      <c r="BE69" s="37">
        <v>2854.4432000000002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2" t="s">
        <v>12</v>
      </c>
      <c r="BL69" s="32" t="s">
        <v>13</v>
      </c>
      <c r="BM69" s="33">
        <v>46054.856064814812</v>
      </c>
      <c r="BN69" s="32" t="s">
        <v>28</v>
      </c>
      <c r="BO69" s="32" t="s">
        <v>29</v>
      </c>
      <c r="BP69" s="38">
        <v>22</v>
      </c>
      <c r="BQ69" s="42"/>
      <c r="BR69" s="39">
        <v>22</v>
      </c>
      <c r="BS69" s="22" t="s">
        <v>220</v>
      </c>
      <c r="BT69" s="4" t="str">
        <f t="shared" si="5"/>
        <v>120</v>
      </c>
      <c r="BU69" s="4" t="str">
        <f t="shared" si="5"/>
        <v>22</v>
      </c>
      <c r="BV69" s="4">
        <f t="shared" si="6"/>
        <v>30</v>
      </c>
      <c r="BW69" s="29">
        <f t="shared" si="7"/>
        <v>1232</v>
      </c>
      <c r="BX69" s="4">
        <v>51.49</v>
      </c>
      <c r="BY69" s="29">
        <f t="shared" si="8"/>
        <v>1.7379638356164384</v>
      </c>
    </row>
    <row r="70" spans="1:77" ht="15" hidden="1" customHeight="1" x14ac:dyDescent="0.35">
      <c r="A70" s="32" t="s">
        <v>217</v>
      </c>
      <c r="B70" s="32" t="s">
        <v>556</v>
      </c>
      <c r="C70" s="32" t="s">
        <v>16</v>
      </c>
      <c r="D70" s="32" t="s">
        <v>409</v>
      </c>
      <c r="E70" s="32" t="s">
        <v>100</v>
      </c>
      <c r="F70" s="32" t="s">
        <v>410</v>
      </c>
      <c r="G70" s="33">
        <v>46053</v>
      </c>
      <c r="H70" s="33">
        <v>46053</v>
      </c>
      <c r="I70" s="33">
        <v>46068</v>
      </c>
      <c r="J70" s="32" t="s">
        <v>11</v>
      </c>
      <c r="K70" s="34">
        <v>238368.22</v>
      </c>
      <c r="L70" s="34">
        <v>233694.33</v>
      </c>
      <c r="M70" s="34">
        <v>4673.8900000000003</v>
      </c>
      <c r="N70" s="34">
        <v>0</v>
      </c>
      <c r="O70" s="34">
        <v>0</v>
      </c>
      <c r="P70" s="34">
        <v>238368.22</v>
      </c>
      <c r="Q70" s="34">
        <v>0</v>
      </c>
      <c r="R70" s="34">
        <v>238368.22</v>
      </c>
      <c r="S70" s="34">
        <v>4676.4357826423002</v>
      </c>
      <c r="T70" s="34">
        <v>238368.22</v>
      </c>
      <c r="U70" s="35">
        <v>0</v>
      </c>
      <c r="V70" s="35">
        <v>0</v>
      </c>
      <c r="W70" s="35">
        <v>0</v>
      </c>
      <c r="X70" s="35">
        <v>0</v>
      </c>
      <c r="Y70" s="35">
        <v>0</v>
      </c>
      <c r="Z70" s="35">
        <v>0</v>
      </c>
      <c r="AA70" s="35">
        <v>0</v>
      </c>
      <c r="AB70" s="35">
        <v>0</v>
      </c>
      <c r="AC70" s="35">
        <v>0</v>
      </c>
      <c r="AD70" s="35">
        <v>238368.22</v>
      </c>
      <c r="AE70" s="35">
        <v>0</v>
      </c>
      <c r="AF70" s="35">
        <v>0</v>
      </c>
      <c r="AG70" s="35">
        <v>0</v>
      </c>
      <c r="AH70" s="35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4676.4357826423002</v>
      </c>
      <c r="AS70" s="36">
        <v>0</v>
      </c>
      <c r="AT70" s="36">
        <v>0</v>
      </c>
      <c r="AU70" s="36">
        <v>0</v>
      </c>
      <c r="AV70" s="36">
        <v>0</v>
      </c>
      <c r="AW70" s="37">
        <v>0</v>
      </c>
      <c r="AX70" s="37">
        <v>0</v>
      </c>
      <c r="AY70" s="37"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238368.22</v>
      </c>
      <c r="BG70" s="37">
        <v>0</v>
      </c>
      <c r="BH70" s="37">
        <v>0</v>
      </c>
      <c r="BI70" s="37">
        <v>0</v>
      </c>
      <c r="BJ70" s="37">
        <v>0</v>
      </c>
      <c r="BK70" s="32" t="s">
        <v>12</v>
      </c>
      <c r="BL70" s="32" t="s">
        <v>13</v>
      </c>
      <c r="BM70" s="33">
        <v>46054.85796296296</v>
      </c>
      <c r="BN70" s="32" t="s">
        <v>28</v>
      </c>
      <c r="BO70" s="32" t="s">
        <v>29</v>
      </c>
      <c r="BP70" s="38">
        <v>37</v>
      </c>
      <c r="BQ70" s="42"/>
      <c r="BR70" s="39">
        <v>37</v>
      </c>
      <c r="BS70" s="22" t="s">
        <v>220</v>
      </c>
      <c r="BT70" s="4" t="str">
        <f t="shared" si="5"/>
        <v>120</v>
      </c>
      <c r="BU70" s="4" t="str">
        <f t="shared" si="5"/>
        <v>37</v>
      </c>
      <c r="BV70" s="4">
        <f t="shared" si="6"/>
        <v>15</v>
      </c>
      <c r="BW70" s="29">
        <f t="shared" si="7"/>
        <v>8819624.1400000006</v>
      </c>
      <c r="BX70" s="4">
        <v>51.49</v>
      </c>
      <c r="BY70" s="29">
        <f t="shared" si="8"/>
        <v>12441.710875852055</v>
      </c>
    </row>
    <row r="71" spans="1:77" ht="15" hidden="1" customHeight="1" x14ac:dyDescent="0.35">
      <c r="A71" s="32" t="s">
        <v>217</v>
      </c>
      <c r="B71" s="32" t="s">
        <v>557</v>
      </c>
      <c r="C71" s="32" t="s">
        <v>16</v>
      </c>
      <c r="D71" s="32" t="s">
        <v>409</v>
      </c>
      <c r="E71" s="32" t="s">
        <v>100</v>
      </c>
      <c r="F71" s="32" t="s">
        <v>410</v>
      </c>
      <c r="G71" s="33">
        <v>46053</v>
      </c>
      <c r="H71" s="33">
        <v>46053</v>
      </c>
      <c r="I71" s="33">
        <v>46068</v>
      </c>
      <c r="J71" s="32" t="s">
        <v>11</v>
      </c>
      <c r="K71" s="34">
        <v>236838.22</v>
      </c>
      <c r="L71" s="34">
        <v>232194.33</v>
      </c>
      <c r="M71" s="34">
        <v>4643.8900000000003</v>
      </c>
      <c r="N71" s="34">
        <v>0</v>
      </c>
      <c r="O71" s="34">
        <v>0</v>
      </c>
      <c r="P71" s="34">
        <v>236838.22</v>
      </c>
      <c r="Q71" s="34">
        <v>0</v>
      </c>
      <c r="R71" s="34">
        <v>236838.22</v>
      </c>
      <c r="S71" s="34">
        <v>4646.4194207823102</v>
      </c>
      <c r="T71" s="34">
        <v>236838.22</v>
      </c>
      <c r="U71" s="35">
        <v>0</v>
      </c>
      <c r="V71" s="35">
        <v>0</v>
      </c>
      <c r="W71" s="35">
        <v>0</v>
      </c>
      <c r="X71" s="35">
        <v>0</v>
      </c>
      <c r="Y71" s="35">
        <v>0</v>
      </c>
      <c r="Z71" s="35">
        <v>0</v>
      </c>
      <c r="AA71" s="35">
        <v>0</v>
      </c>
      <c r="AB71" s="35">
        <v>0</v>
      </c>
      <c r="AC71" s="35">
        <v>0</v>
      </c>
      <c r="AD71" s="35">
        <v>236838.22</v>
      </c>
      <c r="AE71" s="35">
        <v>0</v>
      </c>
      <c r="AF71" s="35">
        <v>0</v>
      </c>
      <c r="AG71" s="35">
        <v>0</v>
      </c>
      <c r="AH71" s="35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4646.4194207823102</v>
      </c>
      <c r="AS71" s="36">
        <v>0</v>
      </c>
      <c r="AT71" s="36">
        <v>0</v>
      </c>
      <c r="AU71" s="36">
        <v>0</v>
      </c>
      <c r="AV71" s="36">
        <v>0</v>
      </c>
      <c r="AW71" s="37">
        <v>0</v>
      </c>
      <c r="AX71" s="37">
        <v>0</v>
      </c>
      <c r="AY71" s="37">
        <v>0</v>
      </c>
      <c r="AZ71" s="37">
        <v>0</v>
      </c>
      <c r="BA71" s="37">
        <v>0</v>
      </c>
      <c r="BB71" s="37">
        <v>0</v>
      </c>
      <c r="BC71" s="37">
        <v>0</v>
      </c>
      <c r="BD71" s="37">
        <v>0</v>
      </c>
      <c r="BE71" s="37">
        <v>0</v>
      </c>
      <c r="BF71" s="37">
        <v>236838.22</v>
      </c>
      <c r="BG71" s="37">
        <v>0</v>
      </c>
      <c r="BH71" s="37">
        <v>0</v>
      </c>
      <c r="BI71" s="37">
        <v>0</v>
      </c>
      <c r="BJ71" s="37">
        <v>0</v>
      </c>
      <c r="BK71" s="32" t="s">
        <v>12</v>
      </c>
      <c r="BL71" s="32" t="s">
        <v>13</v>
      </c>
      <c r="BM71" s="33">
        <v>46054.858171296299</v>
      </c>
      <c r="BN71" s="32" t="s">
        <v>28</v>
      </c>
      <c r="BO71" s="32" t="s">
        <v>29</v>
      </c>
      <c r="BP71" s="38">
        <v>37</v>
      </c>
      <c r="BQ71" s="42"/>
      <c r="BR71" s="39">
        <v>37</v>
      </c>
      <c r="BS71" s="22" t="s">
        <v>220</v>
      </c>
      <c r="BT71" s="4" t="str">
        <f t="shared" si="5"/>
        <v>120</v>
      </c>
      <c r="BU71" s="4" t="str">
        <f t="shared" si="5"/>
        <v>37</v>
      </c>
      <c r="BV71" s="4">
        <f t="shared" si="6"/>
        <v>15</v>
      </c>
      <c r="BW71" s="29">
        <f t="shared" si="7"/>
        <v>8763014.1400000006</v>
      </c>
      <c r="BX71" s="4">
        <v>51.49</v>
      </c>
      <c r="BY71" s="29">
        <f t="shared" si="8"/>
        <v>12361.852001879453</v>
      </c>
    </row>
    <row r="72" spans="1:77" ht="15" hidden="1" customHeight="1" x14ac:dyDescent="0.35">
      <c r="A72" s="32" t="s">
        <v>217</v>
      </c>
      <c r="B72" s="32" t="s">
        <v>558</v>
      </c>
      <c r="C72" s="32" t="s">
        <v>16</v>
      </c>
      <c r="D72" s="32" t="s">
        <v>47</v>
      </c>
      <c r="E72" s="32" t="s">
        <v>48</v>
      </c>
      <c r="F72" s="32" t="s">
        <v>49</v>
      </c>
      <c r="G72" s="33">
        <v>46053</v>
      </c>
      <c r="H72" s="33">
        <v>46053</v>
      </c>
      <c r="I72" s="33">
        <v>46098</v>
      </c>
      <c r="J72" s="32" t="s">
        <v>11</v>
      </c>
      <c r="K72" s="34">
        <v>652019.02</v>
      </c>
      <c r="L72" s="34">
        <v>639234.32999999996</v>
      </c>
      <c r="M72" s="34">
        <v>12784.69</v>
      </c>
      <c r="N72" s="34">
        <v>0</v>
      </c>
      <c r="O72" s="34">
        <v>0</v>
      </c>
      <c r="P72" s="34">
        <v>652019.02</v>
      </c>
      <c r="Q72" s="34">
        <v>0</v>
      </c>
      <c r="R72" s="34">
        <v>652019.02</v>
      </c>
      <c r="S72" s="34">
        <v>12791.659375110399</v>
      </c>
      <c r="T72" s="34">
        <v>652019.02</v>
      </c>
      <c r="U72" s="35">
        <v>0</v>
      </c>
      <c r="V72" s="35">
        <v>0</v>
      </c>
      <c r="W72" s="35">
        <v>0</v>
      </c>
      <c r="X72" s="35">
        <v>0</v>
      </c>
      <c r="Y72" s="35">
        <v>0</v>
      </c>
      <c r="Z72" s="35">
        <v>0</v>
      </c>
      <c r="AA72" s="35">
        <v>0</v>
      </c>
      <c r="AB72" s="35">
        <v>652019.02</v>
      </c>
      <c r="AC72" s="35">
        <v>0</v>
      </c>
      <c r="AD72" s="35">
        <v>0</v>
      </c>
      <c r="AE72" s="35">
        <v>0</v>
      </c>
      <c r="AF72" s="35">
        <v>0</v>
      </c>
      <c r="AG72" s="35">
        <v>0</v>
      </c>
      <c r="AH72" s="35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12791.659375110399</v>
      </c>
      <c r="AQ72" s="36">
        <v>0</v>
      </c>
      <c r="AR72" s="36">
        <v>0</v>
      </c>
      <c r="AS72" s="36">
        <v>0</v>
      </c>
      <c r="AT72" s="36">
        <v>0</v>
      </c>
      <c r="AU72" s="36">
        <v>0</v>
      </c>
      <c r="AV72" s="36">
        <v>0</v>
      </c>
      <c r="AW72" s="37">
        <v>0</v>
      </c>
      <c r="AX72" s="37">
        <v>0</v>
      </c>
      <c r="AY72" s="37"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652019.02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2" t="s">
        <v>12</v>
      </c>
      <c r="BL72" s="32" t="s">
        <v>13</v>
      </c>
      <c r="BM72" s="33">
        <v>46054.858587962961</v>
      </c>
      <c r="BN72" s="32" t="s">
        <v>28</v>
      </c>
      <c r="BO72" s="32" t="s">
        <v>29</v>
      </c>
      <c r="BP72" s="38">
        <v>7</v>
      </c>
      <c r="BQ72" s="42"/>
      <c r="BR72" s="39">
        <v>7</v>
      </c>
      <c r="BS72" s="22" t="s">
        <v>220</v>
      </c>
      <c r="BT72" s="4" t="str">
        <f t="shared" si="5"/>
        <v>120</v>
      </c>
      <c r="BU72" s="4" t="str">
        <f t="shared" si="5"/>
        <v>7</v>
      </c>
      <c r="BV72" s="4">
        <f t="shared" si="6"/>
        <v>45</v>
      </c>
      <c r="BW72" s="29">
        <f t="shared" si="7"/>
        <v>4564133.1400000006</v>
      </c>
      <c r="BX72" s="4">
        <v>51.49</v>
      </c>
      <c r="BY72" s="29">
        <f t="shared" si="8"/>
        <v>6438.5538459890422</v>
      </c>
    </row>
    <row r="73" spans="1:77" ht="15" hidden="1" customHeight="1" x14ac:dyDescent="0.35">
      <c r="A73" s="32" t="s">
        <v>217</v>
      </c>
      <c r="B73" s="32" t="s">
        <v>559</v>
      </c>
      <c r="C73" s="32" t="s">
        <v>16</v>
      </c>
      <c r="D73" s="32" t="s">
        <v>47</v>
      </c>
      <c r="E73" s="32" t="s">
        <v>48</v>
      </c>
      <c r="F73" s="32" t="s">
        <v>49</v>
      </c>
      <c r="G73" s="33">
        <v>46053</v>
      </c>
      <c r="H73" s="33">
        <v>46053</v>
      </c>
      <c r="I73" s="33">
        <v>46098</v>
      </c>
      <c r="J73" s="32" t="s">
        <v>11</v>
      </c>
      <c r="K73" s="34">
        <v>2570551.0699999998</v>
      </c>
      <c r="L73" s="34">
        <v>2520148.11</v>
      </c>
      <c r="M73" s="34">
        <v>50402.96</v>
      </c>
      <c r="N73" s="34">
        <v>0</v>
      </c>
      <c r="O73" s="34">
        <v>0</v>
      </c>
      <c r="P73" s="34">
        <v>2570551.0699999998</v>
      </c>
      <c r="Q73" s="34">
        <v>0</v>
      </c>
      <c r="R73" s="34">
        <v>2570551.0699999998</v>
      </c>
      <c r="S73" s="34">
        <v>50430.4516971997</v>
      </c>
      <c r="T73" s="34">
        <v>2570551.0699999998</v>
      </c>
      <c r="U73" s="35">
        <v>0</v>
      </c>
      <c r="V73" s="35">
        <v>0</v>
      </c>
      <c r="W73" s="35">
        <v>0</v>
      </c>
      <c r="X73" s="35">
        <v>0</v>
      </c>
      <c r="Y73" s="35">
        <v>0</v>
      </c>
      <c r="Z73" s="35">
        <v>0</v>
      </c>
      <c r="AA73" s="35">
        <v>0</v>
      </c>
      <c r="AB73" s="35">
        <v>2570551.0699999998</v>
      </c>
      <c r="AC73" s="35">
        <v>0</v>
      </c>
      <c r="AD73" s="35">
        <v>0</v>
      </c>
      <c r="AE73" s="35">
        <v>0</v>
      </c>
      <c r="AF73" s="35">
        <v>0</v>
      </c>
      <c r="AG73" s="35">
        <v>0</v>
      </c>
      <c r="AH73" s="35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50430.4516971997</v>
      </c>
      <c r="AQ73" s="36">
        <v>0</v>
      </c>
      <c r="AR73" s="36">
        <v>0</v>
      </c>
      <c r="AS73" s="36">
        <v>0</v>
      </c>
      <c r="AT73" s="36">
        <v>0</v>
      </c>
      <c r="AU73" s="36">
        <v>0</v>
      </c>
      <c r="AV73" s="36">
        <v>0</v>
      </c>
      <c r="AW73" s="37">
        <v>0</v>
      </c>
      <c r="AX73" s="37">
        <v>0</v>
      </c>
      <c r="AY73" s="37">
        <v>0</v>
      </c>
      <c r="AZ73" s="37">
        <v>0</v>
      </c>
      <c r="BA73" s="37">
        <v>0</v>
      </c>
      <c r="BB73" s="37">
        <v>0</v>
      </c>
      <c r="BC73" s="37">
        <v>0</v>
      </c>
      <c r="BD73" s="37">
        <v>2570551.0699999998</v>
      </c>
      <c r="BE73" s="37">
        <v>0</v>
      </c>
      <c r="BF73" s="37">
        <v>0</v>
      </c>
      <c r="BG73" s="37">
        <v>0</v>
      </c>
      <c r="BH73" s="37">
        <v>0</v>
      </c>
      <c r="BI73" s="37">
        <v>0</v>
      </c>
      <c r="BJ73" s="37">
        <v>0</v>
      </c>
      <c r="BK73" s="32" t="s">
        <v>12</v>
      </c>
      <c r="BL73" s="32" t="s">
        <v>13</v>
      </c>
      <c r="BM73" s="33">
        <v>46054.858807870369</v>
      </c>
      <c r="BN73" s="32" t="s">
        <v>28</v>
      </c>
      <c r="BO73" s="32" t="s">
        <v>29</v>
      </c>
      <c r="BP73" s="38">
        <v>7</v>
      </c>
      <c r="BQ73" s="42"/>
      <c r="BR73" s="39">
        <v>7</v>
      </c>
      <c r="BS73" s="22" t="s">
        <v>220</v>
      </c>
      <c r="BT73" s="4" t="str">
        <f t="shared" si="5"/>
        <v>120</v>
      </c>
      <c r="BU73" s="4" t="str">
        <f t="shared" si="5"/>
        <v>7</v>
      </c>
      <c r="BV73" s="4">
        <f t="shared" si="6"/>
        <v>45</v>
      </c>
      <c r="BW73" s="29">
        <f t="shared" si="7"/>
        <v>17993857.489999998</v>
      </c>
      <c r="BX73" s="4">
        <v>51.49</v>
      </c>
      <c r="BY73" s="29">
        <f t="shared" si="8"/>
        <v>25383.663620824656</v>
      </c>
    </row>
    <row r="74" spans="1:77" ht="15" hidden="1" customHeight="1" x14ac:dyDescent="0.35">
      <c r="A74" s="32" t="s">
        <v>217</v>
      </c>
      <c r="B74" s="32" t="s">
        <v>560</v>
      </c>
      <c r="C74" s="32" t="s">
        <v>16</v>
      </c>
      <c r="D74" s="32" t="s">
        <v>346</v>
      </c>
      <c r="E74" s="32" t="s">
        <v>347</v>
      </c>
      <c r="F74" s="32" t="s">
        <v>46</v>
      </c>
      <c r="G74" s="33">
        <v>46053</v>
      </c>
      <c r="H74" s="33">
        <v>46053</v>
      </c>
      <c r="I74" s="33">
        <v>46113</v>
      </c>
      <c r="J74" s="32" t="s">
        <v>11</v>
      </c>
      <c r="K74" s="34">
        <v>1933645.28</v>
      </c>
      <c r="L74" s="34">
        <v>1895730.67</v>
      </c>
      <c r="M74" s="34">
        <v>37914.61</v>
      </c>
      <c r="N74" s="34">
        <v>0</v>
      </c>
      <c r="O74" s="34">
        <v>0</v>
      </c>
      <c r="P74" s="34">
        <v>1933645.28</v>
      </c>
      <c r="Q74" s="34">
        <v>1933645.28</v>
      </c>
      <c r="R74" s="34">
        <v>1933645.28</v>
      </c>
      <c r="S74" s="34">
        <v>37935.2917865032</v>
      </c>
      <c r="T74" s="34">
        <v>1933645.28</v>
      </c>
      <c r="U74" s="35">
        <v>1933645.28</v>
      </c>
      <c r="V74" s="35">
        <v>0</v>
      </c>
      <c r="W74" s="35">
        <v>0</v>
      </c>
      <c r="X74" s="35">
        <v>0</v>
      </c>
      <c r="Y74" s="35">
        <v>0</v>
      </c>
      <c r="Z74" s="35">
        <v>0</v>
      </c>
      <c r="AA74" s="35">
        <v>0</v>
      </c>
      <c r="AB74" s="35">
        <v>0</v>
      </c>
      <c r="AC74" s="35">
        <v>0</v>
      </c>
      <c r="AD74" s="35">
        <v>0</v>
      </c>
      <c r="AE74" s="35">
        <v>0</v>
      </c>
      <c r="AF74" s="35">
        <v>0</v>
      </c>
      <c r="AG74" s="35">
        <v>0</v>
      </c>
      <c r="AH74" s="35">
        <v>0</v>
      </c>
      <c r="AI74" s="36">
        <v>37935.2917865032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7">
        <v>1933645.28</v>
      </c>
      <c r="AX74" s="37">
        <v>0</v>
      </c>
      <c r="AY74" s="37"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2" t="s">
        <v>12</v>
      </c>
      <c r="BL74" s="32" t="s">
        <v>13</v>
      </c>
      <c r="BM74" s="33">
        <v>46054.859027777777</v>
      </c>
      <c r="BN74" s="32" t="s">
        <v>28</v>
      </c>
      <c r="BO74" s="32" t="s">
        <v>29</v>
      </c>
      <c r="BP74" s="38">
        <v>-8</v>
      </c>
      <c r="BQ74" s="42"/>
      <c r="BR74" s="39">
        <v>-8</v>
      </c>
      <c r="BS74" s="22" t="s">
        <v>221</v>
      </c>
      <c r="BT74" s="4" t="str">
        <f t="shared" si="5"/>
        <v>120</v>
      </c>
      <c r="BU74" s="4" t="str">
        <f t="shared" si="5"/>
        <v>-8</v>
      </c>
      <c r="BV74" s="4">
        <f t="shared" si="6"/>
        <v>60</v>
      </c>
      <c r="BW74" s="29">
        <f t="shared" si="7"/>
        <v>-15469162.24</v>
      </c>
      <c r="BX74" s="4">
        <v>51.49</v>
      </c>
      <c r="BY74" s="29">
        <f t="shared" si="8"/>
        <v>-21822.114075002741</v>
      </c>
    </row>
    <row r="75" spans="1:77" ht="15" hidden="1" customHeight="1" x14ac:dyDescent="0.35">
      <c r="A75" s="32" t="s">
        <v>217</v>
      </c>
      <c r="B75" s="32" t="s">
        <v>561</v>
      </c>
      <c r="C75" s="32" t="s">
        <v>16</v>
      </c>
      <c r="D75" s="32" t="s">
        <v>348</v>
      </c>
      <c r="E75" s="32" t="s">
        <v>349</v>
      </c>
      <c r="F75" s="32" t="s">
        <v>46</v>
      </c>
      <c r="G75" s="33">
        <v>46053</v>
      </c>
      <c r="H75" s="33">
        <v>46053</v>
      </c>
      <c r="I75" s="33">
        <v>46098</v>
      </c>
      <c r="J75" s="32" t="s">
        <v>11</v>
      </c>
      <c r="K75" s="34">
        <v>132375.12</v>
      </c>
      <c r="L75" s="34">
        <v>129779.53</v>
      </c>
      <c r="M75" s="34">
        <v>2595.59</v>
      </c>
      <c r="N75" s="34">
        <v>0</v>
      </c>
      <c r="O75" s="34">
        <v>0</v>
      </c>
      <c r="P75" s="34">
        <v>132375.12</v>
      </c>
      <c r="Q75" s="34">
        <v>0</v>
      </c>
      <c r="R75" s="34">
        <v>132375.12</v>
      </c>
      <c r="S75" s="34">
        <v>2597.0062112288701</v>
      </c>
      <c r="T75" s="34">
        <v>132375.12</v>
      </c>
      <c r="U75" s="35">
        <v>0</v>
      </c>
      <c r="V75" s="35">
        <v>0</v>
      </c>
      <c r="W75" s="35">
        <v>0</v>
      </c>
      <c r="X75" s="35">
        <v>0</v>
      </c>
      <c r="Y75" s="35">
        <v>0</v>
      </c>
      <c r="Z75" s="35">
        <v>0</v>
      </c>
      <c r="AA75" s="35">
        <v>0</v>
      </c>
      <c r="AB75" s="35">
        <v>132375.12</v>
      </c>
      <c r="AC75" s="35">
        <v>0</v>
      </c>
      <c r="AD75" s="35">
        <v>0</v>
      </c>
      <c r="AE75" s="35">
        <v>0</v>
      </c>
      <c r="AF75" s="35">
        <v>0</v>
      </c>
      <c r="AG75" s="35">
        <v>0</v>
      </c>
      <c r="AH75" s="35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2597.0062112288701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7">
        <v>0</v>
      </c>
      <c r="AX75" s="37">
        <v>0</v>
      </c>
      <c r="AY75" s="37">
        <v>0</v>
      </c>
      <c r="AZ75" s="37">
        <v>0</v>
      </c>
      <c r="BA75" s="37">
        <v>0</v>
      </c>
      <c r="BB75" s="37">
        <v>0</v>
      </c>
      <c r="BC75" s="37">
        <v>0</v>
      </c>
      <c r="BD75" s="37">
        <v>132375.12</v>
      </c>
      <c r="BE75" s="37">
        <v>0</v>
      </c>
      <c r="BF75" s="37">
        <v>0</v>
      </c>
      <c r="BG75" s="37">
        <v>0</v>
      </c>
      <c r="BH75" s="37">
        <v>0</v>
      </c>
      <c r="BI75" s="37">
        <v>0</v>
      </c>
      <c r="BJ75" s="37">
        <v>0</v>
      </c>
      <c r="BK75" s="32" t="s">
        <v>12</v>
      </c>
      <c r="BL75" s="32" t="s">
        <v>13</v>
      </c>
      <c r="BM75" s="33">
        <v>46054.859224537038</v>
      </c>
      <c r="BN75" s="32" t="s">
        <v>28</v>
      </c>
      <c r="BO75" s="32" t="s">
        <v>29</v>
      </c>
      <c r="BP75" s="38">
        <v>7</v>
      </c>
      <c r="BQ75" s="42"/>
      <c r="BR75" s="39">
        <v>7</v>
      </c>
      <c r="BS75" s="22" t="s">
        <v>220</v>
      </c>
      <c r="BT75" s="4" t="str">
        <f t="shared" si="5"/>
        <v>120</v>
      </c>
      <c r="BU75" s="4" t="str">
        <f t="shared" si="5"/>
        <v>7</v>
      </c>
      <c r="BV75" s="4">
        <f t="shared" si="6"/>
        <v>45</v>
      </c>
      <c r="BW75" s="29">
        <f t="shared" si="7"/>
        <v>926625.84</v>
      </c>
      <c r="BX75" s="4">
        <v>51.49</v>
      </c>
      <c r="BY75" s="29">
        <f t="shared" si="8"/>
        <v>1307.1771096328766</v>
      </c>
    </row>
    <row r="76" spans="1:77" ht="15" hidden="1" customHeight="1" x14ac:dyDescent="0.35">
      <c r="A76" s="32" t="s">
        <v>217</v>
      </c>
      <c r="B76" s="32" t="s">
        <v>563</v>
      </c>
      <c r="C76" s="32" t="s">
        <v>16</v>
      </c>
      <c r="D76" s="32" t="s">
        <v>403</v>
      </c>
      <c r="E76" s="32" t="s">
        <v>269</v>
      </c>
      <c r="F76" s="32" t="s">
        <v>46</v>
      </c>
      <c r="G76" s="33">
        <v>46053</v>
      </c>
      <c r="H76" s="33">
        <v>46053</v>
      </c>
      <c r="I76" s="33">
        <v>46068</v>
      </c>
      <c r="J76" s="32" t="s">
        <v>11</v>
      </c>
      <c r="K76" s="34">
        <v>392745.04</v>
      </c>
      <c r="L76" s="34">
        <v>385044.16</v>
      </c>
      <c r="M76" s="34">
        <v>7700.88</v>
      </c>
      <c r="N76" s="34">
        <v>392745.03</v>
      </c>
      <c r="O76" s="34">
        <v>0</v>
      </c>
      <c r="P76" s="34">
        <v>0.01</v>
      </c>
      <c r="Q76" s="34">
        <v>0</v>
      </c>
      <c r="R76" s="34">
        <v>0.01</v>
      </c>
      <c r="S76" s="34">
        <v>1.9618537163394899E-4</v>
      </c>
      <c r="T76" s="34">
        <v>0.01</v>
      </c>
      <c r="U76" s="35">
        <v>0</v>
      </c>
      <c r="V76" s="35">
        <v>0</v>
      </c>
      <c r="W76" s="35">
        <v>0</v>
      </c>
      <c r="X76" s="35">
        <v>0</v>
      </c>
      <c r="Y76" s="35">
        <v>0</v>
      </c>
      <c r="Z76" s="35">
        <v>0</v>
      </c>
      <c r="AA76" s="35">
        <v>0</v>
      </c>
      <c r="AB76" s="35">
        <v>0</v>
      </c>
      <c r="AC76" s="35">
        <v>0</v>
      </c>
      <c r="AD76" s="35">
        <v>0.01</v>
      </c>
      <c r="AE76" s="35">
        <v>0</v>
      </c>
      <c r="AF76" s="35">
        <v>0</v>
      </c>
      <c r="AG76" s="35">
        <v>0</v>
      </c>
      <c r="AH76" s="35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1.9618537163394899E-4</v>
      </c>
      <c r="AS76" s="36">
        <v>0</v>
      </c>
      <c r="AT76" s="36">
        <v>0</v>
      </c>
      <c r="AU76" s="36">
        <v>0</v>
      </c>
      <c r="AV76" s="36">
        <v>0</v>
      </c>
      <c r="AW76" s="37">
        <v>0</v>
      </c>
      <c r="AX76" s="37">
        <v>0</v>
      </c>
      <c r="AY76" s="37"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0.01</v>
      </c>
      <c r="BG76" s="37">
        <v>0</v>
      </c>
      <c r="BH76" s="37">
        <v>0</v>
      </c>
      <c r="BI76" s="37">
        <v>0</v>
      </c>
      <c r="BJ76" s="37">
        <v>0</v>
      </c>
      <c r="BK76" s="32" t="s">
        <v>12</v>
      </c>
      <c r="BL76" s="32" t="s">
        <v>13</v>
      </c>
      <c r="BM76" s="33">
        <v>46054.866215277776</v>
      </c>
      <c r="BN76" s="32" t="s">
        <v>28</v>
      </c>
      <c r="BO76" s="32" t="s">
        <v>29</v>
      </c>
      <c r="BP76" s="38">
        <v>37</v>
      </c>
      <c r="BQ76" s="42"/>
      <c r="BR76" s="39">
        <v>37</v>
      </c>
      <c r="BS76" s="22" t="s">
        <v>220</v>
      </c>
      <c r="BT76" s="4" t="str">
        <f t="shared" si="5"/>
        <v>120</v>
      </c>
      <c r="BU76" s="4" t="str">
        <f t="shared" si="5"/>
        <v>37</v>
      </c>
      <c r="BV76" s="4">
        <f t="shared" si="6"/>
        <v>15</v>
      </c>
      <c r="BW76" s="29">
        <f t="shared" si="7"/>
        <v>0.37</v>
      </c>
      <c r="BX76" s="4">
        <v>51.49</v>
      </c>
      <c r="BY76" s="29">
        <f t="shared" si="8"/>
        <v>5.2195342465753431E-4</v>
      </c>
    </row>
    <row r="77" spans="1:77" ht="15" hidden="1" customHeight="1" x14ac:dyDescent="0.35">
      <c r="A77" s="32" t="s">
        <v>217</v>
      </c>
      <c r="B77" s="32" t="s">
        <v>564</v>
      </c>
      <c r="C77" s="32" t="s">
        <v>16</v>
      </c>
      <c r="D77" s="32" t="s">
        <v>565</v>
      </c>
      <c r="E77" s="32" t="s">
        <v>566</v>
      </c>
      <c r="F77" s="32" t="s">
        <v>46</v>
      </c>
      <c r="G77" s="33">
        <v>46053</v>
      </c>
      <c r="H77" s="33">
        <v>46053</v>
      </c>
      <c r="I77" s="33">
        <v>46083</v>
      </c>
      <c r="J77" s="32" t="s">
        <v>11</v>
      </c>
      <c r="K77" s="34">
        <v>113750.7</v>
      </c>
      <c r="L77" s="34">
        <v>111520.29</v>
      </c>
      <c r="M77" s="34">
        <v>2230.41</v>
      </c>
      <c r="N77" s="34">
        <v>0</v>
      </c>
      <c r="O77" s="34">
        <v>0</v>
      </c>
      <c r="P77" s="34">
        <v>113750.7</v>
      </c>
      <c r="Q77" s="34">
        <v>0</v>
      </c>
      <c r="R77" s="34">
        <v>113750.7</v>
      </c>
      <c r="S77" s="34">
        <v>2231.62233531219</v>
      </c>
      <c r="T77" s="34">
        <v>113750.7</v>
      </c>
      <c r="U77" s="35">
        <v>0</v>
      </c>
      <c r="V77" s="35">
        <v>0</v>
      </c>
      <c r="W77" s="35">
        <v>0</v>
      </c>
      <c r="X77" s="35">
        <v>0</v>
      </c>
      <c r="Y77" s="35">
        <v>0</v>
      </c>
      <c r="Z77" s="35">
        <v>0</v>
      </c>
      <c r="AA77" s="35">
        <v>0</v>
      </c>
      <c r="AB77" s="35">
        <v>0</v>
      </c>
      <c r="AC77" s="35">
        <v>113750.7</v>
      </c>
      <c r="AD77" s="35">
        <v>0</v>
      </c>
      <c r="AE77" s="35">
        <v>0</v>
      </c>
      <c r="AF77" s="35">
        <v>0</v>
      </c>
      <c r="AG77" s="35">
        <v>0</v>
      </c>
      <c r="AH77" s="35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2231.62233531219</v>
      </c>
      <c r="AR77" s="36">
        <v>0</v>
      </c>
      <c r="AS77" s="36">
        <v>0</v>
      </c>
      <c r="AT77" s="36">
        <v>0</v>
      </c>
      <c r="AU77" s="36">
        <v>0</v>
      </c>
      <c r="AV77" s="36">
        <v>0</v>
      </c>
      <c r="AW77" s="37">
        <v>0</v>
      </c>
      <c r="AX77" s="37">
        <v>0</v>
      </c>
      <c r="AY77" s="37">
        <v>0</v>
      </c>
      <c r="AZ77" s="37">
        <v>0</v>
      </c>
      <c r="BA77" s="37">
        <v>0</v>
      </c>
      <c r="BB77" s="37">
        <v>0</v>
      </c>
      <c r="BC77" s="37">
        <v>0</v>
      </c>
      <c r="BD77" s="37">
        <v>0</v>
      </c>
      <c r="BE77" s="37">
        <v>113750.7</v>
      </c>
      <c r="BF77" s="37">
        <v>0</v>
      </c>
      <c r="BG77" s="37">
        <v>0</v>
      </c>
      <c r="BH77" s="37">
        <v>0</v>
      </c>
      <c r="BI77" s="37">
        <v>0</v>
      </c>
      <c r="BJ77" s="37">
        <v>0</v>
      </c>
      <c r="BK77" s="32" t="s">
        <v>12</v>
      </c>
      <c r="BL77" s="32" t="s">
        <v>13</v>
      </c>
      <c r="BM77" s="33">
        <v>46055.46603009259</v>
      </c>
      <c r="BN77" s="32" t="s">
        <v>28</v>
      </c>
      <c r="BO77" s="32" t="s">
        <v>29</v>
      </c>
      <c r="BP77" s="38">
        <v>22</v>
      </c>
      <c r="BQ77" s="42"/>
      <c r="BR77" s="39">
        <v>22</v>
      </c>
      <c r="BS77" s="22" t="s">
        <v>220</v>
      </c>
      <c r="BT77" s="4" t="str">
        <f t="shared" si="5"/>
        <v>120</v>
      </c>
      <c r="BU77" s="4" t="str">
        <f t="shared" si="5"/>
        <v>22</v>
      </c>
      <c r="BV77" s="4">
        <f t="shared" si="6"/>
        <v>30</v>
      </c>
      <c r="BW77" s="29">
        <f t="shared" si="7"/>
        <v>2502515.4</v>
      </c>
      <c r="BX77" s="4">
        <v>51.49</v>
      </c>
      <c r="BY77" s="29">
        <f t="shared" si="8"/>
        <v>3530.2607656438354</v>
      </c>
    </row>
    <row r="78" spans="1:77" ht="15" hidden="1" customHeight="1" x14ac:dyDescent="0.35">
      <c r="A78" s="32" t="s">
        <v>217</v>
      </c>
      <c r="B78" s="32" t="s">
        <v>568</v>
      </c>
      <c r="C78" s="32" t="s">
        <v>16</v>
      </c>
      <c r="D78" s="32" t="s">
        <v>569</v>
      </c>
      <c r="E78" s="32" t="s">
        <v>570</v>
      </c>
      <c r="F78" s="32" t="s">
        <v>46</v>
      </c>
      <c r="G78" s="33">
        <v>46053</v>
      </c>
      <c r="H78" s="33">
        <v>46053</v>
      </c>
      <c r="I78" s="33">
        <v>46083</v>
      </c>
      <c r="J78" s="32" t="s">
        <v>11</v>
      </c>
      <c r="K78" s="34">
        <v>19575.7</v>
      </c>
      <c r="L78" s="34">
        <v>19191.86</v>
      </c>
      <c r="M78" s="34">
        <v>383.84</v>
      </c>
      <c r="N78" s="34">
        <v>0</v>
      </c>
      <c r="O78" s="34">
        <v>0</v>
      </c>
      <c r="P78" s="34">
        <v>19575.7</v>
      </c>
      <c r="Q78" s="34">
        <v>0</v>
      </c>
      <c r="R78" s="34">
        <v>19575.7</v>
      </c>
      <c r="S78" s="34">
        <v>384.04659794947003</v>
      </c>
      <c r="T78" s="34">
        <v>19575.7</v>
      </c>
      <c r="U78" s="35">
        <v>0</v>
      </c>
      <c r="V78" s="35">
        <v>0</v>
      </c>
      <c r="W78" s="35">
        <v>0</v>
      </c>
      <c r="X78" s="35">
        <v>0</v>
      </c>
      <c r="Y78" s="35">
        <v>0</v>
      </c>
      <c r="Z78" s="35">
        <v>0</v>
      </c>
      <c r="AA78" s="35">
        <v>0</v>
      </c>
      <c r="AB78" s="35">
        <v>0</v>
      </c>
      <c r="AC78" s="35">
        <v>19575.7</v>
      </c>
      <c r="AD78" s="35">
        <v>0</v>
      </c>
      <c r="AE78" s="35">
        <v>0</v>
      </c>
      <c r="AF78" s="35">
        <v>0</v>
      </c>
      <c r="AG78" s="35">
        <v>0</v>
      </c>
      <c r="AH78" s="35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384.04659794947003</v>
      </c>
      <c r="AR78" s="36">
        <v>0</v>
      </c>
      <c r="AS78" s="36">
        <v>0</v>
      </c>
      <c r="AT78" s="36">
        <v>0</v>
      </c>
      <c r="AU78" s="36">
        <v>0</v>
      </c>
      <c r="AV78" s="36">
        <v>0</v>
      </c>
      <c r="AW78" s="37">
        <v>0</v>
      </c>
      <c r="AX78" s="37">
        <v>0</v>
      </c>
      <c r="AY78" s="37"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19575.7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2" t="s">
        <v>12</v>
      </c>
      <c r="BL78" s="32" t="s">
        <v>13</v>
      </c>
      <c r="BM78" s="33">
        <v>46055.472604166665</v>
      </c>
      <c r="BN78" s="32" t="s">
        <v>28</v>
      </c>
      <c r="BO78" s="32" t="s">
        <v>29</v>
      </c>
      <c r="BP78" s="38">
        <v>22</v>
      </c>
      <c r="BQ78" s="42"/>
      <c r="BR78" s="39">
        <v>22</v>
      </c>
      <c r="BS78" s="22" t="s">
        <v>220</v>
      </c>
      <c r="BT78" s="4" t="str">
        <f t="shared" si="5"/>
        <v>120</v>
      </c>
      <c r="BU78" s="4" t="str">
        <f t="shared" si="5"/>
        <v>22</v>
      </c>
      <c r="BV78" s="4">
        <f t="shared" si="6"/>
        <v>30</v>
      </c>
      <c r="BW78" s="29">
        <f t="shared" si="7"/>
        <v>430665.4</v>
      </c>
      <c r="BX78" s="4">
        <v>51.49</v>
      </c>
      <c r="BY78" s="29">
        <f t="shared" si="8"/>
        <v>607.53319030136993</v>
      </c>
    </row>
    <row r="79" spans="1:77" ht="15" customHeight="1" x14ac:dyDescent="0.35">
      <c r="A79" s="32" t="s">
        <v>217</v>
      </c>
      <c r="B79" s="32" t="s">
        <v>571</v>
      </c>
      <c r="C79" s="32" t="s">
        <v>7</v>
      </c>
      <c r="D79" s="32" t="s">
        <v>325</v>
      </c>
      <c r="E79" s="32" t="s">
        <v>228</v>
      </c>
      <c r="F79" s="32" t="s">
        <v>104</v>
      </c>
      <c r="G79" s="33">
        <v>46053</v>
      </c>
      <c r="H79" s="33">
        <v>46053</v>
      </c>
      <c r="I79" s="33">
        <v>46068</v>
      </c>
      <c r="J79" s="32" t="s">
        <v>11</v>
      </c>
      <c r="K79" s="34">
        <v>268198.09999999998</v>
      </c>
      <c r="L79" s="34">
        <v>262939.32</v>
      </c>
      <c r="M79" s="34">
        <v>5258.78</v>
      </c>
      <c r="N79" s="34">
        <v>0</v>
      </c>
      <c r="O79" s="34">
        <v>0</v>
      </c>
      <c r="P79" s="34">
        <v>268198.09999999998</v>
      </c>
      <c r="Q79" s="34">
        <v>0</v>
      </c>
      <c r="R79" s="34">
        <v>268198.09999999998</v>
      </c>
      <c r="S79" s="34">
        <v>5261.6543920019103</v>
      </c>
      <c r="T79" s="34">
        <v>268198.09999999998</v>
      </c>
      <c r="U79" s="35">
        <v>0</v>
      </c>
      <c r="V79" s="35">
        <v>0</v>
      </c>
      <c r="W79" s="35">
        <v>0</v>
      </c>
      <c r="X79" s="35">
        <v>0</v>
      </c>
      <c r="Y79" s="35">
        <v>0</v>
      </c>
      <c r="Z79" s="35">
        <v>0</v>
      </c>
      <c r="AA79" s="35">
        <v>0</v>
      </c>
      <c r="AB79" s="35">
        <v>0</v>
      </c>
      <c r="AC79" s="35">
        <v>0</v>
      </c>
      <c r="AD79" s="35">
        <v>268198.09999999998</v>
      </c>
      <c r="AE79" s="35">
        <v>0</v>
      </c>
      <c r="AF79" s="35">
        <v>0</v>
      </c>
      <c r="AG79" s="35">
        <v>0</v>
      </c>
      <c r="AH79" s="35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5261.6543920019103</v>
      </c>
      <c r="AS79" s="36">
        <v>0</v>
      </c>
      <c r="AT79" s="36">
        <v>0</v>
      </c>
      <c r="AU79" s="36">
        <v>0</v>
      </c>
      <c r="AV79" s="36">
        <v>0</v>
      </c>
      <c r="AW79" s="37">
        <v>0</v>
      </c>
      <c r="AX79" s="37">
        <v>0</v>
      </c>
      <c r="AY79" s="37">
        <v>0</v>
      </c>
      <c r="AZ79" s="37">
        <v>0</v>
      </c>
      <c r="BA79" s="37">
        <v>0</v>
      </c>
      <c r="BB79" s="37">
        <v>0</v>
      </c>
      <c r="BC79" s="37">
        <v>0</v>
      </c>
      <c r="BD79" s="37">
        <v>0</v>
      </c>
      <c r="BE79" s="37">
        <v>0</v>
      </c>
      <c r="BF79" s="37">
        <v>268198.09999999998</v>
      </c>
      <c r="BG79" s="37">
        <v>0</v>
      </c>
      <c r="BH79" s="37">
        <v>0</v>
      </c>
      <c r="BI79" s="37">
        <v>0</v>
      </c>
      <c r="BJ79" s="37">
        <v>0</v>
      </c>
      <c r="BK79" s="32" t="s">
        <v>12</v>
      </c>
      <c r="BL79" s="32" t="s">
        <v>13</v>
      </c>
      <c r="BM79" s="33">
        <v>46055.605196759258</v>
      </c>
      <c r="BN79" s="32" t="s">
        <v>326</v>
      </c>
      <c r="BO79" s="32" t="s">
        <v>26</v>
      </c>
      <c r="BP79" s="38">
        <v>37</v>
      </c>
      <c r="BQ79" s="42"/>
      <c r="BR79" s="39">
        <v>37</v>
      </c>
      <c r="BS79" s="22" t="s">
        <v>220</v>
      </c>
      <c r="BT79" s="4" t="str">
        <f t="shared" si="5"/>
        <v>120</v>
      </c>
      <c r="BU79" s="4" t="str">
        <f t="shared" si="5"/>
        <v>37</v>
      </c>
      <c r="BV79" s="4">
        <f t="shared" si="6"/>
        <v>15</v>
      </c>
      <c r="BW79" s="29">
        <f t="shared" si="7"/>
        <v>9923329.6999999993</v>
      </c>
      <c r="BX79" s="4">
        <v>51.49</v>
      </c>
      <c r="BY79" s="29">
        <f t="shared" si="8"/>
        <v>13998.691678164383</v>
      </c>
    </row>
    <row r="80" spans="1:77" ht="15" hidden="1" customHeight="1" x14ac:dyDescent="0.35">
      <c r="A80" s="32" t="s">
        <v>217</v>
      </c>
      <c r="B80" s="32" t="s">
        <v>576</v>
      </c>
      <c r="C80" s="32" t="s">
        <v>90</v>
      </c>
      <c r="D80" s="32" t="s">
        <v>231</v>
      </c>
      <c r="E80" s="32" t="s">
        <v>232</v>
      </c>
      <c r="F80" s="32" t="s">
        <v>104</v>
      </c>
      <c r="G80" s="33">
        <v>46065</v>
      </c>
      <c r="H80" s="33">
        <v>46065</v>
      </c>
      <c r="I80" s="33">
        <v>46080</v>
      </c>
      <c r="J80" s="32" t="s">
        <v>11</v>
      </c>
      <c r="K80" s="34">
        <v>317749.09000000003</v>
      </c>
      <c r="L80" s="34">
        <v>264790.90999999997</v>
      </c>
      <c r="M80" s="34">
        <v>52958.18</v>
      </c>
      <c r="N80" s="34">
        <v>145509.67000000001</v>
      </c>
      <c r="O80" s="34">
        <v>0</v>
      </c>
      <c r="P80" s="34">
        <v>172239.42</v>
      </c>
      <c r="Q80" s="34">
        <v>0</v>
      </c>
      <c r="R80" s="34">
        <v>172239.42</v>
      </c>
      <c r="S80" s="34">
        <v>3379.0854622715901</v>
      </c>
      <c r="T80" s="34">
        <v>172239.42</v>
      </c>
      <c r="U80" s="35">
        <v>0</v>
      </c>
      <c r="V80" s="35">
        <v>0</v>
      </c>
      <c r="W80" s="35">
        <v>0</v>
      </c>
      <c r="X80" s="35">
        <v>0</v>
      </c>
      <c r="Y80" s="35">
        <v>0</v>
      </c>
      <c r="Z80" s="35">
        <v>0</v>
      </c>
      <c r="AA80" s="35">
        <v>0</v>
      </c>
      <c r="AB80" s="35">
        <v>0</v>
      </c>
      <c r="AC80" s="35">
        <v>172239.42</v>
      </c>
      <c r="AD80" s="35">
        <v>0</v>
      </c>
      <c r="AE80" s="35">
        <v>0</v>
      </c>
      <c r="AF80" s="35">
        <v>0</v>
      </c>
      <c r="AG80" s="35">
        <v>0</v>
      </c>
      <c r="AH80" s="35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3379.0854622715901</v>
      </c>
      <c r="AR80" s="36">
        <v>0</v>
      </c>
      <c r="AS80" s="36">
        <v>0</v>
      </c>
      <c r="AT80" s="36">
        <v>0</v>
      </c>
      <c r="AU80" s="36">
        <v>0</v>
      </c>
      <c r="AV80" s="36">
        <v>0</v>
      </c>
      <c r="AW80" s="37">
        <v>0</v>
      </c>
      <c r="AX80" s="37">
        <v>0</v>
      </c>
      <c r="AY80" s="37"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172239.42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2" t="s">
        <v>12</v>
      </c>
      <c r="BL80" s="32" t="s">
        <v>408</v>
      </c>
      <c r="BM80" s="33">
        <v>46065.352048611108</v>
      </c>
      <c r="BN80" s="32" t="s">
        <v>28</v>
      </c>
      <c r="BO80" s="32" t="s">
        <v>29</v>
      </c>
      <c r="BP80" s="38">
        <v>25</v>
      </c>
      <c r="BQ80" s="42"/>
      <c r="BR80" s="39">
        <v>25</v>
      </c>
      <c r="BS80" s="22" t="s">
        <v>220</v>
      </c>
      <c r="BT80" s="4" t="str">
        <f t="shared" si="5"/>
        <v>120</v>
      </c>
      <c r="BU80" s="4" t="str">
        <f t="shared" si="5"/>
        <v>25</v>
      </c>
      <c r="BV80" s="4">
        <f t="shared" si="6"/>
        <v>15</v>
      </c>
      <c r="BW80" s="29">
        <f t="shared" si="7"/>
        <v>4305985.5</v>
      </c>
      <c r="BX80" s="4">
        <v>51.49</v>
      </c>
      <c r="BY80" s="29">
        <f t="shared" si="8"/>
        <v>6074.3888601369863</v>
      </c>
    </row>
    <row r="81" spans="1:77" ht="15" customHeight="1" x14ac:dyDescent="0.35">
      <c r="A81" s="32" t="s">
        <v>217</v>
      </c>
      <c r="B81" s="32" t="s">
        <v>578</v>
      </c>
      <c r="C81" s="32" t="s">
        <v>90</v>
      </c>
      <c r="D81" s="32" t="s">
        <v>305</v>
      </c>
      <c r="E81" s="32" t="s">
        <v>148</v>
      </c>
      <c r="F81" s="32" t="s">
        <v>306</v>
      </c>
      <c r="G81" s="33">
        <v>46070</v>
      </c>
      <c r="H81" s="33">
        <v>46070</v>
      </c>
      <c r="I81" s="33">
        <v>46085</v>
      </c>
      <c r="J81" s="32" t="s">
        <v>11</v>
      </c>
      <c r="K81" s="34">
        <v>127788.4</v>
      </c>
      <c r="L81" s="34">
        <v>106490.33</v>
      </c>
      <c r="M81" s="34">
        <v>21298.07</v>
      </c>
      <c r="N81" s="34">
        <v>0</v>
      </c>
      <c r="O81" s="34">
        <v>0</v>
      </c>
      <c r="P81" s="34">
        <v>127788.4</v>
      </c>
      <c r="Q81" s="34">
        <v>0</v>
      </c>
      <c r="R81" s="34">
        <v>127788.4</v>
      </c>
      <c r="S81" s="34">
        <v>2507.0214744507798</v>
      </c>
      <c r="T81" s="34">
        <v>127788.4</v>
      </c>
      <c r="U81" s="35">
        <v>0</v>
      </c>
      <c r="V81" s="35">
        <v>0</v>
      </c>
      <c r="W81" s="35">
        <v>0</v>
      </c>
      <c r="X81" s="35">
        <v>0</v>
      </c>
      <c r="Y81" s="35">
        <v>0</v>
      </c>
      <c r="Z81" s="35">
        <v>0</v>
      </c>
      <c r="AA81" s="35">
        <v>0</v>
      </c>
      <c r="AB81" s="35">
        <v>0</v>
      </c>
      <c r="AC81" s="35">
        <v>127788.4</v>
      </c>
      <c r="AD81" s="35">
        <v>0</v>
      </c>
      <c r="AE81" s="35">
        <v>0</v>
      </c>
      <c r="AF81" s="35">
        <v>0</v>
      </c>
      <c r="AG81" s="35">
        <v>0</v>
      </c>
      <c r="AH81" s="35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2507.0214744507798</v>
      </c>
      <c r="AR81" s="36">
        <v>0</v>
      </c>
      <c r="AS81" s="36">
        <v>0</v>
      </c>
      <c r="AT81" s="36">
        <v>0</v>
      </c>
      <c r="AU81" s="36">
        <v>0</v>
      </c>
      <c r="AV81" s="36">
        <v>0</v>
      </c>
      <c r="AW81" s="37">
        <v>0</v>
      </c>
      <c r="AX81" s="37">
        <v>0</v>
      </c>
      <c r="AY81" s="37">
        <v>0</v>
      </c>
      <c r="AZ81" s="37">
        <v>0</v>
      </c>
      <c r="BA81" s="37">
        <v>0</v>
      </c>
      <c r="BB81" s="37">
        <v>0</v>
      </c>
      <c r="BC81" s="37">
        <v>0</v>
      </c>
      <c r="BD81" s="37">
        <v>0</v>
      </c>
      <c r="BE81" s="37">
        <v>127788.4</v>
      </c>
      <c r="BF81" s="37">
        <v>0</v>
      </c>
      <c r="BG81" s="37">
        <v>0</v>
      </c>
      <c r="BH81" s="37">
        <v>0</v>
      </c>
      <c r="BI81" s="37">
        <v>0</v>
      </c>
      <c r="BJ81" s="37">
        <v>0</v>
      </c>
      <c r="BK81" s="32" t="s">
        <v>12</v>
      </c>
      <c r="BL81" s="32" t="s">
        <v>408</v>
      </c>
      <c r="BM81" s="33">
        <v>46070.491608796299</v>
      </c>
      <c r="BN81" s="32" t="s">
        <v>28</v>
      </c>
      <c r="BO81" s="32" t="s">
        <v>29</v>
      </c>
      <c r="BP81" s="38">
        <v>20</v>
      </c>
      <c r="BQ81" s="42"/>
      <c r="BR81" s="39">
        <v>20</v>
      </c>
      <c r="BS81" s="22" t="s">
        <v>220</v>
      </c>
      <c r="BT81" s="4" t="str">
        <f t="shared" si="5"/>
        <v>120</v>
      </c>
      <c r="BU81" s="4" t="str">
        <f t="shared" si="5"/>
        <v>20</v>
      </c>
      <c r="BV81" s="4">
        <f t="shared" si="6"/>
        <v>15</v>
      </c>
      <c r="BW81" s="29">
        <f t="shared" si="7"/>
        <v>2555768</v>
      </c>
      <c r="BX81" s="4">
        <v>51.49</v>
      </c>
      <c r="BY81" s="29">
        <f t="shared" si="8"/>
        <v>3605.3834060273975</v>
      </c>
    </row>
    <row r="82" spans="1:77" ht="15" hidden="1" customHeight="1" x14ac:dyDescent="0.35">
      <c r="A82" s="32" t="s">
        <v>217</v>
      </c>
      <c r="B82" s="32" t="s">
        <v>579</v>
      </c>
      <c r="C82" s="32" t="s">
        <v>502</v>
      </c>
      <c r="D82" s="32" t="s">
        <v>418</v>
      </c>
      <c r="E82" s="32" t="s">
        <v>134</v>
      </c>
      <c r="F82" s="32" t="s">
        <v>503</v>
      </c>
      <c r="G82" s="33">
        <v>46073</v>
      </c>
      <c r="H82" s="33">
        <v>46073</v>
      </c>
      <c r="I82" s="33">
        <v>46080</v>
      </c>
      <c r="J82" s="32" t="s">
        <v>11</v>
      </c>
      <c r="K82" s="34">
        <v>5000</v>
      </c>
      <c r="L82" s="34">
        <v>4166.67</v>
      </c>
      <c r="M82" s="34">
        <v>833.33</v>
      </c>
      <c r="N82" s="34">
        <v>3525</v>
      </c>
      <c r="O82" s="34">
        <v>0</v>
      </c>
      <c r="P82" s="34">
        <v>1475</v>
      </c>
      <c r="Q82" s="34">
        <v>0</v>
      </c>
      <c r="R82" s="34">
        <v>1475</v>
      </c>
      <c r="S82" s="34">
        <v>28.937342316007499</v>
      </c>
      <c r="T82" s="34">
        <v>1475</v>
      </c>
      <c r="U82" s="35">
        <v>0</v>
      </c>
      <c r="V82" s="35">
        <v>0</v>
      </c>
      <c r="W82" s="35">
        <v>0</v>
      </c>
      <c r="X82" s="35">
        <v>0</v>
      </c>
      <c r="Y82" s="35">
        <v>0</v>
      </c>
      <c r="Z82" s="35">
        <v>0</v>
      </c>
      <c r="AA82" s="35">
        <v>0</v>
      </c>
      <c r="AB82" s="35">
        <v>0</v>
      </c>
      <c r="AC82" s="35">
        <v>1475</v>
      </c>
      <c r="AD82" s="35">
        <v>0</v>
      </c>
      <c r="AE82" s="35">
        <v>0</v>
      </c>
      <c r="AF82" s="35">
        <v>0</v>
      </c>
      <c r="AG82" s="35">
        <v>0</v>
      </c>
      <c r="AH82" s="35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28.937342316007499</v>
      </c>
      <c r="AR82" s="36">
        <v>0</v>
      </c>
      <c r="AS82" s="36">
        <v>0</v>
      </c>
      <c r="AT82" s="36">
        <v>0</v>
      </c>
      <c r="AU82" s="36">
        <v>0</v>
      </c>
      <c r="AV82" s="36">
        <v>0</v>
      </c>
      <c r="AW82" s="37">
        <v>0</v>
      </c>
      <c r="AX82" s="37">
        <v>0</v>
      </c>
      <c r="AY82" s="37"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1475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2" t="s">
        <v>12</v>
      </c>
      <c r="BL82" s="32" t="s">
        <v>13</v>
      </c>
      <c r="BM82" s="33">
        <v>46071.771782407406</v>
      </c>
      <c r="BN82" s="32" t="s">
        <v>504</v>
      </c>
      <c r="BO82" s="32" t="s">
        <v>505</v>
      </c>
      <c r="BP82" s="38">
        <v>25</v>
      </c>
      <c r="BQ82" s="42"/>
      <c r="BR82" s="39">
        <v>25</v>
      </c>
      <c r="BS82" s="22" t="s">
        <v>220</v>
      </c>
      <c r="BT82" s="4" t="str">
        <f t="shared" si="5"/>
        <v>135</v>
      </c>
      <c r="BU82" s="4" t="str">
        <f t="shared" si="5"/>
        <v>25</v>
      </c>
      <c r="BV82" s="4">
        <f t="shared" si="6"/>
        <v>7</v>
      </c>
      <c r="BW82" s="29">
        <f t="shared" si="7"/>
        <v>36875</v>
      </c>
      <c r="BX82" s="4">
        <v>51.49</v>
      </c>
      <c r="BY82" s="29">
        <f t="shared" si="8"/>
        <v>52.019006849315069</v>
      </c>
    </row>
    <row r="83" spans="1:77" ht="15" hidden="1" customHeight="1" x14ac:dyDescent="0.35">
      <c r="A83" s="32" t="s">
        <v>217</v>
      </c>
      <c r="B83" s="32" t="s">
        <v>580</v>
      </c>
      <c r="C83" s="32" t="s">
        <v>502</v>
      </c>
      <c r="D83" s="32" t="s">
        <v>418</v>
      </c>
      <c r="E83" s="32" t="s">
        <v>134</v>
      </c>
      <c r="F83" s="32" t="s">
        <v>503</v>
      </c>
      <c r="G83" s="33">
        <v>46073</v>
      </c>
      <c r="H83" s="33">
        <v>46073</v>
      </c>
      <c r="I83" s="33">
        <v>46080</v>
      </c>
      <c r="J83" s="32" t="s">
        <v>11</v>
      </c>
      <c r="K83" s="34">
        <v>5000</v>
      </c>
      <c r="L83" s="34">
        <v>4166.67</v>
      </c>
      <c r="M83" s="34">
        <v>833.33</v>
      </c>
      <c r="N83" s="34">
        <v>0</v>
      </c>
      <c r="O83" s="34">
        <v>0</v>
      </c>
      <c r="P83" s="34">
        <v>5000</v>
      </c>
      <c r="Q83" s="34">
        <v>0</v>
      </c>
      <c r="R83" s="34">
        <v>5000</v>
      </c>
      <c r="S83" s="34">
        <v>98.092685816974694</v>
      </c>
      <c r="T83" s="34">
        <v>5000</v>
      </c>
      <c r="U83" s="35">
        <v>0</v>
      </c>
      <c r="V83" s="35">
        <v>0</v>
      </c>
      <c r="W83" s="35">
        <v>0</v>
      </c>
      <c r="X83" s="35">
        <v>0</v>
      </c>
      <c r="Y83" s="35">
        <v>0</v>
      </c>
      <c r="Z83" s="35">
        <v>0</v>
      </c>
      <c r="AA83" s="35">
        <v>0</v>
      </c>
      <c r="AB83" s="35">
        <v>0</v>
      </c>
      <c r="AC83" s="35">
        <v>5000</v>
      </c>
      <c r="AD83" s="35">
        <v>0</v>
      </c>
      <c r="AE83" s="35">
        <v>0</v>
      </c>
      <c r="AF83" s="35">
        <v>0</v>
      </c>
      <c r="AG83" s="35">
        <v>0</v>
      </c>
      <c r="AH83" s="35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98.092685816974694</v>
      </c>
      <c r="AR83" s="36">
        <v>0</v>
      </c>
      <c r="AS83" s="36">
        <v>0</v>
      </c>
      <c r="AT83" s="36">
        <v>0</v>
      </c>
      <c r="AU83" s="36">
        <v>0</v>
      </c>
      <c r="AV83" s="36">
        <v>0</v>
      </c>
      <c r="AW83" s="37">
        <v>0</v>
      </c>
      <c r="AX83" s="37">
        <v>0</v>
      </c>
      <c r="AY83" s="37">
        <v>0</v>
      </c>
      <c r="AZ83" s="37">
        <v>0</v>
      </c>
      <c r="BA83" s="37">
        <v>0</v>
      </c>
      <c r="BB83" s="37">
        <v>0</v>
      </c>
      <c r="BC83" s="37">
        <v>0</v>
      </c>
      <c r="BD83" s="37">
        <v>0</v>
      </c>
      <c r="BE83" s="37">
        <v>5000</v>
      </c>
      <c r="BF83" s="37">
        <v>0</v>
      </c>
      <c r="BG83" s="37">
        <v>0</v>
      </c>
      <c r="BH83" s="37">
        <v>0</v>
      </c>
      <c r="BI83" s="37">
        <v>0</v>
      </c>
      <c r="BJ83" s="37">
        <v>0</v>
      </c>
      <c r="BK83" s="32" t="s">
        <v>12</v>
      </c>
      <c r="BL83" s="32" t="s">
        <v>13</v>
      </c>
      <c r="BM83" s="33">
        <v>46071.772106481483</v>
      </c>
      <c r="BN83" s="32" t="s">
        <v>504</v>
      </c>
      <c r="BO83" s="32" t="s">
        <v>505</v>
      </c>
      <c r="BP83" s="38">
        <v>25</v>
      </c>
      <c r="BQ83" s="42"/>
      <c r="BR83" s="39">
        <v>25</v>
      </c>
      <c r="BS83" s="22" t="s">
        <v>220</v>
      </c>
      <c r="BT83" s="4" t="str">
        <f t="shared" si="5"/>
        <v>135</v>
      </c>
      <c r="BU83" s="4" t="str">
        <f t="shared" si="5"/>
        <v>25</v>
      </c>
      <c r="BV83" s="4">
        <f t="shared" si="6"/>
        <v>7</v>
      </c>
      <c r="BW83" s="29">
        <f t="shared" si="7"/>
        <v>125000</v>
      </c>
      <c r="BX83" s="4">
        <v>51.49</v>
      </c>
      <c r="BY83" s="29">
        <f t="shared" si="8"/>
        <v>176.33561643835617</v>
      </c>
    </row>
    <row r="84" spans="1:77" ht="15" hidden="1" customHeight="1" x14ac:dyDescent="0.35">
      <c r="A84" s="32" t="s">
        <v>217</v>
      </c>
      <c r="B84" s="32" t="s">
        <v>581</v>
      </c>
      <c r="C84" s="32" t="s">
        <v>502</v>
      </c>
      <c r="D84" s="32" t="s">
        <v>418</v>
      </c>
      <c r="E84" s="32" t="s">
        <v>134</v>
      </c>
      <c r="F84" s="32" t="s">
        <v>503</v>
      </c>
      <c r="G84" s="33">
        <v>46073</v>
      </c>
      <c r="H84" s="33">
        <v>46073</v>
      </c>
      <c r="I84" s="33">
        <v>46080</v>
      </c>
      <c r="J84" s="32" t="s">
        <v>11</v>
      </c>
      <c r="K84" s="34">
        <v>5000</v>
      </c>
      <c r="L84" s="34">
        <v>4166.67</v>
      </c>
      <c r="M84" s="34">
        <v>833.33</v>
      </c>
      <c r="N84" s="34">
        <v>0</v>
      </c>
      <c r="O84" s="34">
        <v>0</v>
      </c>
      <c r="P84" s="34">
        <v>5000</v>
      </c>
      <c r="Q84" s="34">
        <v>0</v>
      </c>
      <c r="R84" s="34">
        <v>5000</v>
      </c>
      <c r="S84" s="34">
        <v>98.092685816974694</v>
      </c>
      <c r="T84" s="34">
        <v>5000</v>
      </c>
      <c r="U84" s="35">
        <v>0</v>
      </c>
      <c r="V84" s="35">
        <v>0</v>
      </c>
      <c r="W84" s="35">
        <v>0</v>
      </c>
      <c r="X84" s="35">
        <v>0</v>
      </c>
      <c r="Y84" s="35">
        <v>0</v>
      </c>
      <c r="Z84" s="35">
        <v>0</v>
      </c>
      <c r="AA84" s="35">
        <v>0</v>
      </c>
      <c r="AB84" s="35">
        <v>0</v>
      </c>
      <c r="AC84" s="35">
        <v>5000</v>
      </c>
      <c r="AD84" s="35">
        <v>0</v>
      </c>
      <c r="AE84" s="35">
        <v>0</v>
      </c>
      <c r="AF84" s="35">
        <v>0</v>
      </c>
      <c r="AG84" s="35">
        <v>0</v>
      </c>
      <c r="AH84" s="35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98.092685816974694</v>
      </c>
      <c r="AR84" s="36">
        <v>0</v>
      </c>
      <c r="AS84" s="36">
        <v>0</v>
      </c>
      <c r="AT84" s="36">
        <v>0</v>
      </c>
      <c r="AU84" s="36">
        <v>0</v>
      </c>
      <c r="AV84" s="36">
        <v>0</v>
      </c>
      <c r="AW84" s="37">
        <v>0</v>
      </c>
      <c r="AX84" s="37">
        <v>0</v>
      </c>
      <c r="AY84" s="37"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5000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2" t="s">
        <v>12</v>
      </c>
      <c r="BL84" s="32" t="s">
        <v>13</v>
      </c>
      <c r="BM84" s="33">
        <v>46071.772430555553</v>
      </c>
      <c r="BN84" s="32" t="s">
        <v>504</v>
      </c>
      <c r="BO84" s="32" t="s">
        <v>505</v>
      </c>
      <c r="BP84" s="38">
        <v>25</v>
      </c>
      <c r="BQ84" s="42"/>
      <c r="BR84" s="39">
        <v>25</v>
      </c>
      <c r="BS84" s="22" t="s">
        <v>220</v>
      </c>
      <c r="BT84" s="4" t="str">
        <f t="shared" si="5"/>
        <v>135</v>
      </c>
      <c r="BU84" s="4" t="str">
        <f t="shared" si="5"/>
        <v>25</v>
      </c>
      <c r="BV84" s="4">
        <f t="shared" si="6"/>
        <v>7</v>
      </c>
      <c r="BW84" s="29">
        <f t="shared" si="7"/>
        <v>125000</v>
      </c>
      <c r="BX84" s="4">
        <v>51.49</v>
      </c>
      <c r="BY84" s="29">
        <f t="shared" si="8"/>
        <v>176.33561643835617</v>
      </c>
    </row>
    <row r="85" spans="1:77" ht="15" hidden="1" customHeight="1" x14ac:dyDescent="0.35">
      <c r="A85" s="32" t="s">
        <v>217</v>
      </c>
      <c r="B85" s="32" t="s">
        <v>582</v>
      </c>
      <c r="C85" s="32" t="s">
        <v>502</v>
      </c>
      <c r="D85" s="32" t="s">
        <v>418</v>
      </c>
      <c r="E85" s="32" t="s">
        <v>134</v>
      </c>
      <c r="F85" s="32" t="s">
        <v>503</v>
      </c>
      <c r="G85" s="33">
        <v>46073</v>
      </c>
      <c r="H85" s="33">
        <v>46073</v>
      </c>
      <c r="I85" s="33">
        <v>46080</v>
      </c>
      <c r="J85" s="32" t="s">
        <v>11</v>
      </c>
      <c r="K85" s="34">
        <v>5000</v>
      </c>
      <c r="L85" s="34">
        <v>4166.67</v>
      </c>
      <c r="M85" s="34">
        <v>833.33</v>
      </c>
      <c r="N85" s="34">
        <v>0</v>
      </c>
      <c r="O85" s="34">
        <v>0</v>
      </c>
      <c r="P85" s="34">
        <v>5000</v>
      </c>
      <c r="Q85" s="34">
        <v>0</v>
      </c>
      <c r="R85" s="34">
        <v>5000</v>
      </c>
      <c r="S85" s="34">
        <v>98.092685816974694</v>
      </c>
      <c r="T85" s="34">
        <v>5000</v>
      </c>
      <c r="U85" s="35">
        <v>0</v>
      </c>
      <c r="V85" s="35">
        <v>0</v>
      </c>
      <c r="W85" s="35">
        <v>0</v>
      </c>
      <c r="X85" s="35">
        <v>0</v>
      </c>
      <c r="Y85" s="35">
        <v>0</v>
      </c>
      <c r="Z85" s="35">
        <v>0</v>
      </c>
      <c r="AA85" s="35">
        <v>0</v>
      </c>
      <c r="AB85" s="35">
        <v>0</v>
      </c>
      <c r="AC85" s="35">
        <v>5000</v>
      </c>
      <c r="AD85" s="35">
        <v>0</v>
      </c>
      <c r="AE85" s="35">
        <v>0</v>
      </c>
      <c r="AF85" s="35">
        <v>0</v>
      </c>
      <c r="AG85" s="35">
        <v>0</v>
      </c>
      <c r="AH85" s="35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98.092685816974694</v>
      </c>
      <c r="AR85" s="36">
        <v>0</v>
      </c>
      <c r="AS85" s="36">
        <v>0</v>
      </c>
      <c r="AT85" s="36">
        <v>0</v>
      </c>
      <c r="AU85" s="36">
        <v>0</v>
      </c>
      <c r="AV85" s="36">
        <v>0</v>
      </c>
      <c r="AW85" s="37">
        <v>0</v>
      </c>
      <c r="AX85" s="37">
        <v>0</v>
      </c>
      <c r="AY85" s="37">
        <v>0</v>
      </c>
      <c r="AZ85" s="37">
        <v>0</v>
      </c>
      <c r="BA85" s="37">
        <v>0</v>
      </c>
      <c r="BB85" s="37">
        <v>0</v>
      </c>
      <c r="BC85" s="37">
        <v>0</v>
      </c>
      <c r="BD85" s="37">
        <v>0</v>
      </c>
      <c r="BE85" s="37">
        <v>5000</v>
      </c>
      <c r="BF85" s="37">
        <v>0</v>
      </c>
      <c r="BG85" s="37">
        <v>0</v>
      </c>
      <c r="BH85" s="37">
        <v>0</v>
      </c>
      <c r="BI85" s="37">
        <v>0</v>
      </c>
      <c r="BJ85" s="37">
        <v>0</v>
      </c>
      <c r="BK85" s="32" t="s">
        <v>12</v>
      </c>
      <c r="BL85" s="32" t="s">
        <v>13</v>
      </c>
      <c r="BM85" s="33">
        <v>46071.77275462963</v>
      </c>
      <c r="BN85" s="32" t="s">
        <v>504</v>
      </c>
      <c r="BO85" s="32" t="s">
        <v>505</v>
      </c>
      <c r="BP85" s="38">
        <v>25</v>
      </c>
      <c r="BQ85" s="42"/>
      <c r="BR85" s="39">
        <v>25</v>
      </c>
      <c r="BS85" s="22" t="s">
        <v>220</v>
      </c>
      <c r="BT85" s="4" t="str">
        <f t="shared" si="5"/>
        <v>135</v>
      </c>
      <c r="BU85" s="4" t="str">
        <f t="shared" si="5"/>
        <v>25</v>
      </c>
      <c r="BV85" s="4">
        <f t="shared" si="6"/>
        <v>7</v>
      </c>
      <c r="BW85" s="29">
        <f t="shared" si="7"/>
        <v>125000</v>
      </c>
      <c r="BX85" s="4">
        <v>51.49</v>
      </c>
      <c r="BY85" s="29">
        <f t="shared" si="8"/>
        <v>176.33561643835617</v>
      </c>
    </row>
    <row r="86" spans="1:77" ht="15" hidden="1" customHeight="1" x14ac:dyDescent="0.35">
      <c r="A86" s="32" t="s">
        <v>217</v>
      </c>
      <c r="B86" s="32" t="s">
        <v>583</v>
      </c>
      <c r="C86" s="32" t="s">
        <v>502</v>
      </c>
      <c r="D86" s="32" t="s">
        <v>418</v>
      </c>
      <c r="E86" s="32" t="s">
        <v>134</v>
      </c>
      <c r="F86" s="32" t="s">
        <v>503</v>
      </c>
      <c r="G86" s="33">
        <v>46073</v>
      </c>
      <c r="H86" s="33">
        <v>46073</v>
      </c>
      <c r="I86" s="33">
        <v>46080</v>
      </c>
      <c r="J86" s="32" t="s">
        <v>11</v>
      </c>
      <c r="K86" s="34">
        <v>2600</v>
      </c>
      <c r="L86" s="34">
        <v>2166.67</v>
      </c>
      <c r="M86" s="34">
        <v>433.33</v>
      </c>
      <c r="N86" s="34">
        <v>0</v>
      </c>
      <c r="O86" s="34">
        <v>0</v>
      </c>
      <c r="P86" s="34">
        <v>2600</v>
      </c>
      <c r="Q86" s="34">
        <v>0</v>
      </c>
      <c r="R86" s="34">
        <v>2600</v>
      </c>
      <c r="S86" s="34">
        <v>51.008196624826901</v>
      </c>
      <c r="T86" s="34">
        <v>2600</v>
      </c>
      <c r="U86" s="35">
        <v>0</v>
      </c>
      <c r="V86" s="35">
        <v>0</v>
      </c>
      <c r="W86" s="35">
        <v>0</v>
      </c>
      <c r="X86" s="35">
        <v>0</v>
      </c>
      <c r="Y86" s="35">
        <v>0</v>
      </c>
      <c r="Z86" s="35">
        <v>0</v>
      </c>
      <c r="AA86" s="35">
        <v>0</v>
      </c>
      <c r="AB86" s="35">
        <v>0</v>
      </c>
      <c r="AC86" s="35">
        <v>2600</v>
      </c>
      <c r="AD86" s="35">
        <v>0</v>
      </c>
      <c r="AE86" s="35">
        <v>0</v>
      </c>
      <c r="AF86" s="35">
        <v>0</v>
      </c>
      <c r="AG86" s="35">
        <v>0</v>
      </c>
      <c r="AH86" s="35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51.008196624826901</v>
      </c>
      <c r="AR86" s="36">
        <v>0</v>
      </c>
      <c r="AS86" s="36">
        <v>0</v>
      </c>
      <c r="AT86" s="36">
        <v>0</v>
      </c>
      <c r="AU86" s="36">
        <v>0</v>
      </c>
      <c r="AV86" s="36">
        <v>0</v>
      </c>
      <c r="AW86" s="37">
        <v>0</v>
      </c>
      <c r="AX86" s="37">
        <v>0</v>
      </c>
      <c r="AY86" s="37"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2600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2" t="s">
        <v>12</v>
      </c>
      <c r="BL86" s="32" t="s">
        <v>13</v>
      </c>
      <c r="BM86" s="33">
        <v>46071.773078703707</v>
      </c>
      <c r="BN86" s="32" t="s">
        <v>504</v>
      </c>
      <c r="BO86" s="32" t="s">
        <v>505</v>
      </c>
      <c r="BP86" s="38">
        <v>25</v>
      </c>
      <c r="BQ86" s="42"/>
      <c r="BR86" s="39">
        <v>25</v>
      </c>
      <c r="BS86" s="22" t="s">
        <v>220</v>
      </c>
      <c r="BT86" s="4" t="str">
        <f t="shared" si="5"/>
        <v>135</v>
      </c>
      <c r="BU86" s="4" t="str">
        <f t="shared" si="5"/>
        <v>25</v>
      </c>
      <c r="BV86" s="4">
        <f t="shared" si="6"/>
        <v>7</v>
      </c>
      <c r="BW86" s="29">
        <f t="shared" si="7"/>
        <v>65000</v>
      </c>
      <c r="BX86" s="4">
        <v>51.49</v>
      </c>
      <c r="BY86" s="29">
        <f t="shared" si="8"/>
        <v>91.694520547945203</v>
      </c>
    </row>
    <row r="87" spans="1:77" ht="15" hidden="1" customHeight="1" x14ac:dyDescent="0.35">
      <c r="A87" s="32" t="s">
        <v>217</v>
      </c>
      <c r="B87" s="32" t="s">
        <v>584</v>
      </c>
      <c r="C87" s="32" t="s">
        <v>502</v>
      </c>
      <c r="D87" s="32" t="s">
        <v>418</v>
      </c>
      <c r="E87" s="32" t="s">
        <v>134</v>
      </c>
      <c r="F87" s="32" t="s">
        <v>503</v>
      </c>
      <c r="G87" s="33">
        <v>46073</v>
      </c>
      <c r="H87" s="33">
        <v>46073</v>
      </c>
      <c r="I87" s="33">
        <v>46080</v>
      </c>
      <c r="J87" s="32" t="s">
        <v>11</v>
      </c>
      <c r="K87" s="34">
        <v>2600</v>
      </c>
      <c r="L87" s="34">
        <v>2166.67</v>
      </c>
      <c r="M87" s="34">
        <v>433.33</v>
      </c>
      <c r="N87" s="34">
        <v>0</v>
      </c>
      <c r="O87" s="34">
        <v>0</v>
      </c>
      <c r="P87" s="34">
        <v>2600</v>
      </c>
      <c r="Q87" s="34">
        <v>0</v>
      </c>
      <c r="R87" s="34">
        <v>2600</v>
      </c>
      <c r="S87" s="34">
        <v>51.008196624826901</v>
      </c>
      <c r="T87" s="34">
        <v>2600</v>
      </c>
      <c r="U87" s="35">
        <v>0</v>
      </c>
      <c r="V87" s="35">
        <v>0</v>
      </c>
      <c r="W87" s="35">
        <v>0</v>
      </c>
      <c r="X87" s="35">
        <v>0</v>
      </c>
      <c r="Y87" s="35">
        <v>0</v>
      </c>
      <c r="Z87" s="35">
        <v>0</v>
      </c>
      <c r="AA87" s="35">
        <v>0</v>
      </c>
      <c r="AB87" s="35">
        <v>0</v>
      </c>
      <c r="AC87" s="35">
        <v>2600</v>
      </c>
      <c r="AD87" s="35">
        <v>0</v>
      </c>
      <c r="AE87" s="35">
        <v>0</v>
      </c>
      <c r="AF87" s="35">
        <v>0</v>
      </c>
      <c r="AG87" s="35">
        <v>0</v>
      </c>
      <c r="AH87" s="35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51.008196624826901</v>
      </c>
      <c r="AR87" s="36">
        <v>0</v>
      </c>
      <c r="AS87" s="36">
        <v>0</v>
      </c>
      <c r="AT87" s="36">
        <v>0</v>
      </c>
      <c r="AU87" s="36">
        <v>0</v>
      </c>
      <c r="AV87" s="36">
        <v>0</v>
      </c>
      <c r="AW87" s="37">
        <v>0</v>
      </c>
      <c r="AX87" s="37">
        <v>0</v>
      </c>
      <c r="AY87" s="37">
        <v>0</v>
      </c>
      <c r="AZ87" s="37">
        <v>0</v>
      </c>
      <c r="BA87" s="37">
        <v>0</v>
      </c>
      <c r="BB87" s="37">
        <v>0</v>
      </c>
      <c r="BC87" s="37">
        <v>0</v>
      </c>
      <c r="BD87" s="37">
        <v>0</v>
      </c>
      <c r="BE87" s="37">
        <v>2600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2" t="s">
        <v>12</v>
      </c>
      <c r="BL87" s="32" t="s">
        <v>13</v>
      </c>
      <c r="BM87" s="33">
        <v>46071.773414351854</v>
      </c>
      <c r="BN87" s="32" t="s">
        <v>504</v>
      </c>
      <c r="BO87" s="32" t="s">
        <v>505</v>
      </c>
      <c r="BP87" s="38">
        <v>25</v>
      </c>
      <c r="BQ87" s="42"/>
      <c r="BR87" s="39">
        <v>25</v>
      </c>
      <c r="BS87" s="22" t="s">
        <v>220</v>
      </c>
      <c r="BT87" s="4" t="str">
        <f t="shared" si="5"/>
        <v>135</v>
      </c>
      <c r="BU87" s="4" t="str">
        <f t="shared" si="5"/>
        <v>25</v>
      </c>
      <c r="BV87" s="4">
        <f t="shared" si="6"/>
        <v>7</v>
      </c>
      <c r="BW87" s="29">
        <f t="shared" si="7"/>
        <v>65000</v>
      </c>
      <c r="BX87" s="4">
        <v>51.49</v>
      </c>
      <c r="BY87" s="29">
        <f t="shared" si="8"/>
        <v>91.694520547945203</v>
      </c>
    </row>
    <row r="88" spans="1:77" ht="15" hidden="1" customHeight="1" x14ac:dyDescent="0.35">
      <c r="A88" s="32" t="s">
        <v>217</v>
      </c>
      <c r="B88" s="32" t="s">
        <v>585</v>
      </c>
      <c r="C88" s="32" t="s">
        <v>502</v>
      </c>
      <c r="D88" s="32" t="s">
        <v>418</v>
      </c>
      <c r="E88" s="32" t="s">
        <v>134</v>
      </c>
      <c r="F88" s="32" t="s">
        <v>503</v>
      </c>
      <c r="G88" s="33">
        <v>46073</v>
      </c>
      <c r="H88" s="33">
        <v>46073</v>
      </c>
      <c r="I88" s="33">
        <v>46080</v>
      </c>
      <c r="J88" s="32" t="s">
        <v>11</v>
      </c>
      <c r="K88" s="34">
        <v>2600</v>
      </c>
      <c r="L88" s="34">
        <v>2166.67</v>
      </c>
      <c r="M88" s="34">
        <v>433.33</v>
      </c>
      <c r="N88" s="34">
        <v>0</v>
      </c>
      <c r="O88" s="34">
        <v>0</v>
      </c>
      <c r="P88" s="34">
        <v>2600</v>
      </c>
      <c r="Q88" s="34">
        <v>0</v>
      </c>
      <c r="R88" s="34">
        <v>2600</v>
      </c>
      <c r="S88" s="34">
        <v>51.008196624826901</v>
      </c>
      <c r="T88" s="34">
        <v>2600</v>
      </c>
      <c r="U88" s="35">
        <v>0</v>
      </c>
      <c r="V88" s="35">
        <v>0</v>
      </c>
      <c r="W88" s="35">
        <v>0</v>
      </c>
      <c r="X88" s="35">
        <v>0</v>
      </c>
      <c r="Y88" s="35">
        <v>0</v>
      </c>
      <c r="Z88" s="35">
        <v>0</v>
      </c>
      <c r="AA88" s="35">
        <v>0</v>
      </c>
      <c r="AB88" s="35">
        <v>0</v>
      </c>
      <c r="AC88" s="35">
        <v>2600</v>
      </c>
      <c r="AD88" s="35">
        <v>0</v>
      </c>
      <c r="AE88" s="35">
        <v>0</v>
      </c>
      <c r="AF88" s="35">
        <v>0</v>
      </c>
      <c r="AG88" s="35">
        <v>0</v>
      </c>
      <c r="AH88" s="35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51.008196624826901</v>
      </c>
      <c r="AR88" s="36">
        <v>0</v>
      </c>
      <c r="AS88" s="36">
        <v>0</v>
      </c>
      <c r="AT88" s="36">
        <v>0</v>
      </c>
      <c r="AU88" s="36">
        <v>0</v>
      </c>
      <c r="AV88" s="36">
        <v>0</v>
      </c>
      <c r="AW88" s="37">
        <v>0</v>
      </c>
      <c r="AX88" s="37">
        <v>0</v>
      </c>
      <c r="AY88" s="37"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2600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2" t="s">
        <v>12</v>
      </c>
      <c r="BL88" s="32" t="s">
        <v>13</v>
      </c>
      <c r="BM88" s="33">
        <v>46071.773738425924</v>
      </c>
      <c r="BN88" s="32" t="s">
        <v>504</v>
      </c>
      <c r="BO88" s="32" t="s">
        <v>505</v>
      </c>
      <c r="BP88" s="38">
        <v>25</v>
      </c>
      <c r="BQ88" s="42"/>
      <c r="BR88" s="39">
        <v>25</v>
      </c>
      <c r="BS88" s="22" t="s">
        <v>220</v>
      </c>
      <c r="BT88" s="4" t="str">
        <f t="shared" si="5"/>
        <v>135</v>
      </c>
      <c r="BU88" s="4" t="str">
        <f t="shared" si="5"/>
        <v>25</v>
      </c>
      <c r="BV88" s="4">
        <f t="shared" si="6"/>
        <v>7</v>
      </c>
      <c r="BW88" s="29">
        <f t="shared" si="7"/>
        <v>65000</v>
      </c>
      <c r="BX88" s="4">
        <v>51.49</v>
      </c>
      <c r="BY88" s="29">
        <f t="shared" si="8"/>
        <v>91.694520547945203</v>
      </c>
    </row>
    <row r="89" spans="1:77" ht="15" hidden="1" customHeight="1" x14ac:dyDescent="0.35">
      <c r="A89" s="32" t="s">
        <v>217</v>
      </c>
      <c r="B89" s="32" t="s">
        <v>586</v>
      </c>
      <c r="C89" s="32" t="s">
        <v>502</v>
      </c>
      <c r="D89" s="32" t="s">
        <v>418</v>
      </c>
      <c r="E89" s="32" t="s">
        <v>134</v>
      </c>
      <c r="F89" s="32" t="s">
        <v>503</v>
      </c>
      <c r="G89" s="33">
        <v>46073</v>
      </c>
      <c r="H89" s="33">
        <v>46073</v>
      </c>
      <c r="I89" s="33">
        <v>46080</v>
      </c>
      <c r="J89" s="32" t="s">
        <v>11</v>
      </c>
      <c r="K89" s="34">
        <v>2600</v>
      </c>
      <c r="L89" s="34">
        <v>2166.67</v>
      </c>
      <c r="M89" s="34">
        <v>433.33</v>
      </c>
      <c r="N89" s="34">
        <v>0</v>
      </c>
      <c r="O89" s="34">
        <v>0</v>
      </c>
      <c r="P89" s="34">
        <v>2600</v>
      </c>
      <c r="Q89" s="34">
        <v>0</v>
      </c>
      <c r="R89" s="34">
        <v>2600</v>
      </c>
      <c r="S89" s="34">
        <v>51.008196624826901</v>
      </c>
      <c r="T89" s="34">
        <v>2600</v>
      </c>
      <c r="U89" s="35">
        <v>0</v>
      </c>
      <c r="V89" s="35">
        <v>0</v>
      </c>
      <c r="W89" s="35">
        <v>0</v>
      </c>
      <c r="X89" s="35">
        <v>0</v>
      </c>
      <c r="Y89" s="35">
        <v>0</v>
      </c>
      <c r="Z89" s="35">
        <v>0</v>
      </c>
      <c r="AA89" s="35">
        <v>0</v>
      </c>
      <c r="AB89" s="35">
        <v>0</v>
      </c>
      <c r="AC89" s="35">
        <v>2600</v>
      </c>
      <c r="AD89" s="35">
        <v>0</v>
      </c>
      <c r="AE89" s="35">
        <v>0</v>
      </c>
      <c r="AF89" s="35">
        <v>0</v>
      </c>
      <c r="AG89" s="35">
        <v>0</v>
      </c>
      <c r="AH89" s="35">
        <v>0</v>
      </c>
      <c r="AI89" s="36">
        <v>0</v>
      </c>
      <c r="AJ89" s="36">
        <v>0</v>
      </c>
      <c r="AK89" s="36">
        <v>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51.008196624826901</v>
      </c>
      <c r="AR89" s="36">
        <v>0</v>
      </c>
      <c r="AS89" s="36">
        <v>0</v>
      </c>
      <c r="AT89" s="36">
        <v>0</v>
      </c>
      <c r="AU89" s="36">
        <v>0</v>
      </c>
      <c r="AV89" s="36">
        <v>0</v>
      </c>
      <c r="AW89" s="37">
        <v>0</v>
      </c>
      <c r="AX89" s="37">
        <v>0</v>
      </c>
      <c r="AY89" s="37">
        <v>0</v>
      </c>
      <c r="AZ89" s="37">
        <v>0</v>
      </c>
      <c r="BA89" s="37">
        <v>0</v>
      </c>
      <c r="BB89" s="37">
        <v>0</v>
      </c>
      <c r="BC89" s="37">
        <v>0</v>
      </c>
      <c r="BD89" s="37">
        <v>0</v>
      </c>
      <c r="BE89" s="37">
        <v>2600</v>
      </c>
      <c r="BF89" s="37">
        <v>0</v>
      </c>
      <c r="BG89" s="37">
        <v>0</v>
      </c>
      <c r="BH89" s="37">
        <v>0</v>
      </c>
      <c r="BI89" s="37">
        <v>0</v>
      </c>
      <c r="BJ89" s="37">
        <v>0</v>
      </c>
      <c r="BK89" s="32" t="s">
        <v>12</v>
      </c>
      <c r="BL89" s="32" t="s">
        <v>13</v>
      </c>
      <c r="BM89" s="33">
        <v>46071.774062500001</v>
      </c>
      <c r="BN89" s="32" t="s">
        <v>504</v>
      </c>
      <c r="BO89" s="32" t="s">
        <v>505</v>
      </c>
      <c r="BP89" s="38">
        <v>25</v>
      </c>
      <c r="BQ89" s="42"/>
      <c r="BR89" s="39">
        <v>25</v>
      </c>
      <c r="BS89" s="22" t="s">
        <v>220</v>
      </c>
      <c r="BT89" s="4" t="str">
        <f t="shared" si="5"/>
        <v>135</v>
      </c>
      <c r="BU89" s="4" t="str">
        <f t="shared" si="5"/>
        <v>25</v>
      </c>
      <c r="BV89" s="4">
        <f t="shared" si="6"/>
        <v>7</v>
      </c>
      <c r="BW89" s="29">
        <f t="shared" si="7"/>
        <v>65000</v>
      </c>
      <c r="BX89" s="4">
        <v>51.49</v>
      </c>
      <c r="BY89" s="29">
        <f t="shared" si="8"/>
        <v>91.694520547945203</v>
      </c>
    </row>
    <row r="90" spans="1:77" ht="15" hidden="1" customHeight="1" x14ac:dyDescent="0.35">
      <c r="A90" s="32" t="s">
        <v>217</v>
      </c>
      <c r="B90" s="32" t="s">
        <v>587</v>
      </c>
      <c r="C90" s="32" t="s">
        <v>502</v>
      </c>
      <c r="D90" s="32" t="s">
        <v>418</v>
      </c>
      <c r="E90" s="32" t="s">
        <v>134</v>
      </c>
      <c r="F90" s="32" t="s">
        <v>503</v>
      </c>
      <c r="G90" s="33">
        <v>46073</v>
      </c>
      <c r="H90" s="33">
        <v>46073</v>
      </c>
      <c r="I90" s="33">
        <v>46080</v>
      </c>
      <c r="J90" s="32" t="s">
        <v>11</v>
      </c>
      <c r="K90" s="34">
        <v>2600</v>
      </c>
      <c r="L90" s="34">
        <v>2166.67</v>
      </c>
      <c r="M90" s="34">
        <v>433.33</v>
      </c>
      <c r="N90" s="34">
        <v>0</v>
      </c>
      <c r="O90" s="34">
        <v>0</v>
      </c>
      <c r="P90" s="34">
        <v>2600</v>
      </c>
      <c r="Q90" s="34">
        <v>0</v>
      </c>
      <c r="R90" s="34">
        <v>2600</v>
      </c>
      <c r="S90" s="34">
        <v>51.008196624826901</v>
      </c>
      <c r="T90" s="34">
        <v>2600</v>
      </c>
      <c r="U90" s="35">
        <v>0</v>
      </c>
      <c r="V90" s="35">
        <v>0</v>
      </c>
      <c r="W90" s="35">
        <v>0</v>
      </c>
      <c r="X90" s="35">
        <v>0</v>
      </c>
      <c r="Y90" s="35">
        <v>0</v>
      </c>
      <c r="Z90" s="35">
        <v>0</v>
      </c>
      <c r="AA90" s="35">
        <v>0</v>
      </c>
      <c r="AB90" s="35">
        <v>0</v>
      </c>
      <c r="AC90" s="35">
        <v>2600</v>
      </c>
      <c r="AD90" s="35">
        <v>0</v>
      </c>
      <c r="AE90" s="35">
        <v>0</v>
      </c>
      <c r="AF90" s="35">
        <v>0</v>
      </c>
      <c r="AG90" s="35">
        <v>0</v>
      </c>
      <c r="AH90" s="35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51.008196624826901</v>
      </c>
      <c r="AR90" s="36">
        <v>0</v>
      </c>
      <c r="AS90" s="36">
        <v>0</v>
      </c>
      <c r="AT90" s="36">
        <v>0</v>
      </c>
      <c r="AU90" s="36">
        <v>0</v>
      </c>
      <c r="AV90" s="36">
        <v>0</v>
      </c>
      <c r="AW90" s="37">
        <v>0</v>
      </c>
      <c r="AX90" s="37">
        <v>0</v>
      </c>
      <c r="AY90" s="37"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2600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2" t="s">
        <v>12</v>
      </c>
      <c r="BL90" s="32" t="s">
        <v>13</v>
      </c>
      <c r="BM90" s="33">
        <v>46071.774386574078</v>
      </c>
      <c r="BN90" s="32" t="s">
        <v>504</v>
      </c>
      <c r="BO90" s="32" t="s">
        <v>505</v>
      </c>
      <c r="BP90" s="38">
        <v>25</v>
      </c>
      <c r="BQ90" s="42"/>
      <c r="BR90" s="39">
        <v>25</v>
      </c>
      <c r="BS90" s="22" t="s">
        <v>220</v>
      </c>
      <c r="BT90" s="4" t="str">
        <f t="shared" si="5"/>
        <v>135</v>
      </c>
      <c r="BU90" s="4" t="str">
        <f t="shared" si="5"/>
        <v>25</v>
      </c>
      <c r="BV90" s="4">
        <f t="shared" si="6"/>
        <v>7</v>
      </c>
      <c r="BW90" s="29">
        <f t="shared" si="7"/>
        <v>65000</v>
      </c>
      <c r="BX90" s="4">
        <v>51.49</v>
      </c>
      <c r="BY90" s="29">
        <f t="shared" si="8"/>
        <v>91.694520547945203</v>
      </c>
    </row>
    <row r="91" spans="1:77" ht="15" hidden="1" customHeight="1" x14ac:dyDescent="0.35">
      <c r="A91" s="32" t="s">
        <v>217</v>
      </c>
      <c r="B91" s="32" t="s">
        <v>588</v>
      </c>
      <c r="C91" s="32" t="s">
        <v>502</v>
      </c>
      <c r="D91" s="32" t="s">
        <v>418</v>
      </c>
      <c r="E91" s="32" t="s">
        <v>134</v>
      </c>
      <c r="F91" s="32" t="s">
        <v>503</v>
      </c>
      <c r="G91" s="33">
        <v>46073</v>
      </c>
      <c r="H91" s="33">
        <v>46073</v>
      </c>
      <c r="I91" s="33">
        <v>46080</v>
      </c>
      <c r="J91" s="32" t="s">
        <v>11</v>
      </c>
      <c r="K91" s="34">
        <v>2600</v>
      </c>
      <c r="L91" s="34">
        <v>2166.67</v>
      </c>
      <c r="M91" s="34">
        <v>433.33</v>
      </c>
      <c r="N91" s="34">
        <v>0</v>
      </c>
      <c r="O91" s="34">
        <v>0</v>
      </c>
      <c r="P91" s="34">
        <v>2600</v>
      </c>
      <c r="Q91" s="34">
        <v>0</v>
      </c>
      <c r="R91" s="34">
        <v>2600</v>
      </c>
      <c r="S91" s="34">
        <v>51.008196624826901</v>
      </c>
      <c r="T91" s="34">
        <v>2600</v>
      </c>
      <c r="U91" s="35">
        <v>0</v>
      </c>
      <c r="V91" s="35">
        <v>0</v>
      </c>
      <c r="W91" s="35">
        <v>0</v>
      </c>
      <c r="X91" s="35">
        <v>0</v>
      </c>
      <c r="Y91" s="35">
        <v>0</v>
      </c>
      <c r="Z91" s="35">
        <v>0</v>
      </c>
      <c r="AA91" s="35">
        <v>0</v>
      </c>
      <c r="AB91" s="35">
        <v>0</v>
      </c>
      <c r="AC91" s="35">
        <v>2600</v>
      </c>
      <c r="AD91" s="35">
        <v>0</v>
      </c>
      <c r="AE91" s="35">
        <v>0</v>
      </c>
      <c r="AF91" s="35">
        <v>0</v>
      </c>
      <c r="AG91" s="35">
        <v>0</v>
      </c>
      <c r="AH91" s="35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51.008196624826901</v>
      </c>
      <c r="AR91" s="36">
        <v>0</v>
      </c>
      <c r="AS91" s="36">
        <v>0</v>
      </c>
      <c r="AT91" s="36">
        <v>0</v>
      </c>
      <c r="AU91" s="36">
        <v>0</v>
      </c>
      <c r="AV91" s="36">
        <v>0</v>
      </c>
      <c r="AW91" s="37">
        <v>0</v>
      </c>
      <c r="AX91" s="37">
        <v>0</v>
      </c>
      <c r="AY91" s="37">
        <v>0</v>
      </c>
      <c r="AZ91" s="37">
        <v>0</v>
      </c>
      <c r="BA91" s="37">
        <v>0</v>
      </c>
      <c r="BB91" s="37">
        <v>0</v>
      </c>
      <c r="BC91" s="37">
        <v>0</v>
      </c>
      <c r="BD91" s="37">
        <v>0</v>
      </c>
      <c r="BE91" s="37">
        <v>2600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2" t="s">
        <v>12</v>
      </c>
      <c r="BL91" s="32" t="s">
        <v>13</v>
      </c>
      <c r="BM91" s="33">
        <v>46071.774722222224</v>
      </c>
      <c r="BN91" s="32" t="s">
        <v>504</v>
      </c>
      <c r="BO91" s="32" t="s">
        <v>505</v>
      </c>
      <c r="BP91" s="38">
        <v>25</v>
      </c>
      <c r="BQ91" s="42"/>
      <c r="BR91" s="39">
        <v>25</v>
      </c>
      <c r="BS91" s="22" t="s">
        <v>220</v>
      </c>
      <c r="BT91" s="4" t="str">
        <f t="shared" si="5"/>
        <v>135</v>
      </c>
      <c r="BU91" s="4" t="str">
        <f t="shared" si="5"/>
        <v>25</v>
      </c>
      <c r="BV91" s="4">
        <f t="shared" si="6"/>
        <v>7</v>
      </c>
      <c r="BW91" s="29">
        <f t="shared" si="7"/>
        <v>65000</v>
      </c>
      <c r="BX91" s="4">
        <v>51.49</v>
      </c>
      <c r="BY91" s="29">
        <f t="shared" si="8"/>
        <v>91.694520547945203</v>
      </c>
    </row>
    <row r="92" spans="1:77" ht="15" hidden="1" customHeight="1" x14ac:dyDescent="0.35">
      <c r="A92" s="32" t="s">
        <v>217</v>
      </c>
      <c r="B92" s="32" t="s">
        <v>589</v>
      </c>
      <c r="C92" s="32" t="s">
        <v>502</v>
      </c>
      <c r="D92" s="32" t="s">
        <v>418</v>
      </c>
      <c r="E92" s="32" t="s">
        <v>134</v>
      </c>
      <c r="F92" s="32" t="s">
        <v>503</v>
      </c>
      <c r="G92" s="33">
        <v>46073</v>
      </c>
      <c r="H92" s="33">
        <v>46073</v>
      </c>
      <c r="I92" s="33">
        <v>46080</v>
      </c>
      <c r="J92" s="32" t="s">
        <v>11</v>
      </c>
      <c r="K92" s="34">
        <v>2600</v>
      </c>
      <c r="L92" s="34">
        <v>2166.67</v>
      </c>
      <c r="M92" s="34">
        <v>433.33</v>
      </c>
      <c r="N92" s="34">
        <v>0</v>
      </c>
      <c r="O92" s="34">
        <v>0</v>
      </c>
      <c r="P92" s="34">
        <v>2600</v>
      </c>
      <c r="Q92" s="34">
        <v>0</v>
      </c>
      <c r="R92" s="34">
        <v>2600</v>
      </c>
      <c r="S92" s="34">
        <v>51.008196624826901</v>
      </c>
      <c r="T92" s="34">
        <v>2600</v>
      </c>
      <c r="U92" s="35">
        <v>0</v>
      </c>
      <c r="V92" s="35">
        <v>0</v>
      </c>
      <c r="W92" s="35">
        <v>0</v>
      </c>
      <c r="X92" s="35">
        <v>0</v>
      </c>
      <c r="Y92" s="35">
        <v>0</v>
      </c>
      <c r="Z92" s="35">
        <v>0</v>
      </c>
      <c r="AA92" s="35">
        <v>0</v>
      </c>
      <c r="AB92" s="35">
        <v>0</v>
      </c>
      <c r="AC92" s="35">
        <v>2600</v>
      </c>
      <c r="AD92" s="35">
        <v>0</v>
      </c>
      <c r="AE92" s="35">
        <v>0</v>
      </c>
      <c r="AF92" s="35">
        <v>0</v>
      </c>
      <c r="AG92" s="35">
        <v>0</v>
      </c>
      <c r="AH92" s="35">
        <v>0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51.008196624826901</v>
      </c>
      <c r="AR92" s="36">
        <v>0</v>
      </c>
      <c r="AS92" s="36">
        <v>0</v>
      </c>
      <c r="AT92" s="36">
        <v>0</v>
      </c>
      <c r="AU92" s="36">
        <v>0</v>
      </c>
      <c r="AV92" s="36">
        <v>0</v>
      </c>
      <c r="AW92" s="37">
        <v>0</v>
      </c>
      <c r="AX92" s="37">
        <v>0</v>
      </c>
      <c r="AY92" s="37"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2600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2" t="s">
        <v>12</v>
      </c>
      <c r="BL92" s="32" t="s">
        <v>13</v>
      </c>
      <c r="BM92" s="33">
        <v>46071.775046296294</v>
      </c>
      <c r="BN92" s="32" t="s">
        <v>504</v>
      </c>
      <c r="BO92" s="32" t="s">
        <v>505</v>
      </c>
      <c r="BP92" s="38">
        <v>25</v>
      </c>
      <c r="BQ92" s="42"/>
      <c r="BR92" s="39">
        <v>25</v>
      </c>
      <c r="BS92" s="22" t="s">
        <v>220</v>
      </c>
      <c r="BT92" s="4" t="str">
        <f t="shared" si="5"/>
        <v>135</v>
      </c>
      <c r="BU92" s="4" t="str">
        <f t="shared" si="5"/>
        <v>25</v>
      </c>
      <c r="BV92" s="4">
        <f t="shared" si="6"/>
        <v>7</v>
      </c>
      <c r="BW92" s="29">
        <f t="shared" si="7"/>
        <v>65000</v>
      </c>
      <c r="BX92" s="4">
        <v>51.49</v>
      </c>
      <c r="BY92" s="29">
        <f t="shared" si="8"/>
        <v>91.694520547945203</v>
      </c>
    </row>
    <row r="93" spans="1:77" ht="15" hidden="1" customHeight="1" x14ac:dyDescent="0.35">
      <c r="A93" s="32" t="s">
        <v>217</v>
      </c>
      <c r="B93" s="32" t="s">
        <v>590</v>
      </c>
      <c r="C93" s="32" t="s">
        <v>30</v>
      </c>
      <c r="D93" s="32" t="s">
        <v>67</v>
      </c>
      <c r="E93" s="32" t="s">
        <v>68</v>
      </c>
      <c r="F93" s="32" t="s">
        <v>69</v>
      </c>
      <c r="G93" s="33">
        <v>46073</v>
      </c>
      <c r="H93" s="33">
        <v>46073</v>
      </c>
      <c r="I93" s="33">
        <v>46080</v>
      </c>
      <c r="J93" s="32" t="s">
        <v>11</v>
      </c>
      <c r="K93" s="34">
        <v>21979622.600000001</v>
      </c>
      <c r="L93" s="34">
        <v>21548649.609999999</v>
      </c>
      <c r="M93" s="34">
        <v>430972.99</v>
      </c>
      <c r="N93" s="34">
        <v>0</v>
      </c>
      <c r="O93" s="34">
        <v>0</v>
      </c>
      <c r="P93" s="34">
        <v>21979622.600000001</v>
      </c>
      <c r="Q93" s="34">
        <v>0</v>
      </c>
      <c r="R93" s="34">
        <v>21979622.600000001</v>
      </c>
      <c r="S93" s="34">
        <v>431208.04281549598</v>
      </c>
      <c r="T93" s="34">
        <v>21979622.600000001</v>
      </c>
      <c r="U93" s="35">
        <v>0</v>
      </c>
      <c r="V93" s="35">
        <v>0</v>
      </c>
      <c r="W93" s="35">
        <v>0</v>
      </c>
      <c r="X93" s="35">
        <v>0</v>
      </c>
      <c r="Y93" s="35">
        <v>0</v>
      </c>
      <c r="Z93" s="35">
        <v>0</v>
      </c>
      <c r="AA93" s="35">
        <v>0</v>
      </c>
      <c r="AB93" s="35">
        <v>0</v>
      </c>
      <c r="AC93" s="35">
        <v>21979622.600000001</v>
      </c>
      <c r="AD93" s="35">
        <v>0</v>
      </c>
      <c r="AE93" s="35">
        <v>0</v>
      </c>
      <c r="AF93" s="35">
        <v>0</v>
      </c>
      <c r="AG93" s="35">
        <v>0</v>
      </c>
      <c r="AH93" s="35">
        <v>0</v>
      </c>
      <c r="AI93" s="36">
        <v>0</v>
      </c>
      <c r="AJ93" s="36">
        <v>0</v>
      </c>
      <c r="AK93" s="36">
        <v>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431208.04281549598</v>
      </c>
      <c r="AR93" s="36">
        <v>0</v>
      </c>
      <c r="AS93" s="36">
        <v>0</v>
      </c>
      <c r="AT93" s="36">
        <v>0</v>
      </c>
      <c r="AU93" s="36">
        <v>0</v>
      </c>
      <c r="AV93" s="36">
        <v>0</v>
      </c>
      <c r="AW93" s="37">
        <v>0</v>
      </c>
      <c r="AX93" s="37">
        <v>0</v>
      </c>
      <c r="AY93" s="37">
        <v>0</v>
      </c>
      <c r="AZ93" s="37">
        <v>0</v>
      </c>
      <c r="BA93" s="37">
        <v>0</v>
      </c>
      <c r="BB93" s="37">
        <v>0</v>
      </c>
      <c r="BC93" s="37">
        <v>0</v>
      </c>
      <c r="BD93" s="37">
        <v>0</v>
      </c>
      <c r="BE93" s="37">
        <v>21979622.600000001</v>
      </c>
      <c r="BF93" s="37">
        <v>0</v>
      </c>
      <c r="BG93" s="37">
        <v>0</v>
      </c>
      <c r="BH93" s="37">
        <v>0</v>
      </c>
      <c r="BI93" s="37">
        <v>0</v>
      </c>
      <c r="BJ93" s="37">
        <v>0</v>
      </c>
      <c r="BK93" s="32" t="s">
        <v>12</v>
      </c>
      <c r="BL93" s="32" t="s">
        <v>13</v>
      </c>
      <c r="BM93" s="33">
        <v>46072.855624999997</v>
      </c>
      <c r="BN93" s="32" t="s">
        <v>70</v>
      </c>
      <c r="BO93" s="32" t="s">
        <v>15</v>
      </c>
      <c r="BP93" s="38">
        <v>25</v>
      </c>
      <c r="BQ93" s="42"/>
      <c r="BR93" s="39">
        <v>25</v>
      </c>
      <c r="BS93" s="22" t="s">
        <v>220</v>
      </c>
      <c r="BT93" s="4" t="str">
        <f t="shared" si="5"/>
        <v>120</v>
      </c>
      <c r="BU93" s="4" t="str">
        <f t="shared" si="5"/>
        <v>25</v>
      </c>
      <c r="BV93" s="4">
        <f t="shared" si="6"/>
        <v>7</v>
      </c>
      <c r="BW93" s="29">
        <f t="shared" si="7"/>
        <v>549490565</v>
      </c>
      <c r="BX93" s="4">
        <v>51.49</v>
      </c>
      <c r="BY93" s="29">
        <f t="shared" si="8"/>
        <v>775158.06005068496</v>
      </c>
    </row>
    <row r="94" spans="1:77" ht="15" hidden="1" customHeight="1" x14ac:dyDescent="0.35">
      <c r="A94" s="32" t="s">
        <v>217</v>
      </c>
      <c r="B94" s="32" t="s">
        <v>591</v>
      </c>
      <c r="C94" s="32" t="s">
        <v>30</v>
      </c>
      <c r="D94" s="32" t="s">
        <v>22</v>
      </c>
      <c r="E94" s="32" t="s">
        <v>23</v>
      </c>
      <c r="F94" s="32" t="s">
        <v>24</v>
      </c>
      <c r="G94" s="33">
        <v>46073</v>
      </c>
      <c r="H94" s="33">
        <v>46073</v>
      </c>
      <c r="I94" s="33">
        <v>46103</v>
      </c>
      <c r="J94" s="32" t="s">
        <v>11</v>
      </c>
      <c r="K94" s="34">
        <v>344519.07</v>
      </c>
      <c r="L94" s="34">
        <v>337763.79</v>
      </c>
      <c r="M94" s="34">
        <v>6755.28</v>
      </c>
      <c r="N94" s="34">
        <v>0</v>
      </c>
      <c r="O94" s="34">
        <v>0</v>
      </c>
      <c r="P94" s="34">
        <v>344519.07</v>
      </c>
      <c r="Q94" s="34">
        <v>0</v>
      </c>
      <c r="R94" s="34">
        <v>344519.07</v>
      </c>
      <c r="S94" s="34">
        <v>6758.9601782932696</v>
      </c>
      <c r="T94" s="34">
        <v>344519.07</v>
      </c>
      <c r="U94" s="35">
        <v>0</v>
      </c>
      <c r="V94" s="35">
        <v>0</v>
      </c>
      <c r="W94" s="35">
        <v>0</v>
      </c>
      <c r="X94" s="35">
        <v>0</v>
      </c>
      <c r="Y94" s="35">
        <v>0</v>
      </c>
      <c r="Z94" s="35">
        <v>0</v>
      </c>
      <c r="AA94" s="35">
        <v>0</v>
      </c>
      <c r="AB94" s="35">
        <v>344519.07</v>
      </c>
      <c r="AC94" s="35">
        <v>0</v>
      </c>
      <c r="AD94" s="35">
        <v>0</v>
      </c>
      <c r="AE94" s="35">
        <v>0</v>
      </c>
      <c r="AF94" s="35">
        <v>0</v>
      </c>
      <c r="AG94" s="35">
        <v>0</v>
      </c>
      <c r="AH94" s="35">
        <v>0</v>
      </c>
      <c r="AI94" s="36">
        <v>0</v>
      </c>
      <c r="AJ94" s="36">
        <v>0</v>
      </c>
      <c r="AK94" s="36">
        <v>0</v>
      </c>
      <c r="AL94" s="36">
        <v>0</v>
      </c>
      <c r="AM94" s="36">
        <v>0</v>
      </c>
      <c r="AN94" s="36">
        <v>0</v>
      </c>
      <c r="AO94" s="36">
        <v>0</v>
      </c>
      <c r="AP94" s="36">
        <v>6758.9601782932696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  <c r="AV94" s="36">
        <v>0</v>
      </c>
      <c r="AW94" s="37">
        <v>0</v>
      </c>
      <c r="AX94" s="37">
        <v>0</v>
      </c>
      <c r="AY94" s="37"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344519.07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2" t="s">
        <v>12</v>
      </c>
      <c r="BL94" s="32" t="s">
        <v>13</v>
      </c>
      <c r="BM94" s="33">
        <v>46072.855833333335</v>
      </c>
      <c r="BN94" s="32" t="s">
        <v>25</v>
      </c>
      <c r="BO94" s="32" t="s">
        <v>26</v>
      </c>
      <c r="BP94" s="38">
        <v>2</v>
      </c>
      <c r="BQ94" s="42"/>
      <c r="BR94" s="39">
        <v>2</v>
      </c>
      <c r="BS94" s="22" t="s">
        <v>220</v>
      </c>
      <c r="BT94" s="4" t="str">
        <f t="shared" si="5"/>
        <v>120</v>
      </c>
      <c r="BU94" s="4" t="str">
        <f t="shared" si="5"/>
        <v>2</v>
      </c>
      <c r="BV94" s="4">
        <f t="shared" si="6"/>
        <v>30</v>
      </c>
      <c r="BW94" s="29">
        <f t="shared" si="7"/>
        <v>689038.14</v>
      </c>
      <c r="BX94" s="4">
        <v>51.49</v>
      </c>
      <c r="BY94" s="29">
        <f t="shared" si="8"/>
        <v>972.01572133150694</v>
      </c>
    </row>
    <row r="95" spans="1:77" ht="15" hidden="1" customHeight="1" x14ac:dyDescent="0.35">
      <c r="A95" s="32" t="s">
        <v>217</v>
      </c>
      <c r="B95" s="32" t="s">
        <v>592</v>
      </c>
      <c r="C95" s="32" t="s">
        <v>30</v>
      </c>
      <c r="D95" s="32" t="s">
        <v>447</v>
      </c>
      <c r="E95" s="32" t="s">
        <v>136</v>
      </c>
      <c r="F95" s="32" t="s">
        <v>528</v>
      </c>
      <c r="G95" s="33">
        <v>46073</v>
      </c>
      <c r="H95" s="33">
        <v>46073</v>
      </c>
      <c r="I95" s="33">
        <v>46080</v>
      </c>
      <c r="J95" s="32" t="s">
        <v>11</v>
      </c>
      <c r="K95" s="34">
        <v>14601372.42</v>
      </c>
      <c r="L95" s="34">
        <v>14315071</v>
      </c>
      <c r="M95" s="34">
        <v>286301.42</v>
      </c>
      <c r="N95" s="34">
        <v>0</v>
      </c>
      <c r="O95" s="34">
        <v>0</v>
      </c>
      <c r="P95" s="34">
        <v>14601372.42</v>
      </c>
      <c r="Q95" s="34">
        <v>0</v>
      </c>
      <c r="R95" s="34">
        <v>14601372.42</v>
      </c>
      <c r="S95" s="34">
        <v>286457.56745834003</v>
      </c>
      <c r="T95" s="34">
        <v>14601372.42</v>
      </c>
      <c r="U95" s="35">
        <v>0</v>
      </c>
      <c r="V95" s="35">
        <v>0</v>
      </c>
      <c r="W95" s="35">
        <v>0</v>
      </c>
      <c r="X95" s="35">
        <v>0</v>
      </c>
      <c r="Y95" s="35">
        <v>0</v>
      </c>
      <c r="Z95" s="35">
        <v>0</v>
      </c>
      <c r="AA95" s="35">
        <v>0</v>
      </c>
      <c r="AB95" s="35">
        <v>0</v>
      </c>
      <c r="AC95" s="35">
        <v>14601372.42</v>
      </c>
      <c r="AD95" s="35">
        <v>0</v>
      </c>
      <c r="AE95" s="35">
        <v>0</v>
      </c>
      <c r="AF95" s="35">
        <v>0</v>
      </c>
      <c r="AG95" s="35">
        <v>0</v>
      </c>
      <c r="AH95" s="35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286457.56745834003</v>
      </c>
      <c r="AR95" s="36">
        <v>0</v>
      </c>
      <c r="AS95" s="36">
        <v>0</v>
      </c>
      <c r="AT95" s="36">
        <v>0</v>
      </c>
      <c r="AU95" s="36">
        <v>0</v>
      </c>
      <c r="AV95" s="36">
        <v>0</v>
      </c>
      <c r="AW95" s="37">
        <v>0</v>
      </c>
      <c r="AX95" s="37">
        <v>0</v>
      </c>
      <c r="AY95" s="37">
        <v>0</v>
      </c>
      <c r="AZ95" s="37">
        <v>0</v>
      </c>
      <c r="BA95" s="37">
        <v>0</v>
      </c>
      <c r="BB95" s="37">
        <v>0</v>
      </c>
      <c r="BC95" s="37">
        <v>0</v>
      </c>
      <c r="BD95" s="37">
        <v>0</v>
      </c>
      <c r="BE95" s="37">
        <v>14601372.42</v>
      </c>
      <c r="BF95" s="37">
        <v>0</v>
      </c>
      <c r="BG95" s="37">
        <v>0</v>
      </c>
      <c r="BH95" s="37">
        <v>0</v>
      </c>
      <c r="BI95" s="37">
        <v>0</v>
      </c>
      <c r="BJ95" s="37">
        <v>0</v>
      </c>
      <c r="BK95" s="32" t="s">
        <v>12</v>
      </c>
      <c r="BL95" s="32" t="s">
        <v>13</v>
      </c>
      <c r="BM95" s="33">
        <v>46072.859479166669</v>
      </c>
      <c r="BN95" s="32" t="s">
        <v>529</v>
      </c>
      <c r="BO95" s="32" t="s">
        <v>15</v>
      </c>
      <c r="BP95" s="38">
        <v>25</v>
      </c>
      <c r="BQ95" s="42"/>
      <c r="BR95" s="39">
        <v>25</v>
      </c>
      <c r="BS95" s="22" t="s">
        <v>220</v>
      </c>
      <c r="BT95" s="4" t="str">
        <f t="shared" si="5"/>
        <v>120</v>
      </c>
      <c r="BU95" s="4" t="str">
        <f t="shared" si="5"/>
        <v>25</v>
      </c>
      <c r="BV95" s="4">
        <f t="shared" si="6"/>
        <v>7</v>
      </c>
      <c r="BW95" s="29">
        <f t="shared" si="7"/>
        <v>365034310.5</v>
      </c>
      <c r="BX95" s="4">
        <v>51.49</v>
      </c>
      <c r="BY95" s="29">
        <f t="shared" si="8"/>
        <v>514948.4013053425</v>
      </c>
    </row>
    <row r="96" spans="1:77" ht="15" hidden="1" customHeight="1" x14ac:dyDescent="0.35">
      <c r="A96" s="32" t="s">
        <v>217</v>
      </c>
      <c r="B96" s="32" t="s">
        <v>596</v>
      </c>
      <c r="C96" s="32" t="s">
        <v>16</v>
      </c>
      <c r="D96" s="32" t="s">
        <v>436</v>
      </c>
      <c r="E96" s="32" t="s">
        <v>365</v>
      </c>
      <c r="F96" s="32" t="s">
        <v>437</v>
      </c>
      <c r="G96" s="33">
        <v>46073</v>
      </c>
      <c r="H96" s="33">
        <v>46073</v>
      </c>
      <c r="I96" s="33">
        <v>46103</v>
      </c>
      <c r="J96" s="32" t="s">
        <v>11</v>
      </c>
      <c r="K96" s="34">
        <v>1104505.18</v>
      </c>
      <c r="L96" s="34">
        <v>1082848.22</v>
      </c>
      <c r="M96" s="34">
        <v>21656.959999999999</v>
      </c>
      <c r="N96" s="34">
        <v>0</v>
      </c>
      <c r="O96" s="34">
        <v>0</v>
      </c>
      <c r="P96" s="34">
        <v>1104505.18</v>
      </c>
      <c r="Q96" s="34">
        <v>0</v>
      </c>
      <c r="R96" s="34">
        <v>1104505.18</v>
      </c>
      <c r="S96" s="34">
        <v>21668.775920992201</v>
      </c>
      <c r="T96" s="34">
        <v>1104505.18</v>
      </c>
      <c r="U96" s="35">
        <v>0</v>
      </c>
      <c r="V96" s="35">
        <v>0</v>
      </c>
      <c r="W96" s="35">
        <v>0</v>
      </c>
      <c r="X96" s="35">
        <v>0</v>
      </c>
      <c r="Y96" s="35">
        <v>0</v>
      </c>
      <c r="Z96" s="35">
        <v>0</v>
      </c>
      <c r="AA96" s="35">
        <v>0</v>
      </c>
      <c r="AB96" s="35">
        <v>1104505.18</v>
      </c>
      <c r="AC96" s="35">
        <v>0</v>
      </c>
      <c r="AD96" s="35">
        <v>0</v>
      </c>
      <c r="AE96" s="35">
        <v>0</v>
      </c>
      <c r="AF96" s="35">
        <v>0</v>
      </c>
      <c r="AG96" s="35">
        <v>0</v>
      </c>
      <c r="AH96" s="35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21668.775920992201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  <c r="AV96" s="36">
        <v>0</v>
      </c>
      <c r="AW96" s="37">
        <v>0</v>
      </c>
      <c r="AX96" s="37">
        <v>0</v>
      </c>
      <c r="AY96" s="37"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1104505.18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2" t="s">
        <v>12</v>
      </c>
      <c r="BL96" s="32" t="s">
        <v>13</v>
      </c>
      <c r="BM96" s="33">
        <v>46072.860567129632</v>
      </c>
      <c r="BN96" s="32" t="s">
        <v>438</v>
      </c>
      <c r="BO96" s="32" t="s">
        <v>15</v>
      </c>
      <c r="BP96" s="38">
        <v>2</v>
      </c>
      <c r="BQ96" s="42"/>
      <c r="BR96" s="39">
        <v>2</v>
      </c>
      <c r="BS96" s="22" t="s">
        <v>220</v>
      </c>
      <c r="BT96" s="4" t="str">
        <f t="shared" si="5"/>
        <v>120</v>
      </c>
      <c r="BU96" s="4" t="str">
        <f t="shared" si="5"/>
        <v>2</v>
      </c>
      <c r="BV96" s="4">
        <f t="shared" si="6"/>
        <v>30</v>
      </c>
      <c r="BW96" s="29">
        <f t="shared" si="7"/>
        <v>2209010.36</v>
      </c>
      <c r="BX96" s="4">
        <v>51.49</v>
      </c>
      <c r="BY96" s="29">
        <f t="shared" si="8"/>
        <v>3116.2176283945205</v>
      </c>
    </row>
    <row r="97" spans="1:77" ht="15" hidden="1" customHeight="1" x14ac:dyDescent="0.35">
      <c r="A97" s="32" t="s">
        <v>217</v>
      </c>
      <c r="B97" s="32" t="s">
        <v>597</v>
      </c>
      <c r="C97" s="32" t="s">
        <v>16</v>
      </c>
      <c r="D97" s="32" t="s">
        <v>110</v>
      </c>
      <c r="E97" s="32" t="s">
        <v>111</v>
      </c>
      <c r="F97" s="32" t="s">
        <v>46</v>
      </c>
      <c r="G97" s="33">
        <v>46073</v>
      </c>
      <c r="H97" s="33">
        <v>46073</v>
      </c>
      <c r="I97" s="33">
        <v>46103</v>
      </c>
      <c r="J97" s="32" t="s">
        <v>11</v>
      </c>
      <c r="K97" s="34">
        <v>2411384.46</v>
      </c>
      <c r="L97" s="34">
        <v>2364102.41</v>
      </c>
      <c r="M97" s="34">
        <v>47282.05</v>
      </c>
      <c r="N97" s="34">
        <v>0</v>
      </c>
      <c r="O97" s="34">
        <v>0</v>
      </c>
      <c r="P97" s="34">
        <v>2411384.46</v>
      </c>
      <c r="Q97" s="34">
        <v>0</v>
      </c>
      <c r="R97" s="34">
        <v>2411384.46</v>
      </c>
      <c r="S97" s="34">
        <v>47307.835643743099</v>
      </c>
      <c r="T97" s="34">
        <v>2411384.46</v>
      </c>
      <c r="U97" s="35">
        <v>0</v>
      </c>
      <c r="V97" s="35">
        <v>0</v>
      </c>
      <c r="W97" s="35">
        <v>0</v>
      </c>
      <c r="X97" s="35">
        <v>0</v>
      </c>
      <c r="Y97" s="35">
        <v>0</v>
      </c>
      <c r="Z97" s="35">
        <v>0</v>
      </c>
      <c r="AA97" s="35">
        <v>0</v>
      </c>
      <c r="AB97" s="35">
        <v>2411384.46</v>
      </c>
      <c r="AC97" s="35">
        <v>0</v>
      </c>
      <c r="AD97" s="35">
        <v>0</v>
      </c>
      <c r="AE97" s="35">
        <v>0</v>
      </c>
      <c r="AF97" s="35">
        <v>0</v>
      </c>
      <c r="AG97" s="35">
        <v>0</v>
      </c>
      <c r="AH97" s="35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47307.835643743099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  <c r="AV97" s="36">
        <v>0</v>
      </c>
      <c r="AW97" s="37">
        <v>0</v>
      </c>
      <c r="AX97" s="37">
        <v>0</v>
      </c>
      <c r="AY97" s="37">
        <v>0</v>
      </c>
      <c r="AZ97" s="37">
        <v>0</v>
      </c>
      <c r="BA97" s="37">
        <v>0</v>
      </c>
      <c r="BB97" s="37">
        <v>0</v>
      </c>
      <c r="BC97" s="37">
        <v>0</v>
      </c>
      <c r="BD97" s="37">
        <v>2411384.46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2" t="s">
        <v>12</v>
      </c>
      <c r="BL97" s="32" t="s">
        <v>13</v>
      </c>
      <c r="BM97" s="33">
        <v>46072.860995370371</v>
      </c>
      <c r="BN97" s="32" t="s">
        <v>112</v>
      </c>
      <c r="BO97" s="32" t="s">
        <v>15</v>
      </c>
      <c r="BP97" s="38">
        <v>2</v>
      </c>
      <c r="BQ97" s="42"/>
      <c r="BR97" s="39">
        <v>2</v>
      </c>
      <c r="BS97" s="22" t="s">
        <v>220</v>
      </c>
      <c r="BT97" s="4" t="str">
        <f t="shared" si="5"/>
        <v>120</v>
      </c>
      <c r="BU97" s="4" t="str">
        <f t="shared" si="5"/>
        <v>2</v>
      </c>
      <c r="BV97" s="4">
        <f t="shared" si="6"/>
        <v>30</v>
      </c>
      <c r="BW97" s="29">
        <f t="shared" si="7"/>
        <v>4822768.92</v>
      </c>
      <c r="BX97" s="4">
        <v>51.49</v>
      </c>
      <c r="BY97" s="29">
        <f t="shared" si="8"/>
        <v>6803.4074435835619</v>
      </c>
    </row>
    <row r="98" spans="1:77" ht="15" hidden="1" customHeight="1" x14ac:dyDescent="0.35">
      <c r="A98" s="32" t="s">
        <v>217</v>
      </c>
      <c r="B98" s="32" t="s">
        <v>598</v>
      </c>
      <c r="C98" s="32" t="s">
        <v>16</v>
      </c>
      <c r="D98" s="32" t="s">
        <v>110</v>
      </c>
      <c r="E98" s="32" t="s">
        <v>111</v>
      </c>
      <c r="F98" s="32" t="s">
        <v>46</v>
      </c>
      <c r="G98" s="33">
        <v>46073</v>
      </c>
      <c r="H98" s="33">
        <v>46073</v>
      </c>
      <c r="I98" s="33">
        <v>46103</v>
      </c>
      <c r="J98" s="32" t="s">
        <v>11</v>
      </c>
      <c r="K98" s="34">
        <v>1811511.68</v>
      </c>
      <c r="L98" s="34">
        <v>1775991.84</v>
      </c>
      <c r="M98" s="34">
        <v>35519.839999999997</v>
      </c>
      <c r="N98" s="34">
        <v>0</v>
      </c>
      <c r="O98" s="34">
        <v>0</v>
      </c>
      <c r="P98" s="34">
        <v>1811511.68</v>
      </c>
      <c r="Q98" s="34">
        <v>0</v>
      </c>
      <c r="R98" s="34">
        <v>1811511.68</v>
      </c>
      <c r="S98" s="34">
        <v>35539.209216003997</v>
      </c>
      <c r="T98" s="34">
        <v>1811511.68</v>
      </c>
      <c r="U98" s="35">
        <v>0</v>
      </c>
      <c r="V98" s="35">
        <v>0</v>
      </c>
      <c r="W98" s="35">
        <v>0</v>
      </c>
      <c r="X98" s="35">
        <v>0</v>
      </c>
      <c r="Y98" s="35">
        <v>0</v>
      </c>
      <c r="Z98" s="35">
        <v>0</v>
      </c>
      <c r="AA98" s="35">
        <v>0</v>
      </c>
      <c r="AB98" s="35">
        <v>1811511.68</v>
      </c>
      <c r="AC98" s="35">
        <v>0</v>
      </c>
      <c r="AD98" s="35">
        <v>0</v>
      </c>
      <c r="AE98" s="35">
        <v>0</v>
      </c>
      <c r="AF98" s="35">
        <v>0</v>
      </c>
      <c r="AG98" s="35">
        <v>0</v>
      </c>
      <c r="AH98" s="35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35539.209216003997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  <c r="AV98" s="36">
        <v>0</v>
      </c>
      <c r="AW98" s="37">
        <v>0</v>
      </c>
      <c r="AX98" s="37">
        <v>0</v>
      </c>
      <c r="AY98" s="37"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1811511.68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2" t="s">
        <v>12</v>
      </c>
      <c r="BL98" s="32" t="s">
        <v>13</v>
      </c>
      <c r="BM98" s="33">
        <v>46072.861203703702</v>
      </c>
      <c r="BN98" s="32" t="s">
        <v>112</v>
      </c>
      <c r="BO98" s="32" t="s">
        <v>15</v>
      </c>
      <c r="BP98" s="38">
        <v>2</v>
      </c>
      <c r="BQ98" s="42"/>
      <c r="BR98" s="39">
        <v>2</v>
      </c>
      <c r="BS98" s="22" t="s">
        <v>220</v>
      </c>
      <c r="BT98" s="4" t="str">
        <f t="shared" si="5"/>
        <v>120</v>
      </c>
      <c r="BU98" s="4" t="str">
        <f t="shared" si="5"/>
        <v>2</v>
      </c>
      <c r="BV98" s="4">
        <f t="shared" si="6"/>
        <v>30</v>
      </c>
      <c r="BW98" s="29">
        <f t="shared" si="7"/>
        <v>3623023.36</v>
      </c>
      <c r="BX98" s="4">
        <v>51.49</v>
      </c>
      <c r="BY98" s="29">
        <f t="shared" si="8"/>
        <v>5110.9444604493146</v>
      </c>
    </row>
    <row r="99" spans="1:77" ht="15" hidden="1" customHeight="1" x14ac:dyDescent="0.35">
      <c r="A99" s="32" t="s">
        <v>217</v>
      </c>
      <c r="B99" s="32" t="s">
        <v>599</v>
      </c>
      <c r="C99" s="32" t="s">
        <v>16</v>
      </c>
      <c r="D99" s="32" t="s">
        <v>110</v>
      </c>
      <c r="E99" s="32" t="s">
        <v>111</v>
      </c>
      <c r="F99" s="32" t="s">
        <v>46</v>
      </c>
      <c r="G99" s="33">
        <v>46073</v>
      </c>
      <c r="H99" s="33">
        <v>46073</v>
      </c>
      <c r="I99" s="33">
        <v>46103</v>
      </c>
      <c r="J99" s="32" t="s">
        <v>11</v>
      </c>
      <c r="K99" s="34">
        <v>1432430.88</v>
      </c>
      <c r="L99" s="34">
        <v>1404344</v>
      </c>
      <c r="M99" s="34">
        <v>28086.880000000001</v>
      </c>
      <c r="N99" s="34">
        <v>0</v>
      </c>
      <c r="O99" s="34">
        <v>0</v>
      </c>
      <c r="P99" s="34">
        <v>1432430.88</v>
      </c>
      <c r="Q99" s="34">
        <v>0</v>
      </c>
      <c r="R99" s="34">
        <v>1432430.88</v>
      </c>
      <c r="S99" s="34">
        <v>28102.198453274501</v>
      </c>
      <c r="T99" s="34">
        <v>1432430.88</v>
      </c>
      <c r="U99" s="35">
        <v>0</v>
      </c>
      <c r="V99" s="35">
        <v>0</v>
      </c>
      <c r="W99" s="35">
        <v>0</v>
      </c>
      <c r="X99" s="35">
        <v>0</v>
      </c>
      <c r="Y99" s="35">
        <v>0</v>
      </c>
      <c r="Z99" s="35">
        <v>0</v>
      </c>
      <c r="AA99" s="35">
        <v>0</v>
      </c>
      <c r="AB99" s="35">
        <v>1432430.88</v>
      </c>
      <c r="AC99" s="35">
        <v>0</v>
      </c>
      <c r="AD99" s="35">
        <v>0</v>
      </c>
      <c r="AE99" s="35">
        <v>0</v>
      </c>
      <c r="AF99" s="35">
        <v>0</v>
      </c>
      <c r="AG99" s="35">
        <v>0</v>
      </c>
      <c r="AH99" s="35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28102.198453274501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  <c r="AV99" s="36">
        <v>0</v>
      </c>
      <c r="AW99" s="37">
        <v>0</v>
      </c>
      <c r="AX99" s="37">
        <v>0</v>
      </c>
      <c r="AY99" s="37">
        <v>0</v>
      </c>
      <c r="AZ99" s="37">
        <v>0</v>
      </c>
      <c r="BA99" s="37">
        <v>0</v>
      </c>
      <c r="BB99" s="37">
        <v>0</v>
      </c>
      <c r="BC99" s="37">
        <v>0</v>
      </c>
      <c r="BD99" s="37">
        <v>1432430.88</v>
      </c>
      <c r="BE99" s="37">
        <v>0</v>
      </c>
      <c r="BF99" s="37">
        <v>0</v>
      </c>
      <c r="BG99" s="37">
        <v>0</v>
      </c>
      <c r="BH99" s="37">
        <v>0</v>
      </c>
      <c r="BI99" s="37">
        <v>0</v>
      </c>
      <c r="BJ99" s="37">
        <v>0</v>
      </c>
      <c r="BK99" s="32" t="s">
        <v>12</v>
      </c>
      <c r="BL99" s="32" t="s">
        <v>13</v>
      </c>
      <c r="BM99" s="33">
        <v>46072.86141203704</v>
      </c>
      <c r="BN99" s="32" t="s">
        <v>112</v>
      </c>
      <c r="BO99" s="32" t="s">
        <v>15</v>
      </c>
      <c r="BP99" s="38">
        <v>2</v>
      </c>
      <c r="BQ99" s="42"/>
      <c r="BR99" s="39">
        <v>2</v>
      </c>
      <c r="BS99" s="22" t="s">
        <v>220</v>
      </c>
      <c r="BT99" s="4" t="str">
        <f t="shared" si="5"/>
        <v>120</v>
      </c>
      <c r="BU99" s="4" t="str">
        <f t="shared" si="5"/>
        <v>2</v>
      </c>
      <c r="BV99" s="4">
        <f t="shared" si="6"/>
        <v>30</v>
      </c>
      <c r="BW99" s="29">
        <f t="shared" si="7"/>
        <v>2864861.76</v>
      </c>
      <c r="BX99" s="4">
        <v>51.49</v>
      </c>
      <c r="BY99" s="29">
        <f t="shared" si="8"/>
        <v>4041.4173156821917</v>
      </c>
    </row>
    <row r="100" spans="1:77" ht="15" hidden="1" customHeight="1" x14ac:dyDescent="0.35">
      <c r="A100" s="32" t="s">
        <v>217</v>
      </c>
      <c r="B100" s="32" t="s">
        <v>629</v>
      </c>
      <c r="C100" s="32" t="s">
        <v>16</v>
      </c>
      <c r="D100" s="32" t="s">
        <v>630</v>
      </c>
      <c r="E100" s="32" t="s">
        <v>113</v>
      </c>
      <c r="F100" s="32" t="s">
        <v>631</v>
      </c>
      <c r="G100" s="33">
        <v>46076</v>
      </c>
      <c r="H100" s="33">
        <v>46076</v>
      </c>
      <c r="I100" s="33">
        <v>46083</v>
      </c>
      <c r="J100" s="32" t="s">
        <v>11</v>
      </c>
      <c r="K100" s="34">
        <v>23895.37</v>
      </c>
      <c r="L100" s="34">
        <v>19912.810000000001</v>
      </c>
      <c r="M100" s="34">
        <v>3982.56</v>
      </c>
      <c r="N100" s="34">
        <v>0</v>
      </c>
      <c r="O100" s="34">
        <v>0</v>
      </c>
      <c r="P100" s="34">
        <v>23895.37</v>
      </c>
      <c r="Q100" s="34">
        <v>0</v>
      </c>
      <c r="R100" s="34">
        <v>23895.37</v>
      </c>
      <c r="S100" s="34">
        <v>468.792204378073</v>
      </c>
      <c r="T100" s="34">
        <v>23895.37</v>
      </c>
      <c r="U100" s="35">
        <v>0</v>
      </c>
      <c r="V100" s="35">
        <v>0</v>
      </c>
      <c r="W100" s="35">
        <v>0</v>
      </c>
      <c r="X100" s="35">
        <v>0</v>
      </c>
      <c r="Y100" s="35">
        <v>0</v>
      </c>
      <c r="Z100" s="35">
        <v>0</v>
      </c>
      <c r="AA100" s="35">
        <v>0</v>
      </c>
      <c r="AB100" s="35">
        <v>0</v>
      </c>
      <c r="AC100" s="35">
        <v>23895.37</v>
      </c>
      <c r="AD100" s="35">
        <v>0</v>
      </c>
      <c r="AE100" s="35">
        <v>0</v>
      </c>
      <c r="AF100" s="35">
        <v>0</v>
      </c>
      <c r="AG100" s="35">
        <v>0</v>
      </c>
      <c r="AH100" s="35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468.792204378073</v>
      </c>
      <c r="AR100" s="36">
        <v>0</v>
      </c>
      <c r="AS100" s="36">
        <v>0</v>
      </c>
      <c r="AT100" s="36">
        <v>0</v>
      </c>
      <c r="AU100" s="36">
        <v>0</v>
      </c>
      <c r="AV100" s="36">
        <v>0</v>
      </c>
      <c r="AW100" s="37">
        <v>0</v>
      </c>
      <c r="AX100" s="37">
        <v>0</v>
      </c>
      <c r="AY100" s="37"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23895.37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2" t="s">
        <v>12</v>
      </c>
      <c r="BL100" s="32" t="s">
        <v>13</v>
      </c>
      <c r="BM100" s="33">
        <v>46073.311435185184</v>
      </c>
      <c r="BN100" s="32" t="s">
        <v>632</v>
      </c>
      <c r="BO100" s="32" t="s">
        <v>15</v>
      </c>
      <c r="BP100" s="38">
        <v>22</v>
      </c>
      <c r="BQ100" s="42"/>
      <c r="BR100" s="39">
        <v>22</v>
      </c>
      <c r="BS100" s="22" t="s">
        <v>220</v>
      </c>
      <c r="BT100" s="4" t="str">
        <f t="shared" si="5"/>
        <v>120</v>
      </c>
      <c r="BU100" s="4" t="str">
        <f t="shared" si="5"/>
        <v>22</v>
      </c>
      <c r="BV100" s="4">
        <f t="shared" si="6"/>
        <v>7</v>
      </c>
      <c r="BW100" s="29">
        <f t="shared" si="7"/>
        <v>525698.14</v>
      </c>
      <c r="BX100" s="4">
        <v>51.49</v>
      </c>
      <c r="BY100" s="29">
        <f t="shared" si="8"/>
        <v>741.59444461917815</v>
      </c>
    </row>
    <row r="101" spans="1:77" ht="15" customHeight="1" x14ac:dyDescent="0.35">
      <c r="A101" s="32" t="s">
        <v>217</v>
      </c>
      <c r="B101" s="32" t="s">
        <v>600</v>
      </c>
      <c r="C101" s="32" t="s">
        <v>7</v>
      </c>
      <c r="D101" s="32" t="s">
        <v>8</v>
      </c>
      <c r="E101" s="32" t="s">
        <v>9</v>
      </c>
      <c r="F101" s="32" t="s">
        <v>10</v>
      </c>
      <c r="G101" s="33">
        <v>46073</v>
      </c>
      <c r="H101" s="33">
        <v>46073</v>
      </c>
      <c r="I101" s="33">
        <v>46080</v>
      </c>
      <c r="J101" s="32" t="s">
        <v>11</v>
      </c>
      <c r="K101" s="34">
        <v>12660125.1</v>
      </c>
      <c r="L101" s="34">
        <v>12411887.35</v>
      </c>
      <c r="M101" s="34">
        <v>248237.75</v>
      </c>
      <c r="N101" s="34">
        <v>0</v>
      </c>
      <c r="O101" s="34">
        <v>0</v>
      </c>
      <c r="P101" s="34">
        <v>12660125.1</v>
      </c>
      <c r="Q101" s="34">
        <v>0</v>
      </c>
      <c r="R101" s="34">
        <v>12660125.1</v>
      </c>
      <c r="S101" s="34">
        <v>248373.134767579</v>
      </c>
      <c r="T101" s="34">
        <v>12660125.1</v>
      </c>
      <c r="U101" s="35">
        <v>0</v>
      </c>
      <c r="V101" s="35">
        <v>0</v>
      </c>
      <c r="W101" s="35">
        <v>0</v>
      </c>
      <c r="X101" s="35">
        <v>0</v>
      </c>
      <c r="Y101" s="35">
        <v>0</v>
      </c>
      <c r="Z101" s="35">
        <v>0</v>
      </c>
      <c r="AA101" s="35">
        <v>0</v>
      </c>
      <c r="AB101" s="35">
        <v>0</v>
      </c>
      <c r="AC101" s="35">
        <v>12660125.1</v>
      </c>
      <c r="AD101" s="35">
        <v>0</v>
      </c>
      <c r="AE101" s="35">
        <v>0</v>
      </c>
      <c r="AF101" s="35">
        <v>0</v>
      </c>
      <c r="AG101" s="35">
        <v>0</v>
      </c>
      <c r="AH101" s="35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248373.134767579</v>
      </c>
      <c r="AR101" s="36">
        <v>0</v>
      </c>
      <c r="AS101" s="36">
        <v>0</v>
      </c>
      <c r="AT101" s="36">
        <v>0</v>
      </c>
      <c r="AU101" s="36">
        <v>0</v>
      </c>
      <c r="AV101" s="36">
        <v>0</v>
      </c>
      <c r="AW101" s="37">
        <v>0</v>
      </c>
      <c r="AX101" s="37">
        <v>0</v>
      </c>
      <c r="AY101" s="37">
        <v>0</v>
      </c>
      <c r="AZ101" s="37">
        <v>0</v>
      </c>
      <c r="BA101" s="37">
        <v>0</v>
      </c>
      <c r="BB101" s="37">
        <v>0</v>
      </c>
      <c r="BC101" s="37">
        <v>0</v>
      </c>
      <c r="BD101" s="37">
        <v>0</v>
      </c>
      <c r="BE101" s="37">
        <v>12660125.1</v>
      </c>
      <c r="BF101" s="37">
        <v>0</v>
      </c>
      <c r="BG101" s="37">
        <v>0</v>
      </c>
      <c r="BH101" s="37">
        <v>0</v>
      </c>
      <c r="BI101" s="37">
        <v>0</v>
      </c>
      <c r="BJ101" s="37">
        <v>0</v>
      </c>
      <c r="BK101" s="32" t="s">
        <v>12</v>
      </c>
      <c r="BL101" s="32" t="s">
        <v>13</v>
      </c>
      <c r="BM101" s="33">
        <v>46073.516331018516</v>
      </c>
      <c r="BN101" s="32" t="s">
        <v>14</v>
      </c>
      <c r="BO101" s="32" t="s">
        <v>15</v>
      </c>
      <c r="BP101" s="38">
        <v>25</v>
      </c>
      <c r="BQ101" s="42"/>
      <c r="BR101" s="39">
        <v>25</v>
      </c>
      <c r="BS101" s="22" t="s">
        <v>220</v>
      </c>
      <c r="BT101" s="4" t="str">
        <f t="shared" si="5"/>
        <v>120</v>
      </c>
      <c r="BU101" s="4" t="str">
        <f t="shared" si="5"/>
        <v>25</v>
      </c>
      <c r="BV101" s="4">
        <f t="shared" si="6"/>
        <v>7</v>
      </c>
      <c r="BW101" s="29">
        <f t="shared" si="7"/>
        <v>316503127.5</v>
      </c>
      <c r="BX101" s="4">
        <v>51.49</v>
      </c>
      <c r="BY101" s="29">
        <f t="shared" si="8"/>
        <v>446486.19273904111</v>
      </c>
    </row>
    <row r="102" spans="1:77" ht="15" hidden="1" customHeight="1" x14ac:dyDescent="0.35">
      <c r="A102" s="32" t="s">
        <v>217</v>
      </c>
      <c r="B102" s="32" t="s">
        <v>601</v>
      </c>
      <c r="C102" s="32" t="s">
        <v>7</v>
      </c>
      <c r="D102" s="32" t="s">
        <v>311</v>
      </c>
      <c r="E102" s="32" t="s">
        <v>312</v>
      </c>
      <c r="F102" s="32" t="s">
        <v>104</v>
      </c>
      <c r="G102" s="33">
        <v>46073</v>
      </c>
      <c r="H102" s="33">
        <v>46073</v>
      </c>
      <c r="I102" s="33">
        <v>46088</v>
      </c>
      <c r="J102" s="32" t="s">
        <v>11</v>
      </c>
      <c r="K102" s="34">
        <v>209860.4</v>
      </c>
      <c r="L102" s="34">
        <v>205745.49</v>
      </c>
      <c r="M102" s="34">
        <v>4114.91</v>
      </c>
      <c r="N102" s="34">
        <v>0</v>
      </c>
      <c r="O102" s="34">
        <v>0</v>
      </c>
      <c r="P102" s="34">
        <v>209860.4</v>
      </c>
      <c r="Q102" s="34">
        <v>0</v>
      </c>
      <c r="R102" s="34">
        <v>209860.4</v>
      </c>
      <c r="S102" s="34">
        <v>4117.1540565249297</v>
      </c>
      <c r="T102" s="34">
        <v>209860.4</v>
      </c>
      <c r="U102" s="35">
        <v>0</v>
      </c>
      <c r="V102" s="35">
        <v>0</v>
      </c>
      <c r="W102" s="35">
        <v>0</v>
      </c>
      <c r="X102" s="35">
        <v>0</v>
      </c>
      <c r="Y102" s="35">
        <v>0</v>
      </c>
      <c r="Z102" s="35">
        <v>0</v>
      </c>
      <c r="AA102" s="35">
        <v>0</v>
      </c>
      <c r="AB102" s="35">
        <v>0</v>
      </c>
      <c r="AC102" s="35">
        <v>209860.4</v>
      </c>
      <c r="AD102" s="35">
        <v>0</v>
      </c>
      <c r="AE102" s="35">
        <v>0</v>
      </c>
      <c r="AF102" s="35">
        <v>0</v>
      </c>
      <c r="AG102" s="35">
        <v>0</v>
      </c>
      <c r="AH102" s="35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4117.1540565249297</v>
      </c>
      <c r="AR102" s="36">
        <v>0</v>
      </c>
      <c r="AS102" s="36">
        <v>0</v>
      </c>
      <c r="AT102" s="36">
        <v>0</v>
      </c>
      <c r="AU102" s="36">
        <v>0</v>
      </c>
      <c r="AV102" s="36">
        <v>0</v>
      </c>
      <c r="AW102" s="37">
        <v>0</v>
      </c>
      <c r="AX102" s="37">
        <v>0</v>
      </c>
      <c r="AY102" s="37"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209860.4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2" t="s">
        <v>12</v>
      </c>
      <c r="BL102" s="32" t="s">
        <v>13</v>
      </c>
      <c r="BM102" s="33">
        <v>46073.516747685186</v>
      </c>
      <c r="BN102" s="32" t="s">
        <v>356</v>
      </c>
      <c r="BO102" s="32" t="s">
        <v>15</v>
      </c>
      <c r="BP102" s="38">
        <v>17</v>
      </c>
      <c r="BQ102" s="42"/>
      <c r="BR102" s="39">
        <v>17</v>
      </c>
      <c r="BS102" s="22" t="s">
        <v>220</v>
      </c>
      <c r="BT102" s="4" t="str">
        <f t="shared" si="5"/>
        <v>120</v>
      </c>
      <c r="BU102" s="4" t="str">
        <f t="shared" si="5"/>
        <v>17</v>
      </c>
      <c r="BV102" s="4">
        <f t="shared" si="6"/>
        <v>15</v>
      </c>
      <c r="BW102" s="29">
        <f t="shared" si="7"/>
        <v>3567626.8</v>
      </c>
      <c r="BX102" s="4">
        <v>51.49</v>
      </c>
      <c r="BY102" s="29">
        <f t="shared" si="8"/>
        <v>5032.7973680000005</v>
      </c>
    </row>
    <row r="103" spans="1:77" ht="15" hidden="1" customHeight="1" x14ac:dyDescent="0.35">
      <c r="A103" s="32" t="s">
        <v>217</v>
      </c>
      <c r="B103" s="32" t="s">
        <v>604</v>
      </c>
      <c r="C103" s="32" t="s">
        <v>7</v>
      </c>
      <c r="D103" s="32" t="s">
        <v>64</v>
      </c>
      <c r="E103" s="32" t="s">
        <v>65</v>
      </c>
      <c r="F103" s="32" t="s">
        <v>41</v>
      </c>
      <c r="G103" s="33">
        <v>46073</v>
      </c>
      <c r="H103" s="33">
        <v>46073</v>
      </c>
      <c r="I103" s="33">
        <v>46088</v>
      </c>
      <c r="J103" s="32" t="s">
        <v>11</v>
      </c>
      <c r="K103" s="34">
        <v>775264.47</v>
      </c>
      <c r="L103" s="34">
        <v>760063.21</v>
      </c>
      <c r="M103" s="34">
        <v>15201.26</v>
      </c>
      <c r="N103" s="34">
        <v>0</v>
      </c>
      <c r="O103" s="34">
        <v>0</v>
      </c>
      <c r="P103" s="34">
        <v>775264.47</v>
      </c>
      <c r="Q103" s="34">
        <v>0</v>
      </c>
      <c r="R103" s="34">
        <v>775264.47</v>
      </c>
      <c r="S103" s="34">
        <v>15209.554816154699</v>
      </c>
      <c r="T103" s="34">
        <v>775264.47</v>
      </c>
      <c r="U103" s="35">
        <v>0</v>
      </c>
      <c r="V103" s="35">
        <v>0</v>
      </c>
      <c r="W103" s="35">
        <v>0</v>
      </c>
      <c r="X103" s="35">
        <v>0</v>
      </c>
      <c r="Y103" s="35">
        <v>0</v>
      </c>
      <c r="Z103" s="35">
        <v>0</v>
      </c>
      <c r="AA103" s="35">
        <v>0</v>
      </c>
      <c r="AB103" s="35">
        <v>0</v>
      </c>
      <c r="AC103" s="35">
        <v>775264.47</v>
      </c>
      <c r="AD103" s="35">
        <v>0</v>
      </c>
      <c r="AE103" s="35">
        <v>0</v>
      </c>
      <c r="AF103" s="35">
        <v>0</v>
      </c>
      <c r="AG103" s="35">
        <v>0</v>
      </c>
      <c r="AH103" s="35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15209.554816154699</v>
      </c>
      <c r="AR103" s="36">
        <v>0</v>
      </c>
      <c r="AS103" s="36">
        <v>0</v>
      </c>
      <c r="AT103" s="36">
        <v>0</v>
      </c>
      <c r="AU103" s="36">
        <v>0</v>
      </c>
      <c r="AV103" s="36">
        <v>0</v>
      </c>
      <c r="AW103" s="37">
        <v>0</v>
      </c>
      <c r="AX103" s="37">
        <v>0</v>
      </c>
      <c r="AY103" s="37">
        <v>0</v>
      </c>
      <c r="AZ103" s="37">
        <v>0</v>
      </c>
      <c r="BA103" s="37">
        <v>0</v>
      </c>
      <c r="BB103" s="37">
        <v>0</v>
      </c>
      <c r="BC103" s="37">
        <v>0</v>
      </c>
      <c r="BD103" s="37">
        <v>0</v>
      </c>
      <c r="BE103" s="37">
        <v>775264.47</v>
      </c>
      <c r="BF103" s="37">
        <v>0</v>
      </c>
      <c r="BG103" s="37">
        <v>0</v>
      </c>
      <c r="BH103" s="37">
        <v>0</v>
      </c>
      <c r="BI103" s="37">
        <v>0</v>
      </c>
      <c r="BJ103" s="37">
        <v>0</v>
      </c>
      <c r="BK103" s="32" t="s">
        <v>12</v>
      </c>
      <c r="BL103" s="32" t="s">
        <v>13</v>
      </c>
      <c r="BM103" s="33">
        <v>46073.519780092596</v>
      </c>
      <c r="BN103" s="32" t="s">
        <v>66</v>
      </c>
      <c r="BO103" s="32" t="s">
        <v>26</v>
      </c>
      <c r="BP103" s="38">
        <v>17</v>
      </c>
      <c r="BQ103" s="42"/>
      <c r="BR103" s="39">
        <v>17</v>
      </c>
      <c r="BS103" s="22" t="s">
        <v>220</v>
      </c>
      <c r="BT103" s="4" t="str">
        <f t="shared" si="5"/>
        <v>120</v>
      </c>
      <c r="BU103" s="4" t="str">
        <f t="shared" si="5"/>
        <v>17</v>
      </c>
      <c r="BV103" s="4">
        <f t="shared" si="6"/>
        <v>15</v>
      </c>
      <c r="BW103" s="29">
        <f t="shared" si="7"/>
        <v>13179495.99</v>
      </c>
      <c r="BX103" s="4">
        <v>51.49</v>
      </c>
      <c r="BY103" s="29">
        <f t="shared" si="8"/>
        <v>18592.116397947946</v>
      </c>
    </row>
    <row r="104" spans="1:77" ht="15" hidden="1" customHeight="1" x14ac:dyDescent="0.35">
      <c r="A104" s="32" t="s">
        <v>217</v>
      </c>
      <c r="B104" s="32" t="s">
        <v>605</v>
      </c>
      <c r="C104" s="32" t="s">
        <v>7</v>
      </c>
      <c r="D104" s="32" t="s">
        <v>521</v>
      </c>
      <c r="E104" s="32" t="s">
        <v>145</v>
      </c>
      <c r="F104" s="32" t="s">
        <v>104</v>
      </c>
      <c r="G104" s="33">
        <v>46076</v>
      </c>
      <c r="H104" s="33">
        <v>46076</v>
      </c>
      <c r="I104" s="33">
        <v>46106</v>
      </c>
      <c r="J104" s="32" t="s">
        <v>11</v>
      </c>
      <c r="K104" s="34">
        <v>202772.09</v>
      </c>
      <c r="L104" s="34">
        <v>198796.17</v>
      </c>
      <c r="M104" s="34">
        <v>3975.92</v>
      </c>
      <c r="N104" s="34">
        <v>22013.64</v>
      </c>
      <c r="O104" s="34">
        <v>0</v>
      </c>
      <c r="P104" s="34">
        <v>180758.45</v>
      </c>
      <c r="Q104" s="34">
        <v>180758.45</v>
      </c>
      <c r="R104" s="34">
        <v>180758.45</v>
      </c>
      <c r="S104" s="34">
        <v>3546.21636892267</v>
      </c>
      <c r="T104" s="34">
        <v>180758.45</v>
      </c>
      <c r="U104" s="35">
        <v>180758.45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>
        <v>0</v>
      </c>
      <c r="AC104" s="35">
        <v>0</v>
      </c>
      <c r="AD104" s="35">
        <v>0</v>
      </c>
      <c r="AE104" s="35">
        <v>0</v>
      </c>
      <c r="AF104" s="35">
        <v>0</v>
      </c>
      <c r="AG104" s="35">
        <v>0</v>
      </c>
      <c r="AH104" s="35">
        <v>0</v>
      </c>
      <c r="AI104" s="36">
        <v>3546.21636892267</v>
      </c>
      <c r="AJ104" s="36">
        <v>0</v>
      </c>
      <c r="AK104" s="36">
        <v>0</v>
      </c>
      <c r="AL104" s="36">
        <v>0</v>
      </c>
      <c r="AM104" s="36">
        <v>0</v>
      </c>
      <c r="AN104" s="36">
        <v>0</v>
      </c>
      <c r="AO104" s="36">
        <v>0</v>
      </c>
      <c r="AP104" s="36">
        <v>0</v>
      </c>
      <c r="AQ104" s="36">
        <v>0</v>
      </c>
      <c r="AR104" s="36">
        <v>0</v>
      </c>
      <c r="AS104" s="36">
        <v>0</v>
      </c>
      <c r="AT104" s="36">
        <v>0</v>
      </c>
      <c r="AU104" s="36">
        <v>0</v>
      </c>
      <c r="AV104" s="36">
        <v>0</v>
      </c>
      <c r="AW104" s="37">
        <v>180758.45</v>
      </c>
      <c r="AX104" s="37">
        <v>0</v>
      </c>
      <c r="AY104" s="37"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2" t="s">
        <v>12</v>
      </c>
      <c r="BL104" s="32" t="s">
        <v>13</v>
      </c>
      <c r="BM104" s="33">
        <v>46074.903113425928</v>
      </c>
      <c r="BN104" s="32" t="s">
        <v>28</v>
      </c>
      <c r="BO104" s="32" t="s">
        <v>29</v>
      </c>
      <c r="BP104" s="38">
        <v>-1</v>
      </c>
      <c r="BQ104" s="42"/>
      <c r="BR104" s="39">
        <v>-1</v>
      </c>
      <c r="BS104" s="22" t="s">
        <v>221</v>
      </c>
      <c r="BT104" s="4" t="str">
        <f t="shared" si="5"/>
        <v>120</v>
      </c>
      <c r="BU104" s="4" t="str">
        <f t="shared" si="5"/>
        <v>-1</v>
      </c>
      <c r="BV104" s="4">
        <f t="shared" si="6"/>
        <v>30</v>
      </c>
      <c r="BW104" s="29">
        <f t="shared" si="7"/>
        <v>-180758.45</v>
      </c>
      <c r="BX104" s="4">
        <v>51.49</v>
      </c>
      <c r="BY104" s="29">
        <f t="shared" si="8"/>
        <v>-254.99322165753426</v>
      </c>
    </row>
    <row r="105" spans="1:77" ht="15" hidden="1" customHeight="1" x14ac:dyDescent="0.35">
      <c r="A105" s="32" t="s">
        <v>217</v>
      </c>
      <c r="B105" s="32" t="s">
        <v>606</v>
      </c>
      <c r="C105" s="32" t="s">
        <v>7</v>
      </c>
      <c r="D105" s="32" t="s">
        <v>521</v>
      </c>
      <c r="E105" s="32" t="s">
        <v>145</v>
      </c>
      <c r="F105" s="32" t="s">
        <v>104</v>
      </c>
      <c r="G105" s="33">
        <v>46076</v>
      </c>
      <c r="H105" s="33">
        <v>46076</v>
      </c>
      <c r="I105" s="33">
        <v>46106</v>
      </c>
      <c r="J105" s="32" t="s">
        <v>11</v>
      </c>
      <c r="K105" s="34">
        <v>74749.31</v>
      </c>
      <c r="L105" s="34">
        <v>73283.63</v>
      </c>
      <c r="M105" s="34">
        <v>1465.68</v>
      </c>
      <c r="N105" s="34">
        <v>0</v>
      </c>
      <c r="O105" s="34">
        <v>0</v>
      </c>
      <c r="P105" s="34">
        <v>74749.31</v>
      </c>
      <c r="Q105" s="34">
        <v>74749.31</v>
      </c>
      <c r="R105" s="34">
        <v>74749.31</v>
      </c>
      <c r="S105" s="34">
        <v>1466.47211617313</v>
      </c>
      <c r="T105" s="34">
        <v>74749.31</v>
      </c>
      <c r="U105" s="35">
        <v>74749.31</v>
      </c>
      <c r="V105" s="35">
        <v>0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>
        <v>0</v>
      </c>
      <c r="AC105" s="35">
        <v>0</v>
      </c>
      <c r="AD105" s="35">
        <v>0</v>
      </c>
      <c r="AE105" s="35">
        <v>0</v>
      </c>
      <c r="AF105" s="35">
        <v>0</v>
      </c>
      <c r="AG105" s="35">
        <v>0</v>
      </c>
      <c r="AH105" s="35">
        <v>0</v>
      </c>
      <c r="AI105" s="36">
        <v>1466.47211617313</v>
      </c>
      <c r="AJ105" s="36">
        <v>0</v>
      </c>
      <c r="AK105" s="36">
        <v>0</v>
      </c>
      <c r="AL105" s="36">
        <v>0</v>
      </c>
      <c r="AM105" s="36">
        <v>0</v>
      </c>
      <c r="AN105" s="36">
        <v>0</v>
      </c>
      <c r="AO105" s="36">
        <v>0</v>
      </c>
      <c r="AP105" s="36">
        <v>0</v>
      </c>
      <c r="AQ105" s="36">
        <v>0</v>
      </c>
      <c r="AR105" s="36">
        <v>0</v>
      </c>
      <c r="AS105" s="36">
        <v>0</v>
      </c>
      <c r="AT105" s="36">
        <v>0</v>
      </c>
      <c r="AU105" s="36">
        <v>0</v>
      </c>
      <c r="AV105" s="36">
        <v>0</v>
      </c>
      <c r="AW105" s="37">
        <v>74749.31</v>
      </c>
      <c r="AX105" s="37">
        <v>0</v>
      </c>
      <c r="AY105" s="37">
        <v>0</v>
      </c>
      <c r="AZ105" s="37">
        <v>0</v>
      </c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2" t="s">
        <v>12</v>
      </c>
      <c r="BL105" s="32" t="s">
        <v>13</v>
      </c>
      <c r="BM105" s="33">
        <v>46074.903321759259</v>
      </c>
      <c r="BN105" s="32" t="s">
        <v>28</v>
      </c>
      <c r="BO105" s="32" t="s">
        <v>29</v>
      </c>
      <c r="BP105" s="38">
        <v>-1</v>
      </c>
      <c r="BQ105" s="42"/>
      <c r="BR105" s="39">
        <v>-1</v>
      </c>
      <c r="BS105" s="22" t="s">
        <v>221</v>
      </c>
      <c r="BT105" s="4" t="str">
        <f t="shared" si="5"/>
        <v>120</v>
      </c>
      <c r="BU105" s="4" t="str">
        <f t="shared" si="5"/>
        <v>-1</v>
      </c>
      <c r="BV105" s="4">
        <f t="shared" si="6"/>
        <v>30</v>
      </c>
      <c r="BW105" s="29">
        <f t="shared" si="7"/>
        <v>-74749.31</v>
      </c>
      <c r="BX105" s="4">
        <v>51.49</v>
      </c>
      <c r="BY105" s="29">
        <f t="shared" si="8"/>
        <v>-105.44772525753426</v>
      </c>
    </row>
    <row r="106" spans="1:77" ht="15" hidden="1" customHeight="1" x14ac:dyDescent="0.35">
      <c r="A106" s="32" t="s">
        <v>217</v>
      </c>
      <c r="B106" s="32" t="s">
        <v>804</v>
      </c>
      <c r="C106" s="32" t="s">
        <v>7</v>
      </c>
      <c r="D106" s="32" t="s">
        <v>805</v>
      </c>
      <c r="E106" s="32" t="s">
        <v>423</v>
      </c>
      <c r="F106" s="32" t="s">
        <v>104</v>
      </c>
      <c r="G106" s="33">
        <v>46076</v>
      </c>
      <c r="H106" s="33">
        <v>46076</v>
      </c>
      <c r="I106" s="33">
        <v>46091</v>
      </c>
      <c r="J106" s="32" t="s">
        <v>11</v>
      </c>
      <c r="K106" s="34">
        <v>155031.74</v>
      </c>
      <c r="L106" s="34">
        <v>151991.9</v>
      </c>
      <c r="M106" s="34">
        <v>3039.84</v>
      </c>
      <c r="N106" s="34">
        <v>155031.44</v>
      </c>
      <c r="O106" s="34">
        <v>0</v>
      </c>
      <c r="P106" s="34">
        <v>0.3</v>
      </c>
      <c r="Q106" s="34">
        <v>0</v>
      </c>
      <c r="R106" s="34">
        <v>0.3</v>
      </c>
      <c r="S106" s="34">
        <v>5.8855611490184799E-3</v>
      </c>
      <c r="T106" s="34">
        <v>0.3</v>
      </c>
      <c r="U106" s="35">
        <v>0</v>
      </c>
      <c r="V106" s="35">
        <v>0</v>
      </c>
      <c r="W106" s="35">
        <v>0</v>
      </c>
      <c r="X106" s="35">
        <v>0</v>
      </c>
      <c r="Y106" s="35">
        <v>0</v>
      </c>
      <c r="Z106" s="35">
        <v>0</v>
      </c>
      <c r="AA106" s="35">
        <v>0</v>
      </c>
      <c r="AB106" s="35">
        <v>0.3</v>
      </c>
      <c r="AC106" s="35">
        <v>0</v>
      </c>
      <c r="AD106" s="35">
        <v>0</v>
      </c>
      <c r="AE106" s="35">
        <v>0</v>
      </c>
      <c r="AF106" s="35">
        <v>0</v>
      </c>
      <c r="AG106" s="35">
        <v>0</v>
      </c>
      <c r="AH106" s="35">
        <v>0</v>
      </c>
      <c r="AI106" s="36">
        <v>0</v>
      </c>
      <c r="AJ106" s="36">
        <v>0</v>
      </c>
      <c r="AK106" s="36">
        <v>0</v>
      </c>
      <c r="AL106" s="36">
        <v>0</v>
      </c>
      <c r="AM106" s="36">
        <v>0</v>
      </c>
      <c r="AN106" s="36">
        <v>0</v>
      </c>
      <c r="AO106" s="36">
        <v>0</v>
      </c>
      <c r="AP106" s="36">
        <v>5.8855611490184799E-3</v>
      </c>
      <c r="AQ106" s="36">
        <v>0</v>
      </c>
      <c r="AR106" s="36">
        <v>0</v>
      </c>
      <c r="AS106" s="36">
        <v>0</v>
      </c>
      <c r="AT106" s="36">
        <v>0</v>
      </c>
      <c r="AU106" s="36">
        <v>0</v>
      </c>
      <c r="AV106" s="36">
        <v>0</v>
      </c>
      <c r="AW106" s="37">
        <v>0</v>
      </c>
      <c r="AX106" s="37">
        <v>0</v>
      </c>
      <c r="AY106" s="37"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0.3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2" t="s">
        <v>12</v>
      </c>
      <c r="BL106" s="32" t="s">
        <v>13</v>
      </c>
      <c r="BM106" s="33">
        <v>46074.903958333336</v>
      </c>
      <c r="BN106" s="32" t="s">
        <v>28</v>
      </c>
      <c r="BO106" s="32" t="s">
        <v>29</v>
      </c>
      <c r="BP106" s="38">
        <v>14</v>
      </c>
      <c r="BQ106" s="42"/>
      <c r="BR106" s="39">
        <v>14</v>
      </c>
      <c r="BS106" s="22" t="s">
        <v>220</v>
      </c>
      <c r="BT106" s="4" t="str">
        <f t="shared" si="5"/>
        <v>120</v>
      </c>
      <c r="BU106" s="4" t="str">
        <f t="shared" si="5"/>
        <v>14</v>
      </c>
      <c r="BV106" s="4">
        <f t="shared" si="6"/>
        <v>15</v>
      </c>
      <c r="BW106" s="29">
        <f t="shared" si="7"/>
        <v>4.2</v>
      </c>
      <c r="BX106" s="4">
        <v>51.49</v>
      </c>
      <c r="BY106" s="29">
        <f t="shared" si="8"/>
        <v>5.9248767123287671E-3</v>
      </c>
    </row>
    <row r="107" spans="1:77" ht="15" hidden="1" customHeight="1" x14ac:dyDescent="0.35">
      <c r="A107" s="32" t="s">
        <v>217</v>
      </c>
      <c r="B107" s="32" t="s">
        <v>607</v>
      </c>
      <c r="C107" s="32" t="s">
        <v>30</v>
      </c>
      <c r="D107" s="32" t="s">
        <v>71</v>
      </c>
      <c r="E107" s="32" t="s">
        <v>226</v>
      </c>
      <c r="F107" s="32" t="s">
        <v>72</v>
      </c>
      <c r="G107" s="33">
        <v>46076</v>
      </c>
      <c r="H107" s="33">
        <v>46076</v>
      </c>
      <c r="I107" s="33">
        <v>46106</v>
      </c>
      <c r="J107" s="32" t="s">
        <v>11</v>
      </c>
      <c r="K107" s="34">
        <v>297924.46000000002</v>
      </c>
      <c r="L107" s="34">
        <v>292082.8</v>
      </c>
      <c r="M107" s="34">
        <v>5841.66</v>
      </c>
      <c r="N107" s="34">
        <v>0.01</v>
      </c>
      <c r="O107" s="34">
        <v>0</v>
      </c>
      <c r="P107" s="34">
        <v>297924.45</v>
      </c>
      <c r="Q107" s="34">
        <v>297924.45</v>
      </c>
      <c r="R107" s="34">
        <v>297924.45</v>
      </c>
      <c r="S107" s="34">
        <v>5844.8418942090002</v>
      </c>
      <c r="T107" s="34">
        <v>297924.45</v>
      </c>
      <c r="U107" s="35">
        <v>297924.45</v>
      </c>
      <c r="V107" s="35">
        <v>0</v>
      </c>
      <c r="W107" s="35">
        <v>0</v>
      </c>
      <c r="X107" s="35">
        <v>0</v>
      </c>
      <c r="Y107" s="35">
        <v>0</v>
      </c>
      <c r="Z107" s="35">
        <v>0</v>
      </c>
      <c r="AA107" s="35">
        <v>0</v>
      </c>
      <c r="AB107" s="35">
        <v>0</v>
      </c>
      <c r="AC107" s="35">
        <v>0</v>
      </c>
      <c r="AD107" s="35">
        <v>0</v>
      </c>
      <c r="AE107" s="35">
        <v>0</v>
      </c>
      <c r="AF107" s="35">
        <v>0</v>
      </c>
      <c r="AG107" s="35">
        <v>0</v>
      </c>
      <c r="AH107" s="35">
        <v>0</v>
      </c>
      <c r="AI107" s="36">
        <v>5844.8418942090002</v>
      </c>
      <c r="AJ107" s="36">
        <v>0</v>
      </c>
      <c r="AK107" s="36">
        <v>0</v>
      </c>
      <c r="AL107" s="36">
        <v>0</v>
      </c>
      <c r="AM107" s="36">
        <v>0</v>
      </c>
      <c r="AN107" s="36">
        <v>0</v>
      </c>
      <c r="AO107" s="36">
        <v>0</v>
      </c>
      <c r="AP107" s="36">
        <v>0</v>
      </c>
      <c r="AQ107" s="36">
        <v>0</v>
      </c>
      <c r="AR107" s="36">
        <v>0</v>
      </c>
      <c r="AS107" s="36">
        <v>0</v>
      </c>
      <c r="AT107" s="36">
        <v>0</v>
      </c>
      <c r="AU107" s="36">
        <v>0</v>
      </c>
      <c r="AV107" s="36">
        <v>0</v>
      </c>
      <c r="AW107" s="37">
        <v>297924.45</v>
      </c>
      <c r="AX107" s="37">
        <v>0</v>
      </c>
      <c r="AY107" s="37">
        <v>0</v>
      </c>
      <c r="AZ107" s="37">
        <v>0</v>
      </c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2" t="s">
        <v>12</v>
      </c>
      <c r="BL107" s="32" t="s">
        <v>13</v>
      </c>
      <c r="BM107" s="33">
        <v>46074.908391203702</v>
      </c>
      <c r="BN107" s="32" t="s">
        <v>28</v>
      </c>
      <c r="BO107" s="32" t="s">
        <v>29</v>
      </c>
      <c r="BP107" s="38">
        <v>-1</v>
      </c>
      <c r="BQ107" s="42"/>
      <c r="BR107" s="39">
        <v>-1</v>
      </c>
      <c r="BS107" s="22" t="s">
        <v>221</v>
      </c>
      <c r="BT107" s="4" t="str">
        <f t="shared" si="5"/>
        <v>120</v>
      </c>
      <c r="BU107" s="4" t="str">
        <f t="shared" si="5"/>
        <v>-1</v>
      </c>
      <c r="BV107" s="4">
        <f t="shared" si="6"/>
        <v>30</v>
      </c>
      <c r="BW107" s="29">
        <f t="shared" si="7"/>
        <v>-297924.45</v>
      </c>
      <c r="BX107" s="4">
        <v>51.49</v>
      </c>
      <c r="BY107" s="29">
        <f t="shared" si="8"/>
        <v>-420.27753234246575</v>
      </c>
    </row>
    <row r="108" spans="1:77" ht="15" hidden="1" customHeight="1" x14ac:dyDescent="0.35">
      <c r="A108" s="32" t="s">
        <v>217</v>
      </c>
      <c r="B108" s="32" t="s">
        <v>608</v>
      </c>
      <c r="C108" s="32" t="s">
        <v>30</v>
      </c>
      <c r="D108" s="32" t="s">
        <v>71</v>
      </c>
      <c r="E108" s="32" t="s">
        <v>226</v>
      </c>
      <c r="F108" s="32" t="s">
        <v>72</v>
      </c>
      <c r="G108" s="33">
        <v>46076</v>
      </c>
      <c r="H108" s="33">
        <v>46076</v>
      </c>
      <c r="I108" s="33">
        <v>46106</v>
      </c>
      <c r="J108" s="32" t="s">
        <v>11</v>
      </c>
      <c r="K108" s="34">
        <v>296203.92</v>
      </c>
      <c r="L108" s="34">
        <v>290396</v>
      </c>
      <c r="M108" s="34">
        <v>5807.92</v>
      </c>
      <c r="N108" s="34">
        <v>0</v>
      </c>
      <c r="O108" s="34">
        <v>0</v>
      </c>
      <c r="P108" s="34">
        <v>296203.92</v>
      </c>
      <c r="Q108" s="34">
        <v>296203.92</v>
      </c>
      <c r="R108" s="34">
        <v>296203.92</v>
      </c>
      <c r="S108" s="34">
        <v>5811.0876124632596</v>
      </c>
      <c r="T108" s="34">
        <v>296203.92</v>
      </c>
      <c r="U108" s="35">
        <v>296203.92</v>
      </c>
      <c r="V108" s="35">
        <v>0</v>
      </c>
      <c r="W108" s="35">
        <v>0</v>
      </c>
      <c r="X108" s="35">
        <v>0</v>
      </c>
      <c r="Y108" s="35">
        <v>0</v>
      </c>
      <c r="Z108" s="35">
        <v>0</v>
      </c>
      <c r="AA108" s="35">
        <v>0</v>
      </c>
      <c r="AB108" s="35">
        <v>0</v>
      </c>
      <c r="AC108" s="35">
        <v>0</v>
      </c>
      <c r="AD108" s="35">
        <v>0</v>
      </c>
      <c r="AE108" s="35">
        <v>0</v>
      </c>
      <c r="AF108" s="35">
        <v>0</v>
      </c>
      <c r="AG108" s="35">
        <v>0</v>
      </c>
      <c r="AH108" s="35">
        <v>0</v>
      </c>
      <c r="AI108" s="36">
        <v>5811.0876124632596</v>
      </c>
      <c r="AJ108" s="36">
        <v>0</v>
      </c>
      <c r="AK108" s="36">
        <v>0</v>
      </c>
      <c r="AL108" s="36">
        <v>0</v>
      </c>
      <c r="AM108" s="36">
        <v>0</v>
      </c>
      <c r="AN108" s="36">
        <v>0</v>
      </c>
      <c r="AO108" s="36">
        <v>0</v>
      </c>
      <c r="AP108" s="36">
        <v>0</v>
      </c>
      <c r="AQ108" s="36">
        <v>0</v>
      </c>
      <c r="AR108" s="36">
        <v>0</v>
      </c>
      <c r="AS108" s="36">
        <v>0</v>
      </c>
      <c r="AT108" s="36">
        <v>0</v>
      </c>
      <c r="AU108" s="36">
        <v>0</v>
      </c>
      <c r="AV108" s="36">
        <v>0</v>
      </c>
      <c r="AW108" s="37">
        <v>296203.92</v>
      </c>
      <c r="AX108" s="37">
        <v>0</v>
      </c>
      <c r="AY108" s="37"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2" t="s">
        <v>12</v>
      </c>
      <c r="BL108" s="32" t="s">
        <v>13</v>
      </c>
      <c r="BM108" s="33">
        <v>46074.908599537041</v>
      </c>
      <c r="BN108" s="32" t="s">
        <v>28</v>
      </c>
      <c r="BO108" s="32" t="s">
        <v>29</v>
      </c>
      <c r="BP108" s="38">
        <v>-1</v>
      </c>
      <c r="BQ108" s="42"/>
      <c r="BR108" s="39">
        <v>-1</v>
      </c>
      <c r="BS108" s="22" t="s">
        <v>221</v>
      </c>
      <c r="BT108" s="4" t="str">
        <f t="shared" si="5"/>
        <v>120</v>
      </c>
      <c r="BU108" s="4" t="str">
        <f t="shared" si="5"/>
        <v>-1</v>
      </c>
      <c r="BV108" s="4">
        <f t="shared" si="6"/>
        <v>30</v>
      </c>
      <c r="BW108" s="29">
        <f t="shared" si="7"/>
        <v>-296203.92</v>
      </c>
      <c r="BX108" s="4">
        <v>51.49</v>
      </c>
      <c r="BY108" s="29">
        <f t="shared" si="8"/>
        <v>-417.8504065972603</v>
      </c>
    </row>
    <row r="109" spans="1:77" ht="15" hidden="1" customHeight="1" x14ac:dyDescent="0.35">
      <c r="A109" s="32" t="s">
        <v>217</v>
      </c>
      <c r="B109" s="32" t="s">
        <v>609</v>
      </c>
      <c r="C109" s="32" t="s">
        <v>30</v>
      </c>
      <c r="D109" s="32" t="s">
        <v>71</v>
      </c>
      <c r="E109" s="32" t="s">
        <v>226</v>
      </c>
      <c r="F109" s="32" t="s">
        <v>72</v>
      </c>
      <c r="G109" s="33">
        <v>46076</v>
      </c>
      <c r="H109" s="33">
        <v>46076</v>
      </c>
      <c r="I109" s="33">
        <v>46106</v>
      </c>
      <c r="J109" s="32" t="s">
        <v>11</v>
      </c>
      <c r="K109" s="34">
        <v>296203.92</v>
      </c>
      <c r="L109" s="34">
        <v>290396</v>
      </c>
      <c r="M109" s="34">
        <v>5807.92</v>
      </c>
      <c r="N109" s="34">
        <v>0</v>
      </c>
      <c r="O109" s="34">
        <v>0</v>
      </c>
      <c r="P109" s="34">
        <v>296203.92</v>
      </c>
      <c r="Q109" s="34">
        <v>296203.92</v>
      </c>
      <c r="R109" s="34">
        <v>296203.92</v>
      </c>
      <c r="S109" s="34">
        <v>5811.0876124632596</v>
      </c>
      <c r="T109" s="34">
        <v>296203.92</v>
      </c>
      <c r="U109" s="35">
        <v>296203.92</v>
      </c>
      <c r="V109" s="35">
        <v>0</v>
      </c>
      <c r="W109" s="35">
        <v>0</v>
      </c>
      <c r="X109" s="35">
        <v>0</v>
      </c>
      <c r="Y109" s="35">
        <v>0</v>
      </c>
      <c r="Z109" s="35">
        <v>0</v>
      </c>
      <c r="AA109" s="35">
        <v>0</v>
      </c>
      <c r="AB109" s="35">
        <v>0</v>
      </c>
      <c r="AC109" s="35">
        <v>0</v>
      </c>
      <c r="AD109" s="35">
        <v>0</v>
      </c>
      <c r="AE109" s="35">
        <v>0</v>
      </c>
      <c r="AF109" s="35">
        <v>0</v>
      </c>
      <c r="AG109" s="35">
        <v>0</v>
      </c>
      <c r="AH109" s="35">
        <v>0</v>
      </c>
      <c r="AI109" s="36">
        <v>5811.0876124632596</v>
      </c>
      <c r="AJ109" s="36">
        <v>0</v>
      </c>
      <c r="AK109" s="36">
        <v>0</v>
      </c>
      <c r="AL109" s="36">
        <v>0</v>
      </c>
      <c r="AM109" s="36">
        <v>0</v>
      </c>
      <c r="AN109" s="36">
        <v>0</v>
      </c>
      <c r="AO109" s="36">
        <v>0</v>
      </c>
      <c r="AP109" s="36">
        <v>0</v>
      </c>
      <c r="AQ109" s="36">
        <v>0</v>
      </c>
      <c r="AR109" s="36">
        <v>0</v>
      </c>
      <c r="AS109" s="36">
        <v>0</v>
      </c>
      <c r="AT109" s="36">
        <v>0</v>
      </c>
      <c r="AU109" s="36">
        <v>0</v>
      </c>
      <c r="AV109" s="36">
        <v>0</v>
      </c>
      <c r="AW109" s="37">
        <v>296203.92</v>
      </c>
      <c r="AX109" s="37">
        <v>0</v>
      </c>
      <c r="AY109" s="37">
        <v>0</v>
      </c>
      <c r="AZ109" s="37">
        <v>0</v>
      </c>
      <c r="BA109" s="37">
        <v>0</v>
      </c>
      <c r="BB109" s="37">
        <v>0</v>
      </c>
      <c r="BC109" s="37">
        <v>0</v>
      </c>
      <c r="BD109" s="37">
        <v>0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>
        <v>0</v>
      </c>
      <c r="BK109" s="32" t="s">
        <v>12</v>
      </c>
      <c r="BL109" s="32" t="s">
        <v>13</v>
      </c>
      <c r="BM109" s="33">
        <v>46074.908807870372</v>
      </c>
      <c r="BN109" s="32" t="s">
        <v>28</v>
      </c>
      <c r="BO109" s="32" t="s">
        <v>29</v>
      </c>
      <c r="BP109" s="38">
        <v>-1</v>
      </c>
      <c r="BQ109" s="42"/>
      <c r="BR109" s="39">
        <v>-1</v>
      </c>
      <c r="BS109" s="22" t="s">
        <v>221</v>
      </c>
      <c r="BT109" s="4" t="str">
        <f t="shared" si="5"/>
        <v>120</v>
      </c>
      <c r="BU109" s="4" t="str">
        <f t="shared" si="5"/>
        <v>-1</v>
      </c>
      <c r="BV109" s="4">
        <f t="shared" si="6"/>
        <v>30</v>
      </c>
      <c r="BW109" s="29">
        <f t="shared" si="7"/>
        <v>-296203.92</v>
      </c>
      <c r="BX109" s="4">
        <v>51.49</v>
      </c>
      <c r="BY109" s="29">
        <f t="shared" si="8"/>
        <v>-417.8504065972603</v>
      </c>
    </row>
    <row r="110" spans="1:77" ht="15" hidden="1" customHeight="1" x14ac:dyDescent="0.35">
      <c r="A110" s="32" t="s">
        <v>217</v>
      </c>
      <c r="B110" s="32" t="s">
        <v>610</v>
      </c>
      <c r="C110" s="32" t="s">
        <v>30</v>
      </c>
      <c r="D110" s="32" t="s">
        <v>75</v>
      </c>
      <c r="E110" s="32" t="s">
        <v>76</v>
      </c>
      <c r="F110" s="32" t="s">
        <v>530</v>
      </c>
      <c r="G110" s="33">
        <v>46076</v>
      </c>
      <c r="H110" s="33">
        <v>46076</v>
      </c>
      <c r="I110" s="33">
        <v>46091</v>
      </c>
      <c r="J110" s="32" t="s">
        <v>11</v>
      </c>
      <c r="K110" s="34">
        <v>668550.64</v>
      </c>
      <c r="L110" s="34">
        <v>655441.81000000006</v>
      </c>
      <c r="M110" s="34">
        <v>13108.83</v>
      </c>
      <c r="N110" s="34">
        <v>0</v>
      </c>
      <c r="O110" s="34">
        <v>0</v>
      </c>
      <c r="P110" s="34">
        <v>668550.64</v>
      </c>
      <c r="Q110" s="34">
        <v>0</v>
      </c>
      <c r="R110" s="34">
        <v>668550.64</v>
      </c>
      <c r="S110" s="34">
        <v>13115.9855764515</v>
      </c>
      <c r="T110" s="34">
        <v>668550.64</v>
      </c>
      <c r="U110" s="35">
        <v>0</v>
      </c>
      <c r="V110" s="35">
        <v>0</v>
      </c>
      <c r="W110" s="35">
        <v>0</v>
      </c>
      <c r="X110" s="35">
        <v>0</v>
      </c>
      <c r="Y110" s="35">
        <v>0</v>
      </c>
      <c r="Z110" s="35">
        <v>0</v>
      </c>
      <c r="AA110" s="35">
        <v>0</v>
      </c>
      <c r="AB110" s="35">
        <v>668550.64</v>
      </c>
      <c r="AC110" s="35">
        <v>0</v>
      </c>
      <c r="AD110" s="35">
        <v>0</v>
      </c>
      <c r="AE110" s="35">
        <v>0</v>
      </c>
      <c r="AF110" s="35">
        <v>0</v>
      </c>
      <c r="AG110" s="35">
        <v>0</v>
      </c>
      <c r="AH110" s="35">
        <v>0</v>
      </c>
      <c r="AI110" s="36">
        <v>0</v>
      </c>
      <c r="AJ110" s="36">
        <v>0</v>
      </c>
      <c r="AK110" s="36">
        <v>0</v>
      </c>
      <c r="AL110" s="36">
        <v>0</v>
      </c>
      <c r="AM110" s="36">
        <v>0</v>
      </c>
      <c r="AN110" s="36">
        <v>0</v>
      </c>
      <c r="AO110" s="36">
        <v>0</v>
      </c>
      <c r="AP110" s="36">
        <v>13115.9855764515</v>
      </c>
      <c r="AQ110" s="36">
        <v>0</v>
      </c>
      <c r="AR110" s="36">
        <v>0</v>
      </c>
      <c r="AS110" s="36">
        <v>0</v>
      </c>
      <c r="AT110" s="36">
        <v>0</v>
      </c>
      <c r="AU110" s="36">
        <v>0</v>
      </c>
      <c r="AV110" s="36">
        <v>0</v>
      </c>
      <c r="AW110" s="37">
        <v>0</v>
      </c>
      <c r="AX110" s="37">
        <v>0</v>
      </c>
      <c r="AY110" s="37"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668550.64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2" t="s">
        <v>12</v>
      </c>
      <c r="BL110" s="32" t="s">
        <v>13</v>
      </c>
      <c r="BM110" s="33">
        <v>46074.913449074076</v>
      </c>
      <c r="BN110" s="32" t="s">
        <v>28</v>
      </c>
      <c r="BO110" s="32" t="s">
        <v>29</v>
      </c>
      <c r="BP110" s="38">
        <v>14</v>
      </c>
      <c r="BQ110" s="42"/>
      <c r="BR110" s="39">
        <v>14</v>
      </c>
      <c r="BS110" s="22" t="s">
        <v>220</v>
      </c>
      <c r="BT110" s="4" t="str">
        <f t="shared" si="5"/>
        <v>120</v>
      </c>
      <c r="BU110" s="4" t="str">
        <f t="shared" si="5"/>
        <v>14</v>
      </c>
      <c r="BV110" s="4">
        <f t="shared" si="6"/>
        <v>15</v>
      </c>
      <c r="BW110" s="29">
        <f t="shared" si="7"/>
        <v>9359708.9600000009</v>
      </c>
      <c r="BX110" s="4">
        <v>51.49</v>
      </c>
      <c r="BY110" s="29">
        <f t="shared" si="8"/>
        <v>13203.600393161647</v>
      </c>
    </row>
    <row r="111" spans="1:77" ht="15" hidden="1" customHeight="1" x14ac:dyDescent="0.35">
      <c r="A111" s="32" t="s">
        <v>217</v>
      </c>
      <c r="B111" s="32" t="s">
        <v>611</v>
      </c>
      <c r="C111" s="32" t="s">
        <v>30</v>
      </c>
      <c r="D111" s="32" t="s">
        <v>393</v>
      </c>
      <c r="E111" s="32" t="s">
        <v>115</v>
      </c>
      <c r="F111" s="32" t="s">
        <v>46</v>
      </c>
      <c r="G111" s="33">
        <v>46076</v>
      </c>
      <c r="H111" s="33">
        <v>46076</v>
      </c>
      <c r="I111" s="33">
        <v>46106</v>
      </c>
      <c r="J111" s="32" t="s">
        <v>11</v>
      </c>
      <c r="K111" s="34">
        <v>370769.83</v>
      </c>
      <c r="L111" s="34">
        <v>363499.83</v>
      </c>
      <c r="M111" s="34">
        <v>7270</v>
      </c>
      <c r="N111" s="34">
        <v>0.02</v>
      </c>
      <c r="O111" s="34">
        <v>0</v>
      </c>
      <c r="P111" s="34">
        <v>370769.81</v>
      </c>
      <c r="Q111" s="34">
        <v>370769.81</v>
      </c>
      <c r="R111" s="34">
        <v>370769.81</v>
      </c>
      <c r="S111" s="34">
        <v>7273.96129654988</v>
      </c>
      <c r="T111" s="34">
        <v>370769.81</v>
      </c>
      <c r="U111" s="35">
        <v>370769.81</v>
      </c>
      <c r="V111" s="35">
        <v>0</v>
      </c>
      <c r="W111" s="35">
        <v>0</v>
      </c>
      <c r="X111" s="35">
        <v>0</v>
      </c>
      <c r="Y111" s="35">
        <v>0</v>
      </c>
      <c r="Z111" s="35">
        <v>0</v>
      </c>
      <c r="AA111" s="35">
        <v>0</v>
      </c>
      <c r="AB111" s="35">
        <v>0</v>
      </c>
      <c r="AC111" s="35">
        <v>0</v>
      </c>
      <c r="AD111" s="35">
        <v>0</v>
      </c>
      <c r="AE111" s="35">
        <v>0</v>
      </c>
      <c r="AF111" s="35">
        <v>0</v>
      </c>
      <c r="AG111" s="35">
        <v>0</v>
      </c>
      <c r="AH111" s="35">
        <v>0</v>
      </c>
      <c r="AI111" s="36">
        <v>7273.96129654988</v>
      </c>
      <c r="AJ111" s="36">
        <v>0</v>
      </c>
      <c r="AK111" s="36">
        <v>0</v>
      </c>
      <c r="AL111" s="36">
        <v>0</v>
      </c>
      <c r="AM111" s="36">
        <v>0</v>
      </c>
      <c r="AN111" s="36">
        <v>0</v>
      </c>
      <c r="AO111" s="36">
        <v>0</v>
      </c>
      <c r="AP111" s="36">
        <v>0</v>
      </c>
      <c r="AQ111" s="36">
        <v>0</v>
      </c>
      <c r="AR111" s="36">
        <v>0</v>
      </c>
      <c r="AS111" s="36">
        <v>0</v>
      </c>
      <c r="AT111" s="36">
        <v>0</v>
      </c>
      <c r="AU111" s="36">
        <v>0</v>
      </c>
      <c r="AV111" s="36">
        <v>0</v>
      </c>
      <c r="AW111" s="37">
        <v>370769.81</v>
      </c>
      <c r="AX111" s="37">
        <v>0</v>
      </c>
      <c r="AY111" s="37">
        <v>0</v>
      </c>
      <c r="AZ111" s="37">
        <v>0</v>
      </c>
      <c r="BA111" s="37">
        <v>0</v>
      </c>
      <c r="BB111" s="37">
        <v>0</v>
      </c>
      <c r="BC111" s="37">
        <v>0</v>
      </c>
      <c r="BD111" s="37">
        <v>0</v>
      </c>
      <c r="BE111" s="37">
        <v>0</v>
      </c>
      <c r="BF111" s="37">
        <v>0</v>
      </c>
      <c r="BG111" s="37">
        <v>0</v>
      </c>
      <c r="BH111" s="37">
        <v>0</v>
      </c>
      <c r="BI111" s="37">
        <v>0</v>
      </c>
      <c r="BJ111" s="37">
        <v>0</v>
      </c>
      <c r="BK111" s="32" t="s">
        <v>12</v>
      </c>
      <c r="BL111" s="32" t="s">
        <v>13</v>
      </c>
      <c r="BM111" s="33">
        <v>46074.914085648146</v>
      </c>
      <c r="BN111" s="32" t="s">
        <v>28</v>
      </c>
      <c r="BO111" s="32" t="s">
        <v>29</v>
      </c>
      <c r="BP111" s="38">
        <v>-1</v>
      </c>
      <c r="BQ111" s="42"/>
      <c r="BR111" s="39">
        <v>-1</v>
      </c>
      <c r="BS111" s="22" t="s">
        <v>221</v>
      </c>
      <c r="BT111" s="4" t="str">
        <f t="shared" si="5"/>
        <v>120</v>
      </c>
      <c r="BU111" s="4" t="str">
        <f t="shared" si="5"/>
        <v>-1</v>
      </c>
      <c r="BV111" s="4">
        <f t="shared" si="6"/>
        <v>30</v>
      </c>
      <c r="BW111" s="29">
        <f t="shared" si="7"/>
        <v>-370769.81</v>
      </c>
      <c r="BX111" s="4">
        <v>51.49</v>
      </c>
      <c r="BY111" s="29">
        <f t="shared" si="8"/>
        <v>-523.03938402465747</v>
      </c>
    </row>
    <row r="112" spans="1:77" ht="15" hidden="1" customHeight="1" x14ac:dyDescent="0.35">
      <c r="A112" s="32" t="s">
        <v>217</v>
      </c>
      <c r="B112" s="32" t="s">
        <v>612</v>
      </c>
      <c r="C112" s="32" t="s">
        <v>30</v>
      </c>
      <c r="D112" s="32" t="s">
        <v>393</v>
      </c>
      <c r="E112" s="32" t="s">
        <v>115</v>
      </c>
      <c r="F112" s="32" t="s">
        <v>46</v>
      </c>
      <c r="G112" s="33">
        <v>46076</v>
      </c>
      <c r="H112" s="33">
        <v>46076</v>
      </c>
      <c r="I112" s="33">
        <v>46106</v>
      </c>
      <c r="J112" s="32" t="s">
        <v>11</v>
      </c>
      <c r="K112" s="34">
        <v>216402.39</v>
      </c>
      <c r="L112" s="34">
        <v>212159.21</v>
      </c>
      <c r="M112" s="34">
        <v>4243.18</v>
      </c>
      <c r="N112" s="34">
        <v>0</v>
      </c>
      <c r="O112" s="34">
        <v>0</v>
      </c>
      <c r="P112" s="34">
        <v>216402.39</v>
      </c>
      <c r="Q112" s="34">
        <v>216402.39</v>
      </c>
      <c r="R112" s="34">
        <v>216402.39</v>
      </c>
      <c r="S112" s="34">
        <v>4245.4983304624902</v>
      </c>
      <c r="T112" s="34">
        <v>216402.39</v>
      </c>
      <c r="U112" s="35">
        <v>216402.39</v>
      </c>
      <c r="V112" s="35">
        <v>0</v>
      </c>
      <c r="W112" s="35">
        <v>0</v>
      </c>
      <c r="X112" s="35">
        <v>0</v>
      </c>
      <c r="Y112" s="35">
        <v>0</v>
      </c>
      <c r="Z112" s="35">
        <v>0</v>
      </c>
      <c r="AA112" s="35">
        <v>0</v>
      </c>
      <c r="AB112" s="35">
        <v>0</v>
      </c>
      <c r="AC112" s="35">
        <v>0</v>
      </c>
      <c r="AD112" s="35">
        <v>0</v>
      </c>
      <c r="AE112" s="35">
        <v>0</v>
      </c>
      <c r="AF112" s="35">
        <v>0</v>
      </c>
      <c r="AG112" s="35">
        <v>0</v>
      </c>
      <c r="AH112" s="35">
        <v>0</v>
      </c>
      <c r="AI112" s="36">
        <v>4245.4983304624902</v>
      </c>
      <c r="AJ112" s="36">
        <v>0</v>
      </c>
      <c r="AK112" s="36">
        <v>0</v>
      </c>
      <c r="AL112" s="36">
        <v>0</v>
      </c>
      <c r="AM112" s="36">
        <v>0</v>
      </c>
      <c r="AN112" s="36">
        <v>0</v>
      </c>
      <c r="AO112" s="36">
        <v>0</v>
      </c>
      <c r="AP112" s="36">
        <v>0</v>
      </c>
      <c r="AQ112" s="36">
        <v>0</v>
      </c>
      <c r="AR112" s="36">
        <v>0</v>
      </c>
      <c r="AS112" s="36">
        <v>0</v>
      </c>
      <c r="AT112" s="36">
        <v>0</v>
      </c>
      <c r="AU112" s="36">
        <v>0</v>
      </c>
      <c r="AV112" s="36">
        <v>0</v>
      </c>
      <c r="AW112" s="37">
        <v>216402.39</v>
      </c>
      <c r="AX112" s="37">
        <v>0</v>
      </c>
      <c r="AY112" s="37"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2" t="s">
        <v>12</v>
      </c>
      <c r="BL112" s="32" t="s">
        <v>13</v>
      </c>
      <c r="BM112" s="33">
        <v>46074.914293981485</v>
      </c>
      <c r="BN112" s="32" t="s">
        <v>28</v>
      </c>
      <c r="BO112" s="32" t="s">
        <v>29</v>
      </c>
      <c r="BP112" s="38">
        <v>-1</v>
      </c>
      <c r="BQ112" s="42"/>
      <c r="BR112" s="39">
        <v>-1</v>
      </c>
      <c r="BS112" s="22" t="s">
        <v>221</v>
      </c>
      <c r="BT112" s="4" t="str">
        <f t="shared" si="5"/>
        <v>120</v>
      </c>
      <c r="BU112" s="4" t="str">
        <f t="shared" si="5"/>
        <v>-1</v>
      </c>
      <c r="BV112" s="4">
        <f t="shared" si="6"/>
        <v>30</v>
      </c>
      <c r="BW112" s="29">
        <f t="shared" si="7"/>
        <v>-216402.39</v>
      </c>
      <c r="BX112" s="4">
        <v>51.49</v>
      </c>
      <c r="BY112" s="29">
        <f t="shared" si="8"/>
        <v>-305.27559071506852</v>
      </c>
    </row>
    <row r="113" spans="1:77" ht="15" hidden="1" customHeight="1" x14ac:dyDescent="0.35">
      <c r="A113" s="32" t="s">
        <v>217</v>
      </c>
      <c r="B113" s="32" t="s">
        <v>613</v>
      </c>
      <c r="C113" s="32" t="s">
        <v>30</v>
      </c>
      <c r="D113" s="32" t="s">
        <v>393</v>
      </c>
      <c r="E113" s="32" t="s">
        <v>115</v>
      </c>
      <c r="F113" s="32" t="s">
        <v>46</v>
      </c>
      <c r="G113" s="33">
        <v>46076</v>
      </c>
      <c r="H113" s="33">
        <v>46076</v>
      </c>
      <c r="I113" s="33">
        <v>46106</v>
      </c>
      <c r="J113" s="32" t="s">
        <v>11</v>
      </c>
      <c r="K113" s="34">
        <v>216402.39</v>
      </c>
      <c r="L113" s="34">
        <v>212159.21</v>
      </c>
      <c r="M113" s="34">
        <v>4243.18</v>
      </c>
      <c r="N113" s="34">
        <v>0</v>
      </c>
      <c r="O113" s="34">
        <v>0</v>
      </c>
      <c r="P113" s="34">
        <v>216402.39</v>
      </c>
      <c r="Q113" s="34">
        <v>216402.39</v>
      </c>
      <c r="R113" s="34">
        <v>216402.39</v>
      </c>
      <c r="S113" s="34">
        <v>4245.4983304624902</v>
      </c>
      <c r="T113" s="34">
        <v>216402.39</v>
      </c>
      <c r="U113" s="35">
        <v>216402.39</v>
      </c>
      <c r="V113" s="35">
        <v>0</v>
      </c>
      <c r="W113" s="35">
        <v>0</v>
      </c>
      <c r="X113" s="35">
        <v>0</v>
      </c>
      <c r="Y113" s="35">
        <v>0</v>
      </c>
      <c r="Z113" s="35">
        <v>0</v>
      </c>
      <c r="AA113" s="35">
        <v>0</v>
      </c>
      <c r="AB113" s="35">
        <v>0</v>
      </c>
      <c r="AC113" s="35">
        <v>0</v>
      </c>
      <c r="AD113" s="35">
        <v>0</v>
      </c>
      <c r="AE113" s="35">
        <v>0</v>
      </c>
      <c r="AF113" s="35">
        <v>0</v>
      </c>
      <c r="AG113" s="35">
        <v>0</v>
      </c>
      <c r="AH113" s="35">
        <v>0</v>
      </c>
      <c r="AI113" s="36">
        <v>4245.4983304624902</v>
      </c>
      <c r="AJ113" s="36">
        <v>0</v>
      </c>
      <c r="AK113" s="36">
        <v>0</v>
      </c>
      <c r="AL113" s="36">
        <v>0</v>
      </c>
      <c r="AM113" s="36">
        <v>0</v>
      </c>
      <c r="AN113" s="36">
        <v>0</v>
      </c>
      <c r="AO113" s="36">
        <v>0</v>
      </c>
      <c r="AP113" s="36">
        <v>0</v>
      </c>
      <c r="AQ113" s="36">
        <v>0</v>
      </c>
      <c r="AR113" s="36">
        <v>0</v>
      </c>
      <c r="AS113" s="36">
        <v>0</v>
      </c>
      <c r="AT113" s="36">
        <v>0</v>
      </c>
      <c r="AU113" s="36">
        <v>0</v>
      </c>
      <c r="AV113" s="36">
        <v>0</v>
      </c>
      <c r="AW113" s="37">
        <v>216402.39</v>
      </c>
      <c r="AX113" s="37">
        <v>0</v>
      </c>
      <c r="AY113" s="37">
        <v>0</v>
      </c>
      <c r="AZ113" s="37">
        <v>0</v>
      </c>
      <c r="BA113" s="37">
        <v>0</v>
      </c>
      <c r="BB113" s="37">
        <v>0</v>
      </c>
      <c r="BC113" s="37">
        <v>0</v>
      </c>
      <c r="BD113" s="37">
        <v>0</v>
      </c>
      <c r="BE113" s="37">
        <v>0</v>
      </c>
      <c r="BF113" s="37">
        <v>0</v>
      </c>
      <c r="BG113" s="37">
        <v>0</v>
      </c>
      <c r="BH113" s="37">
        <v>0</v>
      </c>
      <c r="BI113" s="37">
        <v>0</v>
      </c>
      <c r="BJ113" s="37">
        <v>0</v>
      </c>
      <c r="BK113" s="32" t="s">
        <v>12</v>
      </c>
      <c r="BL113" s="32" t="s">
        <v>13</v>
      </c>
      <c r="BM113" s="33">
        <v>46074.914502314816</v>
      </c>
      <c r="BN113" s="32" t="s">
        <v>28</v>
      </c>
      <c r="BO113" s="32" t="s">
        <v>29</v>
      </c>
      <c r="BP113" s="38">
        <v>-1</v>
      </c>
      <c r="BQ113" s="42"/>
      <c r="BR113" s="39">
        <v>-1</v>
      </c>
      <c r="BS113" s="22" t="s">
        <v>221</v>
      </c>
      <c r="BT113" s="4" t="str">
        <f t="shared" si="5"/>
        <v>120</v>
      </c>
      <c r="BU113" s="4" t="str">
        <f t="shared" si="5"/>
        <v>-1</v>
      </c>
      <c r="BV113" s="4">
        <f t="shared" si="6"/>
        <v>30</v>
      </c>
      <c r="BW113" s="29">
        <f t="shared" si="7"/>
        <v>-216402.39</v>
      </c>
      <c r="BX113" s="4">
        <v>51.49</v>
      </c>
      <c r="BY113" s="29">
        <f t="shared" si="8"/>
        <v>-305.27559071506852</v>
      </c>
    </row>
    <row r="114" spans="1:77" ht="15" hidden="1" customHeight="1" x14ac:dyDescent="0.35">
      <c r="A114" s="32" t="s">
        <v>217</v>
      </c>
      <c r="B114" s="32" t="s">
        <v>614</v>
      </c>
      <c r="C114" s="32" t="s">
        <v>30</v>
      </c>
      <c r="D114" s="32" t="s">
        <v>393</v>
      </c>
      <c r="E114" s="32" t="s">
        <v>115</v>
      </c>
      <c r="F114" s="32" t="s">
        <v>46</v>
      </c>
      <c r="G114" s="33">
        <v>46076</v>
      </c>
      <c r="H114" s="33">
        <v>46076</v>
      </c>
      <c r="I114" s="33">
        <v>46106</v>
      </c>
      <c r="J114" s="32" t="s">
        <v>11</v>
      </c>
      <c r="K114" s="34">
        <v>216402.39</v>
      </c>
      <c r="L114" s="34">
        <v>212159.21</v>
      </c>
      <c r="M114" s="34">
        <v>4243.18</v>
      </c>
      <c r="N114" s="34">
        <v>0</v>
      </c>
      <c r="O114" s="34">
        <v>0</v>
      </c>
      <c r="P114" s="34">
        <v>216402.39</v>
      </c>
      <c r="Q114" s="34">
        <v>216402.39</v>
      </c>
      <c r="R114" s="34">
        <v>216402.39</v>
      </c>
      <c r="S114" s="34">
        <v>4245.4983304624902</v>
      </c>
      <c r="T114" s="34">
        <v>216402.39</v>
      </c>
      <c r="U114" s="35">
        <v>216402.39</v>
      </c>
      <c r="V114" s="35">
        <v>0</v>
      </c>
      <c r="W114" s="35">
        <v>0</v>
      </c>
      <c r="X114" s="35">
        <v>0</v>
      </c>
      <c r="Y114" s="35">
        <v>0</v>
      </c>
      <c r="Z114" s="35">
        <v>0</v>
      </c>
      <c r="AA114" s="35">
        <v>0</v>
      </c>
      <c r="AB114" s="35">
        <v>0</v>
      </c>
      <c r="AC114" s="35">
        <v>0</v>
      </c>
      <c r="AD114" s="35">
        <v>0</v>
      </c>
      <c r="AE114" s="35">
        <v>0</v>
      </c>
      <c r="AF114" s="35">
        <v>0</v>
      </c>
      <c r="AG114" s="35">
        <v>0</v>
      </c>
      <c r="AH114" s="35">
        <v>0</v>
      </c>
      <c r="AI114" s="36">
        <v>4245.4983304624902</v>
      </c>
      <c r="AJ114" s="36">
        <v>0</v>
      </c>
      <c r="AK114" s="36">
        <v>0</v>
      </c>
      <c r="AL114" s="36">
        <v>0</v>
      </c>
      <c r="AM114" s="36">
        <v>0</v>
      </c>
      <c r="AN114" s="36">
        <v>0</v>
      </c>
      <c r="AO114" s="36">
        <v>0</v>
      </c>
      <c r="AP114" s="36">
        <v>0</v>
      </c>
      <c r="AQ114" s="36">
        <v>0</v>
      </c>
      <c r="AR114" s="36">
        <v>0</v>
      </c>
      <c r="AS114" s="36">
        <v>0</v>
      </c>
      <c r="AT114" s="36">
        <v>0</v>
      </c>
      <c r="AU114" s="36">
        <v>0</v>
      </c>
      <c r="AV114" s="36">
        <v>0</v>
      </c>
      <c r="AW114" s="37">
        <v>216402.39</v>
      </c>
      <c r="AX114" s="37">
        <v>0</v>
      </c>
      <c r="AY114" s="37"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2" t="s">
        <v>12</v>
      </c>
      <c r="BL114" s="32" t="s">
        <v>13</v>
      </c>
      <c r="BM114" s="33">
        <v>46074.914710648147</v>
      </c>
      <c r="BN114" s="32" t="s">
        <v>28</v>
      </c>
      <c r="BO114" s="32" t="s">
        <v>29</v>
      </c>
      <c r="BP114" s="38">
        <v>-1</v>
      </c>
      <c r="BQ114" s="42"/>
      <c r="BR114" s="39">
        <v>-1</v>
      </c>
      <c r="BS114" s="22" t="s">
        <v>221</v>
      </c>
      <c r="BT114" s="4" t="str">
        <f t="shared" si="5"/>
        <v>120</v>
      </c>
      <c r="BU114" s="4" t="str">
        <f t="shared" si="5"/>
        <v>-1</v>
      </c>
      <c r="BV114" s="4">
        <f t="shared" si="6"/>
        <v>30</v>
      </c>
      <c r="BW114" s="29">
        <f t="shared" si="7"/>
        <v>-216402.39</v>
      </c>
      <c r="BX114" s="4">
        <v>51.49</v>
      </c>
      <c r="BY114" s="29">
        <f t="shared" si="8"/>
        <v>-305.27559071506852</v>
      </c>
    </row>
    <row r="115" spans="1:77" ht="15" hidden="1" customHeight="1" x14ac:dyDescent="0.35">
      <c r="A115" s="32" t="s">
        <v>217</v>
      </c>
      <c r="B115" s="32" t="s">
        <v>615</v>
      </c>
      <c r="C115" s="32" t="s">
        <v>30</v>
      </c>
      <c r="D115" s="32" t="s">
        <v>71</v>
      </c>
      <c r="E115" s="32" t="s">
        <v>226</v>
      </c>
      <c r="F115" s="32" t="s">
        <v>72</v>
      </c>
      <c r="G115" s="33">
        <v>46076</v>
      </c>
      <c r="H115" s="33">
        <v>46076</v>
      </c>
      <c r="I115" s="33">
        <v>46106</v>
      </c>
      <c r="J115" s="32" t="s">
        <v>11</v>
      </c>
      <c r="K115" s="34">
        <v>297924.46000000002</v>
      </c>
      <c r="L115" s="34">
        <v>292082.81</v>
      </c>
      <c r="M115" s="34">
        <v>5841.65</v>
      </c>
      <c r="N115" s="34">
        <v>0</v>
      </c>
      <c r="O115" s="34">
        <v>0</v>
      </c>
      <c r="P115" s="34">
        <v>297924.46000000002</v>
      </c>
      <c r="Q115" s="34">
        <v>297924.46000000002</v>
      </c>
      <c r="R115" s="34">
        <v>297924.46000000002</v>
      </c>
      <c r="S115" s="34">
        <v>5844.8420903943697</v>
      </c>
      <c r="T115" s="34">
        <v>297924.46000000002</v>
      </c>
      <c r="U115" s="35">
        <v>297924.46000000002</v>
      </c>
      <c r="V115" s="35">
        <v>0</v>
      </c>
      <c r="W115" s="35">
        <v>0</v>
      </c>
      <c r="X115" s="35">
        <v>0</v>
      </c>
      <c r="Y115" s="35">
        <v>0</v>
      </c>
      <c r="Z115" s="35">
        <v>0</v>
      </c>
      <c r="AA115" s="35">
        <v>0</v>
      </c>
      <c r="AB115" s="35">
        <v>0</v>
      </c>
      <c r="AC115" s="35">
        <v>0</v>
      </c>
      <c r="AD115" s="35">
        <v>0</v>
      </c>
      <c r="AE115" s="35">
        <v>0</v>
      </c>
      <c r="AF115" s="35">
        <v>0</v>
      </c>
      <c r="AG115" s="35">
        <v>0</v>
      </c>
      <c r="AH115" s="35">
        <v>0</v>
      </c>
      <c r="AI115" s="36">
        <v>5844.8420903943697</v>
      </c>
      <c r="AJ115" s="36">
        <v>0</v>
      </c>
      <c r="AK115" s="36">
        <v>0</v>
      </c>
      <c r="AL115" s="36">
        <v>0</v>
      </c>
      <c r="AM115" s="36">
        <v>0</v>
      </c>
      <c r="AN115" s="36">
        <v>0</v>
      </c>
      <c r="AO115" s="36">
        <v>0</v>
      </c>
      <c r="AP115" s="36">
        <v>0</v>
      </c>
      <c r="AQ115" s="36">
        <v>0</v>
      </c>
      <c r="AR115" s="36">
        <v>0</v>
      </c>
      <c r="AS115" s="36">
        <v>0</v>
      </c>
      <c r="AT115" s="36">
        <v>0</v>
      </c>
      <c r="AU115" s="36">
        <v>0</v>
      </c>
      <c r="AV115" s="36">
        <v>0</v>
      </c>
      <c r="AW115" s="37">
        <v>297924.46000000002</v>
      </c>
      <c r="AX115" s="37">
        <v>0</v>
      </c>
      <c r="AY115" s="37">
        <v>0</v>
      </c>
      <c r="AZ115" s="37">
        <v>0</v>
      </c>
      <c r="BA115" s="37">
        <v>0</v>
      </c>
      <c r="BB115" s="37">
        <v>0</v>
      </c>
      <c r="BC115" s="37">
        <v>0</v>
      </c>
      <c r="BD115" s="37">
        <v>0</v>
      </c>
      <c r="BE115" s="37">
        <v>0</v>
      </c>
      <c r="BF115" s="37">
        <v>0</v>
      </c>
      <c r="BG115" s="37">
        <v>0</v>
      </c>
      <c r="BH115" s="37">
        <v>0</v>
      </c>
      <c r="BI115" s="37">
        <v>0</v>
      </c>
      <c r="BJ115" s="37">
        <v>0</v>
      </c>
      <c r="BK115" s="32" t="s">
        <v>12</v>
      </c>
      <c r="BL115" s="32" t="s">
        <v>13</v>
      </c>
      <c r="BM115" s="33">
        <v>46074.914918981478</v>
      </c>
      <c r="BN115" s="32" t="s">
        <v>28</v>
      </c>
      <c r="BO115" s="32" t="s">
        <v>29</v>
      </c>
      <c r="BP115" s="38">
        <v>-1</v>
      </c>
      <c r="BQ115" s="42"/>
      <c r="BR115" s="39">
        <v>-1</v>
      </c>
      <c r="BS115" s="22" t="s">
        <v>221</v>
      </c>
      <c r="BT115" s="4" t="str">
        <f t="shared" si="5"/>
        <v>120</v>
      </c>
      <c r="BU115" s="4" t="str">
        <f t="shared" si="5"/>
        <v>-1</v>
      </c>
      <c r="BV115" s="4">
        <f t="shared" si="6"/>
        <v>30</v>
      </c>
      <c r="BW115" s="29">
        <f t="shared" si="7"/>
        <v>-297924.46000000002</v>
      </c>
      <c r="BX115" s="4">
        <v>51.49</v>
      </c>
      <c r="BY115" s="29">
        <f t="shared" si="8"/>
        <v>-420.27754644931508</v>
      </c>
    </row>
    <row r="116" spans="1:77" ht="15" hidden="1" customHeight="1" x14ac:dyDescent="0.35">
      <c r="A116" s="32" t="s">
        <v>217</v>
      </c>
      <c r="B116" s="32" t="s">
        <v>616</v>
      </c>
      <c r="C116" s="32" t="s">
        <v>30</v>
      </c>
      <c r="D116" s="32" t="s">
        <v>71</v>
      </c>
      <c r="E116" s="32" t="s">
        <v>226</v>
      </c>
      <c r="F116" s="32" t="s">
        <v>72</v>
      </c>
      <c r="G116" s="33">
        <v>46076</v>
      </c>
      <c r="H116" s="33">
        <v>46076</v>
      </c>
      <c r="I116" s="33">
        <v>46106</v>
      </c>
      <c r="J116" s="32" t="s">
        <v>11</v>
      </c>
      <c r="K116" s="34">
        <v>296203.86</v>
      </c>
      <c r="L116" s="34">
        <v>290395.94</v>
      </c>
      <c r="M116" s="34">
        <v>5807.92</v>
      </c>
      <c r="N116" s="34">
        <v>0</v>
      </c>
      <c r="O116" s="34">
        <v>0</v>
      </c>
      <c r="P116" s="34">
        <v>296203.86</v>
      </c>
      <c r="Q116" s="34">
        <v>296203.86</v>
      </c>
      <c r="R116" s="34">
        <v>296203.86</v>
      </c>
      <c r="S116" s="34">
        <v>5811.0864353510296</v>
      </c>
      <c r="T116" s="34">
        <v>296203.86</v>
      </c>
      <c r="U116" s="35">
        <v>296203.86</v>
      </c>
      <c r="V116" s="35">
        <v>0</v>
      </c>
      <c r="W116" s="35">
        <v>0</v>
      </c>
      <c r="X116" s="35">
        <v>0</v>
      </c>
      <c r="Y116" s="35">
        <v>0</v>
      </c>
      <c r="Z116" s="35">
        <v>0</v>
      </c>
      <c r="AA116" s="35">
        <v>0</v>
      </c>
      <c r="AB116" s="35">
        <v>0</v>
      </c>
      <c r="AC116" s="35">
        <v>0</v>
      </c>
      <c r="AD116" s="35">
        <v>0</v>
      </c>
      <c r="AE116" s="35">
        <v>0</v>
      </c>
      <c r="AF116" s="35">
        <v>0</v>
      </c>
      <c r="AG116" s="35">
        <v>0</v>
      </c>
      <c r="AH116" s="35">
        <v>0</v>
      </c>
      <c r="AI116" s="36">
        <v>5811.0864353510296</v>
      </c>
      <c r="AJ116" s="36">
        <v>0</v>
      </c>
      <c r="AK116" s="36">
        <v>0</v>
      </c>
      <c r="AL116" s="36">
        <v>0</v>
      </c>
      <c r="AM116" s="36">
        <v>0</v>
      </c>
      <c r="AN116" s="36">
        <v>0</v>
      </c>
      <c r="AO116" s="36">
        <v>0</v>
      </c>
      <c r="AP116" s="36">
        <v>0</v>
      </c>
      <c r="AQ116" s="36">
        <v>0</v>
      </c>
      <c r="AR116" s="36">
        <v>0</v>
      </c>
      <c r="AS116" s="36">
        <v>0</v>
      </c>
      <c r="AT116" s="36">
        <v>0</v>
      </c>
      <c r="AU116" s="36">
        <v>0</v>
      </c>
      <c r="AV116" s="36">
        <v>0</v>
      </c>
      <c r="AW116" s="37">
        <v>296203.86</v>
      </c>
      <c r="AX116" s="37">
        <v>0</v>
      </c>
      <c r="AY116" s="37"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2" t="s">
        <v>12</v>
      </c>
      <c r="BL116" s="32" t="s">
        <v>13</v>
      </c>
      <c r="BM116" s="33">
        <v>46074.915138888886</v>
      </c>
      <c r="BN116" s="32" t="s">
        <v>28</v>
      </c>
      <c r="BO116" s="32" t="s">
        <v>29</v>
      </c>
      <c r="BP116" s="38">
        <v>-1</v>
      </c>
      <c r="BQ116" s="42"/>
      <c r="BR116" s="39">
        <v>-1</v>
      </c>
      <c r="BS116" s="22" t="s">
        <v>221</v>
      </c>
      <c r="BT116" s="4" t="str">
        <f t="shared" si="5"/>
        <v>120</v>
      </c>
      <c r="BU116" s="4" t="str">
        <f t="shared" si="5"/>
        <v>-1</v>
      </c>
      <c r="BV116" s="4">
        <f t="shared" si="6"/>
        <v>30</v>
      </c>
      <c r="BW116" s="29">
        <f t="shared" si="7"/>
        <v>-296203.86</v>
      </c>
      <c r="BX116" s="4">
        <v>51.49</v>
      </c>
      <c r="BY116" s="29">
        <f t="shared" si="8"/>
        <v>-417.85032195616435</v>
      </c>
    </row>
    <row r="117" spans="1:77" ht="15" hidden="1" customHeight="1" x14ac:dyDescent="0.35">
      <c r="A117" s="32" t="s">
        <v>217</v>
      </c>
      <c r="B117" s="32" t="s">
        <v>617</v>
      </c>
      <c r="C117" s="32" t="s">
        <v>30</v>
      </c>
      <c r="D117" s="32" t="s">
        <v>442</v>
      </c>
      <c r="E117" s="32" t="s">
        <v>367</v>
      </c>
      <c r="F117" s="32" t="s">
        <v>33</v>
      </c>
      <c r="G117" s="33">
        <v>46076</v>
      </c>
      <c r="H117" s="33">
        <v>46076</v>
      </c>
      <c r="I117" s="33">
        <v>46091</v>
      </c>
      <c r="J117" s="32" t="s">
        <v>11</v>
      </c>
      <c r="K117" s="34">
        <v>221136.65</v>
      </c>
      <c r="L117" s="34">
        <v>216800.64000000001</v>
      </c>
      <c r="M117" s="34">
        <v>4336.01</v>
      </c>
      <c r="N117" s="34">
        <v>221136.62</v>
      </c>
      <c r="O117" s="34">
        <v>0</v>
      </c>
      <c r="P117" s="34">
        <v>0.03</v>
      </c>
      <c r="Q117" s="34">
        <v>0</v>
      </c>
      <c r="R117" s="34">
        <v>0.03</v>
      </c>
      <c r="S117" s="34">
        <v>5.8855611490184797E-4</v>
      </c>
      <c r="T117" s="34">
        <v>0.03</v>
      </c>
      <c r="U117" s="35">
        <v>0</v>
      </c>
      <c r="V117" s="35">
        <v>0</v>
      </c>
      <c r="W117" s="35">
        <v>0</v>
      </c>
      <c r="X117" s="35">
        <v>0</v>
      </c>
      <c r="Y117" s="35">
        <v>0</v>
      </c>
      <c r="Z117" s="35">
        <v>0</v>
      </c>
      <c r="AA117" s="35">
        <v>0</v>
      </c>
      <c r="AB117" s="35">
        <v>0.03</v>
      </c>
      <c r="AC117" s="35">
        <v>0</v>
      </c>
      <c r="AD117" s="35">
        <v>0</v>
      </c>
      <c r="AE117" s="35">
        <v>0</v>
      </c>
      <c r="AF117" s="35">
        <v>0</v>
      </c>
      <c r="AG117" s="35">
        <v>0</v>
      </c>
      <c r="AH117" s="35">
        <v>0</v>
      </c>
      <c r="AI117" s="36">
        <v>0</v>
      </c>
      <c r="AJ117" s="36">
        <v>0</v>
      </c>
      <c r="AK117" s="36">
        <v>0</v>
      </c>
      <c r="AL117" s="36">
        <v>0</v>
      </c>
      <c r="AM117" s="36">
        <v>0</v>
      </c>
      <c r="AN117" s="36">
        <v>0</v>
      </c>
      <c r="AO117" s="36">
        <v>0</v>
      </c>
      <c r="AP117" s="36">
        <v>5.8855611490184797E-4</v>
      </c>
      <c r="AQ117" s="36">
        <v>0</v>
      </c>
      <c r="AR117" s="36">
        <v>0</v>
      </c>
      <c r="AS117" s="36">
        <v>0</v>
      </c>
      <c r="AT117" s="36">
        <v>0</v>
      </c>
      <c r="AU117" s="36">
        <v>0</v>
      </c>
      <c r="AV117" s="36">
        <v>0</v>
      </c>
      <c r="AW117" s="37">
        <v>0</v>
      </c>
      <c r="AX117" s="37">
        <v>0</v>
      </c>
      <c r="AY117" s="37">
        <v>0</v>
      </c>
      <c r="AZ117" s="37">
        <v>0</v>
      </c>
      <c r="BA117" s="37">
        <v>0</v>
      </c>
      <c r="BB117" s="37">
        <v>0</v>
      </c>
      <c r="BC117" s="37">
        <v>0</v>
      </c>
      <c r="BD117" s="37">
        <v>0.03</v>
      </c>
      <c r="BE117" s="37">
        <v>0</v>
      </c>
      <c r="BF117" s="37">
        <v>0</v>
      </c>
      <c r="BG117" s="37">
        <v>0</v>
      </c>
      <c r="BH117" s="37">
        <v>0</v>
      </c>
      <c r="BI117" s="37">
        <v>0</v>
      </c>
      <c r="BJ117" s="37">
        <v>0</v>
      </c>
      <c r="BK117" s="32" t="s">
        <v>12</v>
      </c>
      <c r="BL117" s="32" t="s">
        <v>13</v>
      </c>
      <c r="BM117" s="33">
        <v>46074.915763888886</v>
      </c>
      <c r="BN117" s="32" t="s">
        <v>28</v>
      </c>
      <c r="BO117" s="32" t="s">
        <v>29</v>
      </c>
      <c r="BP117" s="38">
        <v>14</v>
      </c>
      <c r="BQ117" s="42"/>
      <c r="BR117" s="39">
        <v>14</v>
      </c>
      <c r="BS117" s="22" t="s">
        <v>220</v>
      </c>
      <c r="BT117" s="4" t="str">
        <f t="shared" si="5"/>
        <v>120</v>
      </c>
      <c r="BU117" s="4" t="str">
        <f t="shared" si="5"/>
        <v>14</v>
      </c>
      <c r="BV117" s="4">
        <f t="shared" si="6"/>
        <v>15</v>
      </c>
      <c r="BW117" s="29">
        <f t="shared" si="7"/>
        <v>0.42</v>
      </c>
      <c r="BX117" s="4">
        <v>51.49</v>
      </c>
      <c r="BY117" s="29">
        <f t="shared" si="8"/>
        <v>5.9248767123287673E-4</v>
      </c>
    </row>
    <row r="118" spans="1:77" ht="15" hidden="1" customHeight="1" x14ac:dyDescent="0.35">
      <c r="A118" s="32" t="s">
        <v>217</v>
      </c>
      <c r="B118" s="32" t="s">
        <v>618</v>
      </c>
      <c r="C118" s="32" t="s">
        <v>30</v>
      </c>
      <c r="D118" s="32" t="s">
        <v>459</v>
      </c>
      <c r="E118" s="32" t="s">
        <v>236</v>
      </c>
      <c r="F118" s="32" t="s">
        <v>476</v>
      </c>
      <c r="G118" s="33">
        <v>46076</v>
      </c>
      <c r="H118" s="33">
        <v>46076</v>
      </c>
      <c r="I118" s="33">
        <v>46091</v>
      </c>
      <c r="J118" s="32" t="s">
        <v>11</v>
      </c>
      <c r="K118" s="34">
        <v>458682.57</v>
      </c>
      <c r="L118" s="34">
        <v>449688.79</v>
      </c>
      <c r="M118" s="34">
        <v>8993.7800000000007</v>
      </c>
      <c r="N118" s="34">
        <v>0</v>
      </c>
      <c r="O118" s="34">
        <v>0</v>
      </c>
      <c r="P118" s="34">
        <v>458682.57</v>
      </c>
      <c r="Q118" s="34">
        <v>0</v>
      </c>
      <c r="R118" s="34">
        <v>458682.57</v>
      </c>
      <c r="S118" s="34">
        <v>8998.6810457465108</v>
      </c>
      <c r="T118" s="34">
        <v>458682.57</v>
      </c>
      <c r="U118" s="35">
        <v>0</v>
      </c>
      <c r="V118" s="35">
        <v>0</v>
      </c>
      <c r="W118" s="35">
        <v>0</v>
      </c>
      <c r="X118" s="35">
        <v>0</v>
      </c>
      <c r="Y118" s="35">
        <v>0</v>
      </c>
      <c r="Z118" s="35">
        <v>0</v>
      </c>
      <c r="AA118" s="35">
        <v>0</v>
      </c>
      <c r="AB118" s="35">
        <v>458682.57</v>
      </c>
      <c r="AC118" s="35">
        <v>0</v>
      </c>
      <c r="AD118" s="35">
        <v>0</v>
      </c>
      <c r="AE118" s="35">
        <v>0</v>
      </c>
      <c r="AF118" s="35">
        <v>0</v>
      </c>
      <c r="AG118" s="35">
        <v>0</v>
      </c>
      <c r="AH118" s="35">
        <v>0</v>
      </c>
      <c r="AI118" s="36">
        <v>0</v>
      </c>
      <c r="AJ118" s="36">
        <v>0</v>
      </c>
      <c r="AK118" s="36">
        <v>0</v>
      </c>
      <c r="AL118" s="36">
        <v>0</v>
      </c>
      <c r="AM118" s="36">
        <v>0</v>
      </c>
      <c r="AN118" s="36">
        <v>0</v>
      </c>
      <c r="AO118" s="36">
        <v>0</v>
      </c>
      <c r="AP118" s="36">
        <v>8998.6810457465108</v>
      </c>
      <c r="AQ118" s="36">
        <v>0</v>
      </c>
      <c r="AR118" s="36">
        <v>0</v>
      </c>
      <c r="AS118" s="36">
        <v>0</v>
      </c>
      <c r="AT118" s="36">
        <v>0</v>
      </c>
      <c r="AU118" s="36">
        <v>0</v>
      </c>
      <c r="AV118" s="36">
        <v>0</v>
      </c>
      <c r="AW118" s="37">
        <v>0</v>
      </c>
      <c r="AX118" s="37">
        <v>0</v>
      </c>
      <c r="AY118" s="37"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458682.57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2" t="s">
        <v>12</v>
      </c>
      <c r="BL118" s="32" t="s">
        <v>13</v>
      </c>
      <c r="BM118" s="33">
        <v>46074.916400462964</v>
      </c>
      <c r="BN118" s="32" t="s">
        <v>28</v>
      </c>
      <c r="BO118" s="32" t="s">
        <v>29</v>
      </c>
      <c r="BP118" s="38">
        <v>14</v>
      </c>
      <c r="BQ118" s="42"/>
      <c r="BR118" s="39">
        <v>14</v>
      </c>
      <c r="BS118" s="22" t="s">
        <v>220</v>
      </c>
      <c r="BT118" s="4" t="str">
        <f t="shared" si="5"/>
        <v>120</v>
      </c>
      <c r="BU118" s="4" t="str">
        <f t="shared" si="5"/>
        <v>14</v>
      </c>
      <c r="BV118" s="4">
        <f t="shared" si="6"/>
        <v>15</v>
      </c>
      <c r="BW118" s="29">
        <f t="shared" si="7"/>
        <v>6421555.9800000004</v>
      </c>
      <c r="BX118" s="4">
        <v>51.49</v>
      </c>
      <c r="BY118" s="29">
        <f t="shared" si="8"/>
        <v>9058.7922578137004</v>
      </c>
    </row>
    <row r="119" spans="1:77" ht="15" hidden="1" customHeight="1" x14ac:dyDescent="0.35">
      <c r="A119" s="32" t="s">
        <v>217</v>
      </c>
      <c r="B119" s="32" t="s">
        <v>619</v>
      </c>
      <c r="C119" s="32" t="s">
        <v>30</v>
      </c>
      <c r="D119" s="32" t="s">
        <v>459</v>
      </c>
      <c r="E119" s="32" t="s">
        <v>236</v>
      </c>
      <c r="F119" s="32" t="s">
        <v>476</v>
      </c>
      <c r="G119" s="33">
        <v>46076</v>
      </c>
      <c r="H119" s="33">
        <v>46076</v>
      </c>
      <c r="I119" s="33">
        <v>46091</v>
      </c>
      <c r="J119" s="32" t="s">
        <v>11</v>
      </c>
      <c r="K119" s="34">
        <v>917414.97</v>
      </c>
      <c r="L119" s="34">
        <v>899426.44</v>
      </c>
      <c r="M119" s="34">
        <v>17988.53</v>
      </c>
      <c r="N119" s="34">
        <v>0</v>
      </c>
      <c r="O119" s="34">
        <v>0</v>
      </c>
      <c r="P119" s="34">
        <v>917414.97</v>
      </c>
      <c r="Q119" s="34">
        <v>0</v>
      </c>
      <c r="R119" s="34">
        <v>917414.97</v>
      </c>
      <c r="S119" s="34">
        <v>17998.339683199902</v>
      </c>
      <c r="T119" s="34">
        <v>917414.97</v>
      </c>
      <c r="U119" s="35">
        <v>0</v>
      </c>
      <c r="V119" s="35">
        <v>0</v>
      </c>
      <c r="W119" s="35">
        <v>0</v>
      </c>
      <c r="X119" s="35">
        <v>0</v>
      </c>
      <c r="Y119" s="35">
        <v>0</v>
      </c>
      <c r="Z119" s="35">
        <v>0</v>
      </c>
      <c r="AA119" s="35">
        <v>0</v>
      </c>
      <c r="AB119" s="35">
        <v>917414.97</v>
      </c>
      <c r="AC119" s="35">
        <v>0</v>
      </c>
      <c r="AD119" s="35">
        <v>0</v>
      </c>
      <c r="AE119" s="35">
        <v>0</v>
      </c>
      <c r="AF119" s="35">
        <v>0</v>
      </c>
      <c r="AG119" s="35">
        <v>0</v>
      </c>
      <c r="AH119" s="35">
        <v>0</v>
      </c>
      <c r="AI119" s="36">
        <v>0</v>
      </c>
      <c r="AJ119" s="36">
        <v>0</v>
      </c>
      <c r="AK119" s="36">
        <v>0</v>
      </c>
      <c r="AL119" s="36">
        <v>0</v>
      </c>
      <c r="AM119" s="36">
        <v>0</v>
      </c>
      <c r="AN119" s="36">
        <v>0</v>
      </c>
      <c r="AO119" s="36">
        <v>0</v>
      </c>
      <c r="AP119" s="36">
        <v>17998.339683199902</v>
      </c>
      <c r="AQ119" s="36">
        <v>0</v>
      </c>
      <c r="AR119" s="36">
        <v>0</v>
      </c>
      <c r="AS119" s="36">
        <v>0</v>
      </c>
      <c r="AT119" s="36">
        <v>0</v>
      </c>
      <c r="AU119" s="36">
        <v>0</v>
      </c>
      <c r="AV119" s="36">
        <v>0</v>
      </c>
      <c r="AW119" s="37">
        <v>0</v>
      </c>
      <c r="AX119" s="37">
        <v>0</v>
      </c>
      <c r="AY119" s="37">
        <v>0</v>
      </c>
      <c r="AZ119" s="37">
        <v>0</v>
      </c>
      <c r="BA119" s="37">
        <v>0</v>
      </c>
      <c r="BB119" s="37">
        <v>0</v>
      </c>
      <c r="BC119" s="37">
        <v>0</v>
      </c>
      <c r="BD119" s="37">
        <v>917414.97</v>
      </c>
      <c r="BE119" s="37">
        <v>0</v>
      </c>
      <c r="BF119" s="37">
        <v>0</v>
      </c>
      <c r="BG119" s="37">
        <v>0</v>
      </c>
      <c r="BH119" s="37">
        <v>0</v>
      </c>
      <c r="BI119" s="37">
        <v>0</v>
      </c>
      <c r="BJ119" s="37">
        <v>0</v>
      </c>
      <c r="BK119" s="32" t="s">
        <v>12</v>
      </c>
      <c r="BL119" s="32" t="s">
        <v>13</v>
      </c>
      <c r="BM119" s="33">
        <v>46074.916608796295</v>
      </c>
      <c r="BN119" s="32" t="s">
        <v>28</v>
      </c>
      <c r="BO119" s="32" t="s">
        <v>29</v>
      </c>
      <c r="BP119" s="38">
        <v>14</v>
      </c>
      <c r="BQ119" s="42"/>
      <c r="BR119" s="39">
        <v>14</v>
      </c>
      <c r="BS119" s="22" t="s">
        <v>220</v>
      </c>
      <c r="BT119" s="4" t="str">
        <f t="shared" si="5"/>
        <v>120</v>
      </c>
      <c r="BU119" s="4" t="str">
        <f t="shared" si="5"/>
        <v>14</v>
      </c>
      <c r="BV119" s="4">
        <f t="shared" si="6"/>
        <v>15</v>
      </c>
      <c r="BW119" s="29">
        <f t="shared" si="7"/>
        <v>12843809.58</v>
      </c>
      <c r="BX119" s="4">
        <v>51.49</v>
      </c>
      <c r="BY119" s="29">
        <f t="shared" si="8"/>
        <v>18118.568637649318</v>
      </c>
    </row>
    <row r="120" spans="1:77" ht="15" hidden="1" customHeight="1" x14ac:dyDescent="0.35">
      <c r="A120" s="32" t="s">
        <v>217</v>
      </c>
      <c r="B120" s="32" t="s">
        <v>620</v>
      </c>
      <c r="C120" s="32" t="s">
        <v>30</v>
      </c>
      <c r="D120" s="32" t="s">
        <v>369</v>
      </c>
      <c r="E120" s="32" t="s">
        <v>288</v>
      </c>
      <c r="F120" s="32" t="s">
        <v>33</v>
      </c>
      <c r="G120" s="33">
        <v>46076</v>
      </c>
      <c r="H120" s="33">
        <v>46076</v>
      </c>
      <c r="I120" s="33">
        <v>46106</v>
      </c>
      <c r="J120" s="32" t="s">
        <v>11</v>
      </c>
      <c r="K120" s="34">
        <v>493758.57</v>
      </c>
      <c r="L120" s="34">
        <v>484077.03</v>
      </c>
      <c r="M120" s="34">
        <v>9681.5400000000009</v>
      </c>
      <c r="N120" s="34">
        <v>0</v>
      </c>
      <c r="O120" s="34">
        <v>0</v>
      </c>
      <c r="P120" s="34">
        <v>493758.57</v>
      </c>
      <c r="Q120" s="34">
        <v>493758.57</v>
      </c>
      <c r="R120" s="34">
        <v>493758.57</v>
      </c>
      <c r="S120" s="34">
        <v>9686.8208552897504</v>
      </c>
      <c r="T120" s="34">
        <v>493758.57</v>
      </c>
      <c r="U120" s="35">
        <v>493758.57</v>
      </c>
      <c r="V120" s="35">
        <v>0</v>
      </c>
      <c r="W120" s="35">
        <v>0</v>
      </c>
      <c r="X120" s="35">
        <v>0</v>
      </c>
      <c r="Y120" s="35">
        <v>0</v>
      </c>
      <c r="Z120" s="35">
        <v>0</v>
      </c>
      <c r="AA120" s="35">
        <v>0</v>
      </c>
      <c r="AB120" s="35">
        <v>0</v>
      </c>
      <c r="AC120" s="35">
        <v>0</v>
      </c>
      <c r="AD120" s="35">
        <v>0</v>
      </c>
      <c r="AE120" s="35">
        <v>0</v>
      </c>
      <c r="AF120" s="35">
        <v>0</v>
      </c>
      <c r="AG120" s="35">
        <v>0</v>
      </c>
      <c r="AH120" s="35">
        <v>0</v>
      </c>
      <c r="AI120" s="36">
        <v>9686.8208552897504</v>
      </c>
      <c r="AJ120" s="36">
        <v>0</v>
      </c>
      <c r="AK120" s="36">
        <v>0</v>
      </c>
      <c r="AL120" s="36">
        <v>0</v>
      </c>
      <c r="AM120" s="36">
        <v>0</v>
      </c>
      <c r="AN120" s="36">
        <v>0</v>
      </c>
      <c r="AO120" s="36">
        <v>0</v>
      </c>
      <c r="AP120" s="36">
        <v>0</v>
      </c>
      <c r="AQ120" s="36">
        <v>0</v>
      </c>
      <c r="AR120" s="36">
        <v>0</v>
      </c>
      <c r="AS120" s="36">
        <v>0</v>
      </c>
      <c r="AT120" s="36">
        <v>0</v>
      </c>
      <c r="AU120" s="36">
        <v>0</v>
      </c>
      <c r="AV120" s="36">
        <v>0</v>
      </c>
      <c r="AW120" s="37">
        <v>493758.57</v>
      </c>
      <c r="AX120" s="37">
        <v>0</v>
      </c>
      <c r="AY120" s="37"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2" t="s">
        <v>12</v>
      </c>
      <c r="BL120" s="32" t="s">
        <v>13</v>
      </c>
      <c r="BM120" s="33">
        <v>46074.916817129626</v>
      </c>
      <c r="BN120" s="32" t="s">
        <v>28</v>
      </c>
      <c r="BO120" s="32" t="s">
        <v>29</v>
      </c>
      <c r="BP120" s="38">
        <v>-1</v>
      </c>
      <c r="BQ120" s="42"/>
      <c r="BR120" s="39">
        <v>-1</v>
      </c>
      <c r="BS120" s="22" t="s">
        <v>221</v>
      </c>
      <c r="BT120" s="4" t="str">
        <f t="shared" si="5"/>
        <v>120</v>
      </c>
      <c r="BU120" s="4" t="str">
        <f t="shared" si="5"/>
        <v>-1</v>
      </c>
      <c r="BV120" s="4">
        <f t="shared" si="6"/>
        <v>30</v>
      </c>
      <c r="BW120" s="29">
        <f t="shared" si="7"/>
        <v>-493758.57</v>
      </c>
      <c r="BX120" s="4">
        <v>51.49</v>
      </c>
      <c r="BY120" s="29">
        <f t="shared" si="8"/>
        <v>-696.53777450136988</v>
      </c>
    </row>
    <row r="121" spans="1:77" ht="15" hidden="1" customHeight="1" x14ac:dyDescent="0.35">
      <c r="A121" s="32" t="s">
        <v>217</v>
      </c>
      <c r="B121" s="32" t="s">
        <v>621</v>
      </c>
      <c r="C121" s="32" t="s">
        <v>30</v>
      </c>
      <c r="D121" s="32" t="s">
        <v>369</v>
      </c>
      <c r="E121" s="32" t="s">
        <v>288</v>
      </c>
      <c r="F121" s="32" t="s">
        <v>33</v>
      </c>
      <c r="G121" s="33">
        <v>46076</v>
      </c>
      <c r="H121" s="33">
        <v>46076</v>
      </c>
      <c r="I121" s="33">
        <v>46106</v>
      </c>
      <c r="J121" s="32" t="s">
        <v>11</v>
      </c>
      <c r="K121" s="34">
        <v>185159.46</v>
      </c>
      <c r="L121" s="34">
        <v>181528.88</v>
      </c>
      <c r="M121" s="34">
        <v>3630.58</v>
      </c>
      <c r="N121" s="34">
        <v>0</v>
      </c>
      <c r="O121" s="34">
        <v>0</v>
      </c>
      <c r="P121" s="34">
        <v>185159.46</v>
      </c>
      <c r="Q121" s="34">
        <v>185159.46</v>
      </c>
      <c r="R121" s="34">
        <v>185159.46</v>
      </c>
      <c r="S121" s="34">
        <v>3632.55774716414</v>
      </c>
      <c r="T121" s="34">
        <v>185159.46</v>
      </c>
      <c r="U121" s="35">
        <v>185159.46</v>
      </c>
      <c r="V121" s="35">
        <v>0</v>
      </c>
      <c r="W121" s="35">
        <v>0</v>
      </c>
      <c r="X121" s="35">
        <v>0</v>
      </c>
      <c r="Y121" s="35">
        <v>0</v>
      </c>
      <c r="Z121" s="35">
        <v>0</v>
      </c>
      <c r="AA121" s="35">
        <v>0</v>
      </c>
      <c r="AB121" s="35">
        <v>0</v>
      </c>
      <c r="AC121" s="35">
        <v>0</v>
      </c>
      <c r="AD121" s="35">
        <v>0</v>
      </c>
      <c r="AE121" s="35">
        <v>0</v>
      </c>
      <c r="AF121" s="35">
        <v>0</v>
      </c>
      <c r="AG121" s="35">
        <v>0</v>
      </c>
      <c r="AH121" s="35">
        <v>0</v>
      </c>
      <c r="AI121" s="36">
        <v>3632.55774716414</v>
      </c>
      <c r="AJ121" s="36">
        <v>0</v>
      </c>
      <c r="AK121" s="36">
        <v>0</v>
      </c>
      <c r="AL121" s="36">
        <v>0</v>
      </c>
      <c r="AM121" s="36">
        <v>0</v>
      </c>
      <c r="AN121" s="36">
        <v>0</v>
      </c>
      <c r="AO121" s="36">
        <v>0</v>
      </c>
      <c r="AP121" s="36">
        <v>0</v>
      </c>
      <c r="AQ121" s="36">
        <v>0</v>
      </c>
      <c r="AR121" s="36">
        <v>0</v>
      </c>
      <c r="AS121" s="36">
        <v>0</v>
      </c>
      <c r="AT121" s="36">
        <v>0</v>
      </c>
      <c r="AU121" s="36">
        <v>0</v>
      </c>
      <c r="AV121" s="36">
        <v>0</v>
      </c>
      <c r="AW121" s="37">
        <v>185159.46</v>
      </c>
      <c r="AX121" s="37">
        <v>0</v>
      </c>
      <c r="AY121" s="37">
        <v>0</v>
      </c>
      <c r="AZ121" s="37">
        <v>0</v>
      </c>
      <c r="BA121" s="37">
        <v>0</v>
      </c>
      <c r="BB121" s="37">
        <v>0</v>
      </c>
      <c r="BC121" s="37">
        <v>0</v>
      </c>
      <c r="BD121" s="37">
        <v>0</v>
      </c>
      <c r="BE121" s="37">
        <v>0</v>
      </c>
      <c r="BF121" s="37">
        <v>0</v>
      </c>
      <c r="BG121" s="37">
        <v>0</v>
      </c>
      <c r="BH121" s="37">
        <v>0</v>
      </c>
      <c r="BI121" s="37">
        <v>0</v>
      </c>
      <c r="BJ121" s="37">
        <v>0</v>
      </c>
      <c r="BK121" s="32" t="s">
        <v>12</v>
      </c>
      <c r="BL121" s="32" t="s">
        <v>13</v>
      </c>
      <c r="BM121" s="33">
        <v>46074.917025462964</v>
      </c>
      <c r="BN121" s="32" t="s">
        <v>28</v>
      </c>
      <c r="BO121" s="32" t="s">
        <v>29</v>
      </c>
      <c r="BP121" s="38">
        <v>-1</v>
      </c>
      <c r="BQ121" s="42"/>
      <c r="BR121" s="39">
        <v>-1</v>
      </c>
      <c r="BS121" s="22" t="s">
        <v>221</v>
      </c>
      <c r="BT121" s="4" t="str">
        <f t="shared" si="5"/>
        <v>120</v>
      </c>
      <c r="BU121" s="4" t="str">
        <f t="shared" si="5"/>
        <v>-1</v>
      </c>
      <c r="BV121" s="4">
        <f t="shared" si="6"/>
        <v>30</v>
      </c>
      <c r="BW121" s="29">
        <f t="shared" si="7"/>
        <v>-185159.46</v>
      </c>
      <c r="BX121" s="4">
        <v>51.49</v>
      </c>
      <c r="BY121" s="29">
        <f t="shared" si="8"/>
        <v>-261.20166014794523</v>
      </c>
    </row>
    <row r="122" spans="1:77" ht="15" hidden="1" customHeight="1" x14ac:dyDescent="0.35">
      <c r="A122" s="32" t="s">
        <v>217</v>
      </c>
      <c r="B122" s="32" t="s">
        <v>622</v>
      </c>
      <c r="C122" s="32" t="s">
        <v>30</v>
      </c>
      <c r="D122" s="32" t="s">
        <v>369</v>
      </c>
      <c r="E122" s="32" t="s">
        <v>288</v>
      </c>
      <c r="F122" s="32" t="s">
        <v>33</v>
      </c>
      <c r="G122" s="33">
        <v>46076</v>
      </c>
      <c r="H122" s="33">
        <v>46076</v>
      </c>
      <c r="I122" s="33">
        <v>46106</v>
      </c>
      <c r="J122" s="32" t="s">
        <v>11</v>
      </c>
      <c r="K122" s="34">
        <v>131259.71</v>
      </c>
      <c r="L122" s="34">
        <v>128685.99</v>
      </c>
      <c r="M122" s="34">
        <v>2573.7199999999998</v>
      </c>
      <c r="N122" s="34">
        <v>0</v>
      </c>
      <c r="O122" s="34">
        <v>0</v>
      </c>
      <c r="P122" s="34">
        <v>131259.71</v>
      </c>
      <c r="Q122" s="34">
        <v>131259.71</v>
      </c>
      <c r="R122" s="34">
        <v>131259.71</v>
      </c>
      <c r="S122" s="34">
        <v>2575.1234986914401</v>
      </c>
      <c r="T122" s="34">
        <v>131259.71</v>
      </c>
      <c r="U122" s="35">
        <v>131259.71</v>
      </c>
      <c r="V122" s="35">
        <v>0</v>
      </c>
      <c r="W122" s="35">
        <v>0</v>
      </c>
      <c r="X122" s="35">
        <v>0</v>
      </c>
      <c r="Y122" s="35">
        <v>0</v>
      </c>
      <c r="Z122" s="35">
        <v>0</v>
      </c>
      <c r="AA122" s="35">
        <v>0</v>
      </c>
      <c r="AB122" s="35">
        <v>0</v>
      </c>
      <c r="AC122" s="35">
        <v>0</v>
      </c>
      <c r="AD122" s="35">
        <v>0</v>
      </c>
      <c r="AE122" s="35">
        <v>0</v>
      </c>
      <c r="AF122" s="35">
        <v>0</v>
      </c>
      <c r="AG122" s="35">
        <v>0</v>
      </c>
      <c r="AH122" s="35">
        <v>0</v>
      </c>
      <c r="AI122" s="36">
        <v>2575.1234986914401</v>
      </c>
      <c r="AJ122" s="36">
        <v>0</v>
      </c>
      <c r="AK122" s="36">
        <v>0</v>
      </c>
      <c r="AL122" s="36">
        <v>0</v>
      </c>
      <c r="AM122" s="36">
        <v>0</v>
      </c>
      <c r="AN122" s="36">
        <v>0</v>
      </c>
      <c r="AO122" s="36">
        <v>0</v>
      </c>
      <c r="AP122" s="36">
        <v>0</v>
      </c>
      <c r="AQ122" s="36">
        <v>0</v>
      </c>
      <c r="AR122" s="36">
        <v>0</v>
      </c>
      <c r="AS122" s="36">
        <v>0</v>
      </c>
      <c r="AT122" s="36">
        <v>0</v>
      </c>
      <c r="AU122" s="36">
        <v>0</v>
      </c>
      <c r="AV122" s="36">
        <v>0</v>
      </c>
      <c r="AW122" s="37">
        <v>131259.71</v>
      </c>
      <c r="AX122" s="37">
        <v>0</v>
      </c>
      <c r="AY122" s="37"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2" t="s">
        <v>12</v>
      </c>
      <c r="BL122" s="32" t="s">
        <v>13</v>
      </c>
      <c r="BM122" s="33">
        <v>46074.917245370372</v>
      </c>
      <c r="BN122" s="32" t="s">
        <v>28</v>
      </c>
      <c r="BO122" s="32" t="s">
        <v>29</v>
      </c>
      <c r="BP122" s="38">
        <v>-1</v>
      </c>
      <c r="BQ122" s="42"/>
      <c r="BR122" s="39">
        <v>-1</v>
      </c>
      <c r="BS122" s="22" t="s">
        <v>221</v>
      </c>
      <c r="BT122" s="4" t="str">
        <f t="shared" si="5"/>
        <v>120</v>
      </c>
      <c r="BU122" s="4" t="str">
        <f t="shared" si="5"/>
        <v>-1</v>
      </c>
      <c r="BV122" s="4">
        <f t="shared" si="6"/>
        <v>30</v>
      </c>
      <c r="BW122" s="29">
        <f t="shared" si="7"/>
        <v>-131259.71</v>
      </c>
      <c r="BX122" s="4">
        <v>51.49</v>
      </c>
      <c r="BY122" s="29">
        <f t="shared" si="8"/>
        <v>-185.16609501095888</v>
      </c>
    </row>
    <row r="123" spans="1:77" ht="15" hidden="1" customHeight="1" x14ac:dyDescent="0.35">
      <c r="A123" s="32" t="s">
        <v>217</v>
      </c>
      <c r="B123" s="32" t="s">
        <v>623</v>
      </c>
      <c r="C123" s="32" t="s">
        <v>30</v>
      </c>
      <c r="D123" s="32" t="s">
        <v>369</v>
      </c>
      <c r="E123" s="32" t="s">
        <v>288</v>
      </c>
      <c r="F123" s="32" t="s">
        <v>33</v>
      </c>
      <c r="G123" s="33">
        <v>46076</v>
      </c>
      <c r="H123" s="33">
        <v>46076</v>
      </c>
      <c r="I123" s="33">
        <v>46106</v>
      </c>
      <c r="J123" s="32" t="s">
        <v>11</v>
      </c>
      <c r="K123" s="34">
        <v>131259.71</v>
      </c>
      <c r="L123" s="34">
        <v>128685.99</v>
      </c>
      <c r="M123" s="34">
        <v>2573.7199999999998</v>
      </c>
      <c r="N123" s="34">
        <v>0</v>
      </c>
      <c r="O123" s="34">
        <v>0</v>
      </c>
      <c r="P123" s="34">
        <v>131259.71</v>
      </c>
      <c r="Q123" s="34">
        <v>131259.71</v>
      </c>
      <c r="R123" s="34">
        <v>131259.71</v>
      </c>
      <c r="S123" s="34">
        <v>2575.1234986914401</v>
      </c>
      <c r="T123" s="34">
        <v>131259.71</v>
      </c>
      <c r="U123" s="35">
        <v>131259.71</v>
      </c>
      <c r="V123" s="35">
        <v>0</v>
      </c>
      <c r="W123" s="35">
        <v>0</v>
      </c>
      <c r="X123" s="35">
        <v>0</v>
      </c>
      <c r="Y123" s="35">
        <v>0</v>
      </c>
      <c r="Z123" s="35">
        <v>0</v>
      </c>
      <c r="AA123" s="35">
        <v>0</v>
      </c>
      <c r="AB123" s="35">
        <v>0</v>
      </c>
      <c r="AC123" s="35">
        <v>0</v>
      </c>
      <c r="AD123" s="35">
        <v>0</v>
      </c>
      <c r="AE123" s="35">
        <v>0</v>
      </c>
      <c r="AF123" s="35">
        <v>0</v>
      </c>
      <c r="AG123" s="35">
        <v>0</v>
      </c>
      <c r="AH123" s="35">
        <v>0</v>
      </c>
      <c r="AI123" s="36">
        <v>2575.1234986914401</v>
      </c>
      <c r="AJ123" s="36">
        <v>0</v>
      </c>
      <c r="AK123" s="36">
        <v>0</v>
      </c>
      <c r="AL123" s="36">
        <v>0</v>
      </c>
      <c r="AM123" s="36">
        <v>0</v>
      </c>
      <c r="AN123" s="36">
        <v>0</v>
      </c>
      <c r="AO123" s="36">
        <v>0</v>
      </c>
      <c r="AP123" s="36">
        <v>0</v>
      </c>
      <c r="AQ123" s="36">
        <v>0</v>
      </c>
      <c r="AR123" s="36">
        <v>0</v>
      </c>
      <c r="AS123" s="36">
        <v>0</v>
      </c>
      <c r="AT123" s="36">
        <v>0</v>
      </c>
      <c r="AU123" s="36">
        <v>0</v>
      </c>
      <c r="AV123" s="36">
        <v>0</v>
      </c>
      <c r="AW123" s="37">
        <v>131259.71</v>
      </c>
      <c r="AX123" s="37">
        <v>0</v>
      </c>
      <c r="AY123" s="37">
        <v>0</v>
      </c>
      <c r="AZ123" s="37">
        <v>0</v>
      </c>
      <c r="BA123" s="37">
        <v>0</v>
      </c>
      <c r="BB123" s="37">
        <v>0</v>
      </c>
      <c r="BC123" s="37">
        <v>0</v>
      </c>
      <c r="BD123" s="37">
        <v>0</v>
      </c>
      <c r="BE123" s="37">
        <v>0</v>
      </c>
      <c r="BF123" s="37">
        <v>0</v>
      </c>
      <c r="BG123" s="37">
        <v>0</v>
      </c>
      <c r="BH123" s="37">
        <v>0</v>
      </c>
      <c r="BI123" s="37">
        <v>0</v>
      </c>
      <c r="BJ123" s="37">
        <v>0</v>
      </c>
      <c r="BK123" s="32" t="s">
        <v>12</v>
      </c>
      <c r="BL123" s="32" t="s">
        <v>13</v>
      </c>
      <c r="BM123" s="33">
        <v>46074.917442129627</v>
      </c>
      <c r="BN123" s="32" t="s">
        <v>28</v>
      </c>
      <c r="BO123" s="32" t="s">
        <v>29</v>
      </c>
      <c r="BP123" s="38">
        <v>-1</v>
      </c>
      <c r="BQ123" s="42"/>
      <c r="BR123" s="39">
        <v>-1</v>
      </c>
      <c r="BS123" s="22" t="s">
        <v>221</v>
      </c>
      <c r="BT123" s="4" t="str">
        <f t="shared" si="5"/>
        <v>120</v>
      </c>
      <c r="BU123" s="4" t="str">
        <f t="shared" si="5"/>
        <v>-1</v>
      </c>
      <c r="BV123" s="4">
        <f t="shared" si="6"/>
        <v>30</v>
      </c>
      <c r="BW123" s="29">
        <f t="shared" si="7"/>
        <v>-131259.71</v>
      </c>
      <c r="BX123" s="4">
        <v>51.49</v>
      </c>
      <c r="BY123" s="29">
        <f t="shared" si="8"/>
        <v>-185.16609501095888</v>
      </c>
    </row>
    <row r="124" spans="1:77" ht="15" hidden="1" customHeight="1" x14ac:dyDescent="0.35">
      <c r="A124" s="32" t="s">
        <v>217</v>
      </c>
      <c r="B124" s="32" t="s">
        <v>624</v>
      </c>
      <c r="C124" s="32" t="s">
        <v>30</v>
      </c>
      <c r="D124" s="32" t="s">
        <v>31</v>
      </c>
      <c r="E124" s="32" t="s">
        <v>32</v>
      </c>
      <c r="F124" s="32" t="s">
        <v>33</v>
      </c>
      <c r="G124" s="33">
        <v>46076</v>
      </c>
      <c r="H124" s="33">
        <v>46076</v>
      </c>
      <c r="I124" s="33">
        <v>46106</v>
      </c>
      <c r="J124" s="32" t="s">
        <v>11</v>
      </c>
      <c r="K124" s="34">
        <v>201334.17</v>
      </c>
      <c r="L124" s="34">
        <v>197386.44</v>
      </c>
      <c r="M124" s="34">
        <v>3947.73</v>
      </c>
      <c r="N124" s="34">
        <v>0</v>
      </c>
      <c r="O124" s="34">
        <v>0</v>
      </c>
      <c r="P124" s="34">
        <v>201334.17</v>
      </c>
      <c r="Q124" s="34">
        <v>201334.17</v>
      </c>
      <c r="R124" s="34">
        <v>201334.17</v>
      </c>
      <c r="S124" s="34">
        <v>3949.8818964062798</v>
      </c>
      <c r="T124" s="34">
        <v>201334.17</v>
      </c>
      <c r="U124" s="35">
        <v>201334.17</v>
      </c>
      <c r="V124" s="35">
        <v>0</v>
      </c>
      <c r="W124" s="35">
        <v>0</v>
      </c>
      <c r="X124" s="35">
        <v>0</v>
      </c>
      <c r="Y124" s="35">
        <v>0</v>
      </c>
      <c r="Z124" s="35">
        <v>0</v>
      </c>
      <c r="AA124" s="35">
        <v>0</v>
      </c>
      <c r="AB124" s="35">
        <v>0</v>
      </c>
      <c r="AC124" s="35">
        <v>0</v>
      </c>
      <c r="AD124" s="35">
        <v>0</v>
      </c>
      <c r="AE124" s="35">
        <v>0</v>
      </c>
      <c r="AF124" s="35">
        <v>0</v>
      </c>
      <c r="AG124" s="35">
        <v>0</v>
      </c>
      <c r="AH124" s="35">
        <v>0</v>
      </c>
      <c r="AI124" s="36">
        <v>3949.8818964062798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36">
        <v>0</v>
      </c>
      <c r="AR124" s="36">
        <v>0</v>
      </c>
      <c r="AS124" s="36">
        <v>0</v>
      </c>
      <c r="AT124" s="36">
        <v>0</v>
      </c>
      <c r="AU124" s="36">
        <v>0</v>
      </c>
      <c r="AV124" s="36">
        <v>0</v>
      </c>
      <c r="AW124" s="37">
        <v>201334.17</v>
      </c>
      <c r="AX124" s="37">
        <v>0</v>
      </c>
      <c r="AY124" s="37"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2" t="s">
        <v>12</v>
      </c>
      <c r="BL124" s="32" t="s">
        <v>13</v>
      </c>
      <c r="BM124" s="33">
        <v>46074.917662037034</v>
      </c>
      <c r="BN124" s="32" t="s">
        <v>28</v>
      </c>
      <c r="BO124" s="32" t="s">
        <v>29</v>
      </c>
      <c r="BP124" s="38">
        <v>-1</v>
      </c>
      <c r="BQ124" s="42"/>
      <c r="BR124" s="39">
        <v>-1</v>
      </c>
      <c r="BS124" s="22" t="s">
        <v>221</v>
      </c>
      <c r="BT124" s="4" t="str">
        <f t="shared" si="5"/>
        <v>120</v>
      </c>
      <c r="BU124" s="4" t="str">
        <f t="shared" si="5"/>
        <v>-1</v>
      </c>
      <c r="BV124" s="4">
        <f t="shared" si="6"/>
        <v>30</v>
      </c>
      <c r="BW124" s="29">
        <f t="shared" si="7"/>
        <v>-201334.17</v>
      </c>
      <c r="BX124" s="4">
        <v>51.49</v>
      </c>
      <c r="BY124" s="29">
        <f t="shared" si="8"/>
        <v>-284.01907981643836</v>
      </c>
    </row>
    <row r="125" spans="1:77" ht="15" hidden="1" customHeight="1" x14ac:dyDescent="0.35">
      <c r="A125" s="32" t="s">
        <v>217</v>
      </c>
      <c r="B125" s="32" t="s">
        <v>625</v>
      </c>
      <c r="C125" s="32" t="s">
        <v>30</v>
      </c>
      <c r="D125" s="32" t="s">
        <v>31</v>
      </c>
      <c r="E125" s="32" t="s">
        <v>32</v>
      </c>
      <c r="F125" s="32" t="s">
        <v>33</v>
      </c>
      <c r="G125" s="33">
        <v>46076</v>
      </c>
      <c r="H125" s="33">
        <v>46076</v>
      </c>
      <c r="I125" s="33">
        <v>46106</v>
      </c>
      <c r="J125" s="32" t="s">
        <v>11</v>
      </c>
      <c r="K125" s="34">
        <v>49833.919999999998</v>
      </c>
      <c r="L125" s="34">
        <v>48856.78</v>
      </c>
      <c r="M125" s="34">
        <v>977.14</v>
      </c>
      <c r="N125" s="34">
        <v>0</v>
      </c>
      <c r="O125" s="34">
        <v>0</v>
      </c>
      <c r="P125" s="34">
        <v>49833.919999999998</v>
      </c>
      <c r="Q125" s="34">
        <v>49833.919999999998</v>
      </c>
      <c r="R125" s="34">
        <v>49833.919999999998</v>
      </c>
      <c r="S125" s="34">
        <v>977.66861151765102</v>
      </c>
      <c r="T125" s="34">
        <v>49833.919999999998</v>
      </c>
      <c r="U125" s="35">
        <v>49833.919999999998</v>
      </c>
      <c r="V125" s="35">
        <v>0</v>
      </c>
      <c r="W125" s="35">
        <v>0</v>
      </c>
      <c r="X125" s="35">
        <v>0</v>
      </c>
      <c r="Y125" s="35">
        <v>0</v>
      </c>
      <c r="Z125" s="35">
        <v>0</v>
      </c>
      <c r="AA125" s="35">
        <v>0</v>
      </c>
      <c r="AB125" s="35">
        <v>0</v>
      </c>
      <c r="AC125" s="35">
        <v>0</v>
      </c>
      <c r="AD125" s="35">
        <v>0</v>
      </c>
      <c r="AE125" s="35">
        <v>0</v>
      </c>
      <c r="AF125" s="35">
        <v>0</v>
      </c>
      <c r="AG125" s="35">
        <v>0</v>
      </c>
      <c r="AH125" s="35">
        <v>0</v>
      </c>
      <c r="AI125" s="36">
        <v>977.66861151765102</v>
      </c>
      <c r="AJ125" s="36">
        <v>0</v>
      </c>
      <c r="AK125" s="36">
        <v>0</v>
      </c>
      <c r="AL125" s="36">
        <v>0</v>
      </c>
      <c r="AM125" s="36">
        <v>0</v>
      </c>
      <c r="AN125" s="36">
        <v>0</v>
      </c>
      <c r="AO125" s="36">
        <v>0</v>
      </c>
      <c r="AP125" s="36">
        <v>0</v>
      </c>
      <c r="AQ125" s="36">
        <v>0</v>
      </c>
      <c r="AR125" s="36">
        <v>0</v>
      </c>
      <c r="AS125" s="36">
        <v>0</v>
      </c>
      <c r="AT125" s="36">
        <v>0</v>
      </c>
      <c r="AU125" s="36">
        <v>0</v>
      </c>
      <c r="AV125" s="36">
        <v>0</v>
      </c>
      <c r="AW125" s="37">
        <v>49833.919999999998</v>
      </c>
      <c r="AX125" s="37">
        <v>0</v>
      </c>
      <c r="AY125" s="37">
        <v>0</v>
      </c>
      <c r="AZ125" s="37">
        <v>0</v>
      </c>
      <c r="BA125" s="37">
        <v>0</v>
      </c>
      <c r="BB125" s="37">
        <v>0</v>
      </c>
      <c r="BC125" s="37">
        <v>0</v>
      </c>
      <c r="BD125" s="37">
        <v>0</v>
      </c>
      <c r="BE125" s="37">
        <v>0</v>
      </c>
      <c r="BF125" s="37">
        <v>0</v>
      </c>
      <c r="BG125" s="37">
        <v>0</v>
      </c>
      <c r="BH125" s="37">
        <v>0</v>
      </c>
      <c r="BI125" s="37">
        <v>0</v>
      </c>
      <c r="BJ125" s="37">
        <v>0</v>
      </c>
      <c r="BK125" s="32" t="s">
        <v>12</v>
      </c>
      <c r="BL125" s="32" t="s">
        <v>13</v>
      </c>
      <c r="BM125" s="33">
        <v>46074.917870370373</v>
      </c>
      <c r="BN125" s="32" t="s">
        <v>28</v>
      </c>
      <c r="BO125" s="32" t="s">
        <v>29</v>
      </c>
      <c r="BP125" s="38">
        <v>-1</v>
      </c>
      <c r="BQ125" s="42"/>
      <c r="BR125" s="39">
        <v>-1</v>
      </c>
      <c r="BS125" s="22" t="s">
        <v>221</v>
      </c>
      <c r="BT125" s="4" t="str">
        <f t="shared" si="5"/>
        <v>120</v>
      </c>
      <c r="BU125" s="4" t="str">
        <f t="shared" si="5"/>
        <v>-1</v>
      </c>
      <c r="BV125" s="4">
        <f t="shared" si="6"/>
        <v>30</v>
      </c>
      <c r="BW125" s="29">
        <f t="shared" si="7"/>
        <v>-49833.919999999998</v>
      </c>
      <c r="BX125" s="4">
        <v>51.49</v>
      </c>
      <c r="BY125" s="29">
        <f t="shared" si="8"/>
        <v>-70.299960021917812</v>
      </c>
    </row>
    <row r="126" spans="1:77" ht="15" hidden="1" customHeight="1" x14ac:dyDescent="0.35">
      <c r="A126" s="32" t="s">
        <v>217</v>
      </c>
      <c r="B126" s="32" t="s">
        <v>626</v>
      </c>
      <c r="C126" s="32" t="s">
        <v>30</v>
      </c>
      <c r="D126" s="32" t="s">
        <v>443</v>
      </c>
      <c r="E126" s="32" t="s">
        <v>394</v>
      </c>
      <c r="F126" s="32" t="s">
        <v>33</v>
      </c>
      <c r="G126" s="33">
        <v>46076</v>
      </c>
      <c r="H126" s="33">
        <v>46076</v>
      </c>
      <c r="I126" s="33">
        <v>46091</v>
      </c>
      <c r="J126" s="32" t="s">
        <v>11</v>
      </c>
      <c r="K126" s="34">
        <v>250313.77</v>
      </c>
      <c r="L126" s="34">
        <v>208594.81</v>
      </c>
      <c r="M126" s="34">
        <v>41718.959999999999</v>
      </c>
      <c r="N126" s="34">
        <v>0</v>
      </c>
      <c r="O126" s="34">
        <v>0</v>
      </c>
      <c r="P126" s="34">
        <v>250313.77</v>
      </c>
      <c r="Q126" s="34">
        <v>0</v>
      </c>
      <c r="R126" s="34">
        <v>250313.77</v>
      </c>
      <c r="S126" s="34">
        <v>4910.7899992544999</v>
      </c>
      <c r="T126" s="34">
        <v>250313.77</v>
      </c>
      <c r="U126" s="35">
        <v>0</v>
      </c>
      <c r="V126" s="35">
        <v>0</v>
      </c>
      <c r="W126" s="35">
        <v>0</v>
      </c>
      <c r="X126" s="35">
        <v>0</v>
      </c>
      <c r="Y126" s="35">
        <v>0</v>
      </c>
      <c r="Z126" s="35">
        <v>0</v>
      </c>
      <c r="AA126" s="35">
        <v>0</v>
      </c>
      <c r="AB126" s="35">
        <v>250313.77</v>
      </c>
      <c r="AC126" s="35">
        <v>0</v>
      </c>
      <c r="AD126" s="35">
        <v>0</v>
      </c>
      <c r="AE126" s="35">
        <v>0</v>
      </c>
      <c r="AF126" s="35">
        <v>0</v>
      </c>
      <c r="AG126" s="35">
        <v>0</v>
      </c>
      <c r="AH126" s="35">
        <v>0</v>
      </c>
      <c r="AI126" s="36">
        <v>0</v>
      </c>
      <c r="AJ126" s="36">
        <v>0</v>
      </c>
      <c r="AK126" s="36">
        <v>0</v>
      </c>
      <c r="AL126" s="36">
        <v>0</v>
      </c>
      <c r="AM126" s="36">
        <v>0</v>
      </c>
      <c r="AN126" s="36">
        <v>0</v>
      </c>
      <c r="AO126" s="36">
        <v>0</v>
      </c>
      <c r="AP126" s="36">
        <v>4910.7899992544999</v>
      </c>
      <c r="AQ126" s="36">
        <v>0</v>
      </c>
      <c r="AR126" s="36">
        <v>0</v>
      </c>
      <c r="AS126" s="36">
        <v>0</v>
      </c>
      <c r="AT126" s="36">
        <v>0</v>
      </c>
      <c r="AU126" s="36">
        <v>0</v>
      </c>
      <c r="AV126" s="36">
        <v>0</v>
      </c>
      <c r="AW126" s="37">
        <v>0</v>
      </c>
      <c r="AX126" s="37">
        <v>0</v>
      </c>
      <c r="AY126" s="37"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250313.77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2" t="s">
        <v>12</v>
      </c>
      <c r="BL126" s="32" t="s">
        <v>13</v>
      </c>
      <c r="BM126" s="33">
        <v>46074.918287037035</v>
      </c>
      <c r="BN126" s="32" t="s">
        <v>28</v>
      </c>
      <c r="BO126" s="32" t="s">
        <v>29</v>
      </c>
      <c r="BP126" s="38">
        <v>14</v>
      </c>
      <c r="BQ126" s="42"/>
      <c r="BR126" s="39">
        <v>14</v>
      </c>
      <c r="BS126" s="22" t="s">
        <v>220</v>
      </c>
      <c r="BT126" s="4" t="str">
        <f t="shared" si="5"/>
        <v>120</v>
      </c>
      <c r="BU126" s="4" t="str">
        <f t="shared" si="5"/>
        <v>14</v>
      </c>
      <c r="BV126" s="4">
        <f t="shared" si="6"/>
        <v>15</v>
      </c>
      <c r="BW126" s="29">
        <f t="shared" si="7"/>
        <v>3504392.78</v>
      </c>
      <c r="BX126" s="4">
        <v>51.49</v>
      </c>
      <c r="BY126" s="29">
        <f t="shared" si="8"/>
        <v>4943.5940888273972</v>
      </c>
    </row>
    <row r="127" spans="1:77" ht="15" hidden="1" customHeight="1" x14ac:dyDescent="0.35">
      <c r="A127" s="32" t="s">
        <v>217</v>
      </c>
      <c r="B127" s="32" t="s">
        <v>628</v>
      </c>
      <c r="C127" s="32" t="s">
        <v>30</v>
      </c>
      <c r="D127" s="32" t="s">
        <v>536</v>
      </c>
      <c r="E127" s="32" t="s">
        <v>537</v>
      </c>
      <c r="F127" s="32" t="s">
        <v>33</v>
      </c>
      <c r="G127" s="33">
        <v>46076</v>
      </c>
      <c r="H127" s="33">
        <v>46076</v>
      </c>
      <c r="I127" s="33">
        <v>46106</v>
      </c>
      <c r="J127" s="32" t="s">
        <v>11</v>
      </c>
      <c r="K127" s="34">
        <v>147012.25</v>
      </c>
      <c r="L127" s="34">
        <v>144129.66</v>
      </c>
      <c r="M127" s="34">
        <v>2882.59</v>
      </c>
      <c r="N127" s="34">
        <v>0</v>
      </c>
      <c r="O127" s="34">
        <v>0</v>
      </c>
      <c r="P127" s="34">
        <v>147012.25</v>
      </c>
      <c r="Q127" s="34">
        <v>147012.25</v>
      </c>
      <c r="R127" s="34">
        <v>147012.25</v>
      </c>
      <c r="S127" s="34">
        <v>2884.1652900993099</v>
      </c>
      <c r="T127" s="34">
        <v>147012.25</v>
      </c>
      <c r="U127" s="35">
        <v>147012.25</v>
      </c>
      <c r="V127" s="35">
        <v>0</v>
      </c>
      <c r="W127" s="35">
        <v>0</v>
      </c>
      <c r="X127" s="35">
        <v>0</v>
      </c>
      <c r="Y127" s="35">
        <v>0</v>
      </c>
      <c r="Z127" s="35">
        <v>0</v>
      </c>
      <c r="AA127" s="35">
        <v>0</v>
      </c>
      <c r="AB127" s="35">
        <v>0</v>
      </c>
      <c r="AC127" s="35">
        <v>0</v>
      </c>
      <c r="AD127" s="35">
        <v>0</v>
      </c>
      <c r="AE127" s="35">
        <v>0</v>
      </c>
      <c r="AF127" s="35">
        <v>0</v>
      </c>
      <c r="AG127" s="35">
        <v>0</v>
      </c>
      <c r="AH127" s="35">
        <v>0</v>
      </c>
      <c r="AI127" s="36">
        <v>2884.1652900993099</v>
      </c>
      <c r="AJ127" s="36">
        <v>0</v>
      </c>
      <c r="AK127" s="36">
        <v>0</v>
      </c>
      <c r="AL127" s="36">
        <v>0</v>
      </c>
      <c r="AM127" s="36">
        <v>0</v>
      </c>
      <c r="AN127" s="36">
        <v>0</v>
      </c>
      <c r="AO127" s="36">
        <v>0</v>
      </c>
      <c r="AP127" s="36">
        <v>0</v>
      </c>
      <c r="AQ127" s="36">
        <v>0</v>
      </c>
      <c r="AR127" s="36">
        <v>0</v>
      </c>
      <c r="AS127" s="36">
        <v>0</v>
      </c>
      <c r="AT127" s="36">
        <v>0</v>
      </c>
      <c r="AU127" s="36">
        <v>0</v>
      </c>
      <c r="AV127" s="36">
        <v>0</v>
      </c>
      <c r="AW127" s="37">
        <v>147012.25</v>
      </c>
      <c r="AX127" s="37">
        <v>0</v>
      </c>
      <c r="AY127" s="37">
        <v>0</v>
      </c>
      <c r="AZ127" s="37">
        <v>0</v>
      </c>
      <c r="BA127" s="37">
        <v>0</v>
      </c>
      <c r="BB127" s="37">
        <v>0</v>
      </c>
      <c r="BC127" s="37">
        <v>0</v>
      </c>
      <c r="BD127" s="37">
        <v>0</v>
      </c>
      <c r="BE127" s="37">
        <v>0</v>
      </c>
      <c r="BF127" s="37">
        <v>0</v>
      </c>
      <c r="BG127" s="37">
        <v>0</v>
      </c>
      <c r="BH127" s="37">
        <v>0</v>
      </c>
      <c r="BI127" s="37">
        <v>0</v>
      </c>
      <c r="BJ127" s="37">
        <v>0</v>
      </c>
      <c r="BK127" s="32" t="s">
        <v>12</v>
      </c>
      <c r="BL127" s="32" t="s">
        <v>13</v>
      </c>
      <c r="BM127" s="33">
        <v>46074.920185185183</v>
      </c>
      <c r="BN127" s="32" t="s">
        <v>28</v>
      </c>
      <c r="BO127" s="32" t="s">
        <v>29</v>
      </c>
      <c r="BP127" s="38">
        <v>-1</v>
      </c>
      <c r="BQ127" s="42"/>
      <c r="BR127" s="39">
        <v>-1</v>
      </c>
      <c r="BS127" s="22" t="s">
        <v>221</v>
      </c>
      <c r="BT127" s="4" t="str">
        <f t="shared" si="5"/>
        <v>120</v>
      </c>
      <c r="BU127" s="4" t="str">
        <f t="shared" si="5"/>
        <v>-1</v>
      </c>
      <c r="BV127" s="4">
        <f t="shared" si="6"/>
        <v>30</v>
      </c>
      <c r="BW127" s="29">
        <f t="shared" si="7"/>
        <v>-147012.25</v>
      </c>
      <c r="BX127" s="4">
        <v>51.49</v>
      </c>
      <c r="BY127" s="29">
        <f t="shared" si="8"/>
        <v>-207.38796582191782</v>
      </c>
    </row>
    <row r="128" spans="1:77" ht="15" hidden="1" customHeight="1" x14ac:dyDescent="0.35">
      <c r="A128" s="32" t="s">
        <v>217</v>
      </c>
      <c r="B128" s="32" t="s">
        <v>633</v>
      </c>
      <c r="C128" s="32" t="s">
        <v>16</v>
      </c>
      <c r="D128" s="32" t="s">
        <v>630</v>
      </c>
      <c r="E128" s="32" t="s">
        <v>113</v>
      </c>
      <c r="F128" s="32" t="s">
        <v>631</v>
      </c>
      <c r="G128" s="33">
        <v>46076</v>
      </c>
      <c r="H128" s="33">
        <v>46076</v>
      </c>
      <c r="I128" s="33">
        <v>46083</v>
      </c>
      <c r="J128" s="32" t="s">
        <v>11</v>
      </c>
      <c r="K128" s="34">
        <v>53126.46</v>
      </c>
      <c r="L128" s="34">
        <v>44272.05</v>
      </c>
      <c r="M128" s="34">
        <v>8854.41</v>
      </c>
      <c r="N128" s="34">
        <v>0</v>
      </c>
      <c r="O128" s="34">
        <v>0</v>
      </c>
      <c r="P128" s="34">
        <v>53126.46</v>
      </c>
      <c r="Q128" s="34">
        <v>0</v>
      </c>
      <c r="R128" s="34">
        <v>53126.46</v>
      </c>
      <c r="S128" s="34">
        <v>1042.26342986962</v>
      </c>
      <c r="T128" s="34">
        <v>53126.46</v>
      </c>
      <c r="U128" s="35">
        <v>0</v>
      </c>
      <c r="V128" s="35">
        <v>0</v>
      </c>
      <c r="W128" s="35">
        <v>0</v>
      </c>
      <c r="X128" s="35">
        <v>0</v>
      </c>
      <c r="Y128" s="35">
        <v>0</v>
      </c>
      <c r="Z128" s="35">
        <v>0</v>
      </c>
      <c r="AA128" s="35">
        <v>0</v>
      </c>
      <c r="AB128" s="35">
        <v>0</v>
      </c>
      <c r="AC128" s="35">
        <v>53126.46</v>
      </c>
      <c r="AD128" s="35">
        <v>0</v>
      </c>
      <c r="AE128" s="35">
        <v>0</v>
      </c>
      <c r="AF128" s="35">
        <v>0</v>
      </c>
      <c r="AG128" s="35">
        <v>0</v>
      </c>
      <c r="AH128" s="35">
        <v>0</v>
      </c>
      <c r="AI128" s="36">
        <v>0</v>
      </c>
      <c r="AJ128" s="36">
        <v>0</v>
      </c>
      <c r="AK128" s="36">
        <v>0</v>
      </c>
      <c r="AL128" s="36">
        <v>0</v>
      </c>
      <c r="AM128" s="36">
        <v>0</v>
      </c>
      <c r="AN128" s="36">
        <v>0</v>
      </c>
      <c r="AO128" s="36">
        <v>0</v>
      </c>
      <c r="AP128" s="36">
        <v>0</v>
      </c>
      <c r="AQ128" s="36">
        <v>1042.26342986962</v>
      </c>
      <c r="AR128" s="36">
        <v>0</v>
      </c>
      <c r="AS128" s="36">
        <v>0</v>
      </c>
      <c r="AT128" s="36">
        <v>0</v>
      </c>
      <c r="AU128" s="36">
        <v>0</v>
      </c>
      <c r="AV128" s="36">
        <v>0</v>
      </c>
      <c r="AW128" s="37">
        <v>0</v>
      </c>
      <c r="AX128" s="37">
        <v>0</v>
      </c>
      <c r="AY128" s="37"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53126.46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2" t="s">
        <v>12</v>
      </c>
      <c r="BL128" s="32" t="s">
        <v>13</v>
      </c>
      <c r="BM128" s="33">
        <v>46076.445902777778</v>
      </c>
      <c r="BN128" s="32" t="s">
        <v>632</v>
      </c>
      <c r="BO128" s="32" t="s">
        <v>15</v>
      </c>
      <c r="BP128" s="38">
        <v>22</v>
      </c>
      <c r="BQ128" s="42"/>
      <c r="BR128" s="39">
        <v>22</v>
      </c>
      <c r="BS128" s="22" t="s">
        <v>220</v>
      </c>
      <c r="BT128" s="4" t="str">
        <f t="shared" si="5"/>
        <v>120</v>
      </c>
      <c r="BU128" s="4" t="str">
        <f t="shared" si="5"/>
        <v>22</v>
      </c>
      <c r="BV128" s="4">
        <f t="shared" si="6"/>
        <v>7</v>
      </c>
      <c r="BW128" s="29">
        <f t="shared" si="7"/>
        <v>1168782.1199999999</v>
      </c>
      <c r="BX128" s="4">
        <v>51.49</v>
      </c>
      <c r="BY128" s="29">
        <f t="shared" si="8"/>
        <v>1648.7833248986299</v>
      </c>
    </row>
    <row r="129" spans="1:77" ht="15" hidden="1" customHeight="1" x14ac:dyDescent="0.35">
      <c r="A129" s="32" t="s">
        <v>217</v>
      </c>
      <c r="B129" s="32" t="s">
        <v>634</v>
      </c>
      <c r="C129" s="32" t="s">
        <v>16</v>
      </c>
      <c r="D129" s="32" t="s">
        <v>635</v>
      </c>
      <c r="E129" s="32" t="s">
        <v>252</v>
      </c>
      <c r="F129" s="32" t="s">
        <v>46</v>
      </c>
      <c r="G129" s="33">
        <v>46077</v>
      </c>
      <c r="H129" s="33">
        <v>46077</v>
      </c>
      <c r="I129" s="33">
        <v>46092</v>
      </c>
      <c r="J129" s="32" t="s">
        <v>11</v>
      </c>
      <c r="K129" s="34">
        <v>272481.71000000002</v>
      </c>
      <c r="L129" s="34">
        <v>267138.93</v>
      </c>
      <c r="M129" s="34">
        <v>5342.78</v>
      </c>
      <c r="N129" s="34">
        <v>0</v>
      </c>
      <c r="O129" s="34">
        <v>0</v>
      </c>
      <c r="P129" s="34">
        <v>272481.71000000002</v>
      </c>
      <c r="Q129" s="34">
        <v>0</v>
      </c>
      <c r="R129" s="34">
        <v>272481.71000000002</v>
      </c>
      <c r="S129" s="34">
        <v>5345.6925539804097</v>
      </c>
      <c r="T129" s="34">
        <v>272481.71000000002</v>
      </c>
      <c r="U129" s="35">
        <v>0</v>
      </c>
      <c r="V129" s="35">
        <v>0</v>
      </c>
      <c r="W129" s="35">
        <v>0</v>
      </c>
      <c r="X129" s="35">
        <v>0</v>
      </c>
      <c r="Y129" s="35">
        <v>0</v>
      </c>
      <c r="Z129" s="35">
        <v>0</v>
      </c>
      <c r="AA129" s="35">
        <v>0</v>
      </c>
      <c r="AB129" s="35">
        <v>272481.71000000002</v>
      </c>
      <c r="AC129" s="35">
        <v>0</v>
      </c>
      <c r="AD129" s="35">
        <v>0</v>
      </c>
      <c r="AE129" s="35">
        <v>0</v>
      </c>
      <c r="AF129" s="35">
        <v>0</v>
      </c>
      <c r="AG129" s="35">
        <v>0</v>
      </c>
      <c r="AH129" s="35">
        <v>0</v>
      </c>
      <c r="AI129" s="36">
        <v>0</v>
      </c>
      <c r="AJ129" s="36">
        <v>0</v>
      </c>
      <c r="AK129" s="36">
        <v>0</v>
      </c>
      <c r="AL129" s="36">
        <v>0</v>
      </c>
      <c r="AM129" s="36">
        <v>0</v>
      </c>
      <c r="AN129" s="36">
        <v>0</v>
      </c>
      <c r="AO129" s="36">
        <v>0</v>
      </c>
      <c r="AP129" s="36">
        <v>5345.6925539804097</v>
      </c>
      <c r="AQ129" s="36">
        <v>0</v>
      </c>
      <c r="AR129" s="36">
        <v>0</v>
      </c>
      <c r="AS129" s="36">
        <v>0</v>
      </c>
      <c r="AT129" s="36">
        <v>0</v>
      </c>
      <c r="AU129" s="36">
        <v>0</v>
      </c>
      <c r="AV129" s="36">
        <v>0</v>
      </c>
      <c r="AW129" s="37">
        <v>0</v>
      </c>
      <c r="AX129" s="37">
        <v>0</v>
      </c>
      <c r="AY129" s="37">
        <v>0</v>
      </c>
      <c r="AZ129" s="37">
        <v>0</v>
      </c>
      <c r="BA129" s="37">
        <v>0</v>
      </c>
      <c r="BB129" s="37">
        <v>0</v>
      </c>
      <c r="BC129" s="37">
        <v>0</v>
      </c>
      <c r="BD129" s="37">
        <v>272481.71000000002</v>
      </c>
      <c r="BE129" s="37">
        <v>0</v>
      </c>
      <c r="BF129" s="37">
        <v>0</v>
      </c>
      <c r="BG129" s="37">
        <v>0</v>
      </c>
      <c r="BH129" s="37">
        <v>0</v>
      </c>
      <c r="BI129" s="37">
        <v>0</v>
      </c>
      <c r="BJ129" s="37">
        <v>0</v>
      </c>
      <c r="BK129" s="32" t="s">
        <v>12</v>
      </c>
      <c r="BL129" s="32" t="s">
        <v>13</v>
      </c>
      <c r="BM129" s="33">
        <v>46076.864895833336</v>
      </c>
      <c r="BN129" s="32" t="s">
        <v>28</v>
      </c>
      <c r="BO129" s="32" t="s">
        <v>29</v>
      </c>
      <c r="BP129" s="38">
        <v>13</v>
      </c>
      <c r="BQ129" s="42"/>
      <c r="BR129" s="39">
        <v>13</v>
      </c>
      <c r="BS129" s="22" t="s">
        <v>220</v>
      </c>
      <c r="BT129" s="4" t="str">
        <f t="shared" si="5"/>
        <v>120</v>
      </c>
      <c r="BU129" s="4" t="str">
        <f t="shared" si="5"/>
        <v>13</v>
      </c>
      <c r="BV129" s="4">
        <f t="shared" si="6"/>
        <v>15</v>
      </c>
      <c r="BW129" s="29">
        <f t="shared" si="7"/>
        <v>3542262.2300000004</v>
      </c>
      <c r="BX129" s="4">
        <v>51.49</v>
      </c>
      <c r="BY129" s="29">
        <f t="shared" si="8"/>
        <v>4997.0159513068502</v>
      </c>
    </row>
    <row r="130" spans="1:77" ht="15" hidden="1" customHeight="1" x14ac:dyDescent="0.35">
      <c r="A130" s="32" t="s">
        <v>217</v>
      </c>
      <c r="B130" s="32" t="s">
        <v>636</v>
      </c>
      <c r="C130" s="32" t="s">
        <v>16</v>
      </c>
      <c r="D130" s="32" t="s">
        <v>50</v>
      </c>
      <c r="E130" s="32" t="s">
        <v>51</v>
      </c>
      <c r="F130" s="32" t="s">
        <v>52</v>
      </c>
      <c r="G130" s="33">
        <v>46077</v>
      </c>
      <c r="H130" s="33">
        <v>46077</v>
      </c>
      <c r="I130" s="33">
        <v>46137</v>
      </c>
      <c r="J130" s="32" t="s">
        <v>11</v>
      </c>
      <c r="K130" s="34">
        <v>96812.55</v>
      </c>
      <c r="L130" s="34">
        <v>94914.27</v>
      </c>
      <c r="M130" s="34">
        <v>1898.28</v>
      </c>
      <c r="N130" s="34">
        <v>0</v>
      </c>
      <c r="O130" s="34">
        <v>0</v>
      </c>
      <c r="P130" s="34">
        <v>96812.55</v>
      </c>
      <c r="Q130" s="34">
        <v>96812.55</v>
      </c>
      <c r="R130" s="34">
        <v>96812.55</v>
      </c>
      <c r="S130" s="34">
        <v>1899.3206100580301</v>
      </c>
      <c r="T130" s="34">
        <v>96812.55</v>
      </c>
      <c r="U130" s="35">
        <v>0</v>
      </c>
      <c r="V130" s="35">
        <v>0</v>
      </c>
      <c r="W130" s="35">
        <v>96812.55</v>
      </c>
      <c r="X130" s="35">
        <v>0</v>
      </c>
      <c r="Y130" s="35">
        <v>0</v>
      </c>
      <c r="Z130" s="35">
        <v>0</v>
      </c>
      <c r="AA130" s="35">
        <v>0</v>
      </c>
      <c r="AB130" s="35">
        <v>0</v>
      </c>
      <c r="AC130" s="35">
        <v>0</v>
      </c>
      <c r="AD130" s="35">
        <v>0</v>
      </c>
      <c r="AE130" s="35">
        <v>0</v>
      </c>
      <c r="AF130" s="35">
        <v>0</v>
      </c>
      <c r="AG130" s="35">
        <v>0</v>
      </c>
      <c r="AH130" s="35">
        <v>0</v>
      </c>
      <c r="AI130" s="36">
        <v>0</v>
      </c>
      <c r="AJ130" s="36">
        <v>0</v>
      </c>
      <c r="AK130" s="36">
        <v>1899.3206100580301</v>
      </c>
      <c r="AL130" s="36">
        <v>0</v>
      </c>
      <c r="AM130" s="36">
        <v>0</v>
      </c>
      <c r="AN130" s="36">
        <v>0</v>
      </c>
      <c r="AO130" s="36">
        <v>0</v>
      </c>
      <c r="AP130" s="36">
        <v>0</v>
      </c>
      <c r="AQ130" s="36">
        <v>0</v>
      </c>
      <c r="AR130" s="36">
        <v>0</v>
      </c>
      <c r="AS130" s="36">
        <v>0</v>
      </c>
      <c r="AT130" s="36">
        <v>0</v>
      </c>
      <c r="AU130" s="36">
        <v>0</v>
      </c>
      <c r="AV130" s="36">
        <v>0</v>
      </c>
      <c r="AW130" s="37">
        <v>0</v>
      </c>
      <c r="AX130" s="37">
        <v>0</v>
      </c>
      <c r="AY130" s="37">
        <v>96812.55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2" t="s">
        <v>12</v>
      </c>
      <c r="BL130" s="32" t="s">
        <v>13</v>
      </c>
      <c r="BM130" s="33">
        <v>46076.867719907408</v>
      </c>
      <c r="BN130" s="32" t="s">
        <v>28</v>
      </c>
      <c r="BO130" s="32" t="s">
        <v>29</v>
      </c>
      <c r="BP130" s="38">
        <v>-32</v>
      </c>
      <c r="BQ130" s="42"/>
      <c r="BR130" s="39">
        <v>-32</v>
      </c>
      <c r="BS130" s="22" t="s">
        <v>221</v>
      </c>
      <c r="BT130" s="4" t="str">
        <f t="shared" ref="BT130:BU193" si="9">LEFT(BO130,3)</f>
        <v>120</v>
      </c>
      <c r="BU130" s="4" t="str">
        <f t="shared" si="9"/>
        <v>-32</v>
      </c>
      <c r="BV130" s="4">
        <f t="shared" si="6"/>
        <v>60</v>
      </c>
      <c r="BW130" s="29">
        <f t="shared" si="7"/>
        <v>-3098001.6</v>
      </c>
      <c r="BX130" s="4">
        <v>51.49</v>
      </c>
      <c r="BY130" s="29">
        <f t="shared" si="8"/>
        <v>-4370.3041749041095</v>
      </c>
    </row>
    <row r="131" spans="1:77" ht="15" hidden="1" customHeight="1" x14ac:dyDescent="0.35">
      <c r="A131" s="32" t="s">
        <v>217</v>
      </c>
      <c r="B131" s="32" t="s">
        <v>637</v>
      </c>
      <c r="C131" s="32" t="s">
        <v>16</v>
      </c>
      <c r="D131" s="32" t="s">
        <v>44</v>
      </c>
      <c r="E131" s="32" t="s">
        <v>45</v>
      </c>
      <c r="F131" s="32" t="s">
        <v>46</v>
      </c>
      <c r="G131" s="33">
        <v>46077</v>
      </c>
      <c r="H131" s="33">
        <v>46077</v>
      </c>
      <c r="I131" s="33">
        <v>46097</v>
      </c>
      <c r="J131" s="32" t="s">
        <v>11</v>
      </c>
      <c r="K131" s="34">
        <v>986970</v>
      </c>
      <c r="L131" s="34">
        <v>822475</v>
      </c>
      <c r="M131" s="34">
        <v>164495</v>
      </c>
      <c r="N131" s="34">
        <v>0</v>
      </c>
      <c r="O131" s="34">
        <v>0</v>
      </c>
      <c r="P131" s="34">
        <v>986970</v>
      </c>
      <c r="Q131" s="34">
        <v>0</v>
      </c>
      <c r="R131" s="34">
        <v>986970</v>
      </c>
      <c r="S131" s="34">
        <v>19362.907624155901</v>
      </c>
      <c r="T131" s="34">
        <v>986970</v>
      </c>
      <c r="U131" s="35">
        <v>0</v>
      </c>
      <c r="V131" s="35">
        <v>0</v>
      </c>
      <c r="W131" s="35">
        <v>0</v>
      </c>
      <c r="X131" s="35">
        <v>0</v>
      </c>
      <c r="Y131" s="35">
        <v>0</v>
      </c>
      <c r="Z131" s="35">
        <v>0</v>
      </c>
      <c r="AA131" s="35">
        <v>0</v>
      </c>
      <c r="AB131" s="35">
        <v>986970</v>
      </c>
      <c r="AC131" s="35">
        <v>0</v>
      </c>
      <c r="AD131" s="35">
        <v>0</v>
      </c>
      <c r="AE131" s="35">
        <v>0</v>
      </c>
      <c r="AF131" s="35">
        <v>0</v>
      </c>
      <c r="AG131" s="35">
        <v>0</v>
      </c>
      <c r="AH131" s="35">
        <v>0</v>
      </c>
      <c r="AI131" s="36">
        <v>0</v>
      </c>
      <c r="AJ131" s="36">
        <v>0</v>
      </c>
      <c r="AK131" s="36">
        <v>0</v>
      </c>
      <c r="AL131" s="36">
        <v>0</v>
      </c>
      <c r="AM131" s="36">
        <v>0</v>
      </c>
      <c r="AN131" s="36">
        <v>0</v>
      </c>
      <c r="AO131" s="36">
        <v>0</v>
      </c>
      <c r="AP131" s="36">
        <v>19362.907624155901</v>
      </c>
      <c r="AQ131" s="36">
        <v>0</v>
      </c>
      <c r="AR131" s="36">
        <v>0</v>
      </c>
      <c r="AS131" s="36">
        <v>0</v>
      </c>
      <c r="AT131" s="36">
        <v>0</v>
      </c>
      <c r="AU131" s="36">
        <v>0</v>
      </c>
      <c r="AV131" s="36">
        <v>0</v>
      </c>
      <c r="AW131" s="37">
        <v>0</v>
      </c>
      <c r="AX131" s="37">
        <v>0</v>
      </c>
      <c r="AY131" s="37">
        <v>0</v>
      </c>
      <c r="AZ131" s="37">
        <v>0</v>
      </c>
      <c r="BA131" s="37">
        <v>0</v>
      </c>
      <c r="BB131" s="37">
        <v>0</v>
      </c>
      <c r="BC131" s="37">
        <v>0</v>
      </c>
      <c r="BD131" s="37">
        <v>986970</v>
      </c>
      <c r="BE131" s="37">
        <v>0</v>
      </c>
      <c r="BF131" s="37">
        <v>0</v>
      </c>
      <c r="BG131" s="37">
        <v>0</v>
      </c>
      <c r="BH131" s="37">
        <v>0</v>
      </c>
      <c r="BI131" s="37">
        <v>0</v>
      </c>
      <c r="BJ131" s="37">
        <v>0</v>
      </c>
      <c r="BK131" s="32" t="s">
        <v>12</v>
      </c>
      <c r="BL131" s="32" t="s">
        <v>13</v>
      </c>
      <c r="BM131" s="33">
        <v>46076.867928240739</v>
      </c>
      <c r="BN131" s="32" t="s">
        <v>28</v>
      </c>
      <c r="BO131" s="32" t="s">
        <v>29</v>
      </c>
      <c r="BP131" s="38">
        <v>8</v>
      </c>
      <c r="BQ131" s="42"/>
      <c r="BR131" s="39">
        <v>8</v>
      </c>
      <c r="BS131" s="22" t="s">
        <v>220</v>
      </c>
      <c r="BT131" s="4" t="str">
        <f t="shared" si="9"/>
        <v>120</v>
      </c>
      <c r="BU131" s="4" t="str">
        <f t="shared" si="9"/>
        <v>8</v>
      </c>
      <c r="BV131" s="4">
        <f t="shared" ref="BV131:BV194" si="10">I131-H131</f>
        <v>20</v>
      </c>
      <c r="BW131" s="29">
        <f t="shared" ref="BW131:BW194" si="11">BP131*R131</f>
        <v>7895760</v>
      </c>
      <c r="BX131" s="4">
        <v>51.49</v>
      </c>
      <c r="BY131" s="29">
        <f t="shared" ref="BY131:BY194" si="12">BW131*BX131/36500</f>
        <v>11138.429654794521</v>
      </c>
    </row>
    <row r="132" spans="1:77" ht="15" hidden="1" customHeight="1" x14ac:dyDescent="0.35">
      <c r="A132" s="32" t="s">
        <v>217</v>
      </c>
      <c r="B132" s="32" t="s">
        <v>638</v>
      </c>
      <c r="C132" s="32" t="s">
        <v>16</v>
      </c>
      <c r="D132" s="32" t="s">
        <v>85</v>
      </c>
      <c r="E132" s="32" t="s">
        <v>86</v>
      </c>
      <c r="F132" s="32" t="s">
        <v>46</v>
      </c>
      <c r="G132" s="33">
        <v>46077</v>
      </c>
      <c r="H132" s="33">
        <v>46077</v>
      </c>
      <c r="I132" s="33">
        <v>46092</v>
      </c>
      <c r="J132" s="32" t="s">
        <v>11</v>
      </c>
      <c r="K132" s="34">
        <v>1516828.21</v>
      </c>
      <c r="L132" s="34">
        <v>1264023.51</v>
      </c>
      <c r="M132" s="34">
        <v>252804.7</v>
      </c>
      <c r="N132" s="34">
        <v>0</v>
      </c>
      <c r="O132" s="34">
        <v>0</v>
      </c>
      <c r="P132" s="34">
        <v>1516828.21</v>
      </c>
      <c r="Q132" s="34">
        <v>0</v>
      </c>
      <c r="R132" s="34">
        <v>1516828.21</v>
      </c>
      <c r="S132" s="34">
        <v>29757.9506083708</v>
      </c>
      <c r="T132" s="34">
        <v>1516828.21</v>
      </c>
      <c r="U132" s="35">
        <v>0</v>
      </c>
      <c r="V132" s="35">
        <v>0</v>
      </c>
      <c r="W132" s="35">
        <v>0</v>
      </c>
      <c r="X132" s="35">
        <v>0</v>
      </c>
      <c r="Y132" s="35">
        <v>0</v>
      </c>
      <c r="Z132" s="35">
        <v>0</v>
      </c>
      <c r="AA132" s="35">
        <v>0</v>
      </c>
      <c r="AB132" s="35">
        <v>1516828.21</v>
      </c>
      <c r="AC132" s="35">
        <v>0</v>
      </c>
      <c r="AD132" s="35">
        <v>0</v>
      </c>
      <c r="AE132" s="35">
        <v>0</v>
      </c>
      <c r="AF132" s="35">
        <v>0</v>
      </c>
      <c r="AG132" s="35">
        <v>0</v>
      </c>
      <c r="AH132" s="35">
        <v>0</v>
      </c>
      <c r="AI132" s="36">
        <v>0</v>
      </c>
      <c r="AJ132" s="36">
        <v>0</v>
      </c>
      <c r="AK132" s="36">
        <v>0</v>
      </c>
      <c r="AL132" s="36">
        <v>0</v>
      </c>
      <c r="AM132" s="36">
        <v>0</v>
      </c>
      <c r="AN132" s="36">
        <v>0</v>
      </c>
      <c r="AO132" s="36">
        <v>0</v>
      </c>
      <c r="AP132" s="36">
        <v>29757.9506083708</v>
      </c>
      <c r="AQ132" s="36">
        <v>0</v>
      </c>
      <c r="AR132" s="36">
        <v>0</v>
      </c>
      <c r="AS132" s="36">
        <v>0</v>
      </c>
      <c r="AT132" s="36">
        <v>0</v>
      </c>
      <c r="AU132" s="36">
        <v>0</v>
      </c>
      <c r="AV132" s="36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1516828.21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2" t="s">
        <v>12</v>
      </c>
      <c r="BL132" s="32" t="s">
        <v>13</v>
      </c>
      <c r="BM132" s="33">
        <v>46076.868356481478</v>
      </c>
      <c r="BN132" s="32" t="s">
        <v>28</v>
      </c>
      <c r="BO132" s="32" t="s">
        <v>29</v>
      </c>
      <c r="BP132" s="38">
        <v>13</v>
      </c>
      <c r="BQ132" s="42"/>
      <c r="BR132" s="39">
        <v>13</v>
      </c>
      <c r="BS132" s="22" t="s">
        <v>220</v>
      </c>
      <c r="BT132" s="4" t="str">
        <f t="shared" si="9"/>
        <v>120</v>
      </c>
      <c r="BU132" s="4" t="str">
        <f t="shared" si="9"/>
        <v>13</v>
      </c>
      <c r="BV132" s="4">
        <f t="shared" si="10"/>
        <v>15</v>
      </c>
      <c r="BW132" s="29">
        <f t="shared" si="11"/>
        <v>19718766.73</v>
      </c>
      <c r="BX132" s="4">
        <v>51.49</v>
      </c>
      <c r="BY132" s="29">
        <f t="shared" si="12"/>
        <v>27816.967093909589</v>
      </c>
    </row>
    <row r="133" spans="1:77" ht="15" hidden="1" customHeight="1" x14ac:dyDescent="0.35">
      <c r="A133" s="32" t="s">
        <v>217</v>
      </c>
      <c r="B133" s="32" t="s">
        <v>639</v>
      </c>
      <c r="C133" s="32" t="s">
        <v>16</v>
      </c>
      <c r="D133" s="32" t="s">
        <v>463</v>
      </c>
      <c r="E133" s="32" t="s">
        <v>259</v>
      </c>
      <c r="F133" s="32" t="s">
        <v>464</v>
      </c>
      <c r="G133" s="33">
        <v>46077</v>
      </c>
      <c r="H133" s="33">
        <v>46077</v>
      </c>
      <c r="I133" s="33">
        <v>46092</v>
      </c>
      <c r="J133" s="32" t="s">
        <v>11</v>
      </c>
      <c r="K133" s="34">
        <v>641640.31000000006</v>
      </c>
      <c r="L133" s="34">
        <v>534700.26</v>
      </c>
      <c r="M133" s="34">
        <v>106940.05</v>
      </c>
      <c r="N133" s="34">
        <v>0</v>
      </c>
      <c r="O133" s="34">
        <v>0</v>
      </c>
      <c r="P133" s="34">
        <v>641640.31000000006</v>
      </c>
      <c r="Q133" s="34">
        <v>0</v>
      </c>
      <c r="R133" s="34">
        <v>641640.31000000006</v>
      </c>
      <c r="S133" s="34">
        <v>12588.0442672673</v>
      </c>
      <c r="T133" s="34">
        <v>641640.31000000006</v>
      </c>
      <c r="U133" s="35">
        <v>0</v>
      </c>
      <c r="V133" s="35">
        <v>0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>
        <v>641640.31000000006</v>
      </c>
      <c r="AC133" s="35">
        <v>0</v>
      </c>
      <c r="AD133" s="35">
        <v>0</v>
      </c>
      <c r="AE133" s="35">
        <v>0</v>
      </c>
      <c r="AF133" s="35">
        <v>0</v>
      </c>
      <c r="AG133" s="35">
        <v>0</v>
      </c>
      <c r="AH133" s="35">
        <v>0</v>
      </c>
      <c r="AI133" s="36">
        <v>0</v>
      </c>
      <c r="AJ133" s="36">
        <v>0</v>
      </c>
      <c r="AK133" s="36">
        <v>0</v>
      </c>
      <c r="AL133" s="36">
        <v>0</v>
      </c>
      <c r="AM133" s="36">
        <v>0</v>
      </c>
      <c r="AN133" s="36">
        <v>0</v>
      </c>
      <c r="AO133" s="36">
        <v>0</v>
      </c>
      <c r="AP133" s="36">
        <v>12588.0442672673</v>
      </c>
      <c r="AQ133" s="36">
        <v>0</v>
      </c>
      <c r="AR133" s="36">
        <v>0</v>
      </c>
      <c r="AS133" s="36">
        <v>0</v>
      </c>
      <c r="AT133" s="36">
        <v>0</v>
      </c>
      <c r="AU133" s="36">
        <v>0</v>
      </c>
      <c r="AV133" s="36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641640.31000000006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2" t="s">
        <v>12</v>
      </c>
      <c r="BL133" s="32" t="s">
        <v>13</v>
      </c>
      <c r="BM133" s="33">
        <v>46076.868564814817</v>
      </c>
      <c r="BN133" s="32" t="s">
        <v>28</v>
      </c>
      <c r="BO133" s="32" t="s">
        <v>29</v>
      </c>
      <c r="BP133" s="38">
        <v>13</v>
      </c>
      <c r="BQ133" s="42"/>
      <c r="BR133" s="39">
        <v>13</v>
      </c>
      <c r="BS133" s="22" t="s">
        <v>220</v>
      </c>
      <c r="BT133" s="4" t="str">
        <f t="shared" si="9"/>
        <v>120</v>
      </c>
      <c r="BU133" s="4" t="str">
        <f t="shared" si="9"/>
        <v>13</v>
      </c>
      <c r="BV133" s="4">
        <f t="shared" si="10"/>
        <v>15</v>
      </c>
      <c r="BW133" s="29">
        <f t="shared" si="11"/>
        <v>8341324.0300000012</v>
      </c>
      <c r="BX133" s="4">
        <v>51.49</v>
      </c>
      <c r="BY133" s="29">
        <f t="shared" si="12"/>
        <v>11766.980117936988</v>
      </c>
    </row>
    <row r="134" spans="1:77" ht="15" hidden="1" customHeight="1" x14ac:dyDescent="0.35">
      <c r="A134" s="32" t="s">
        <v>217</v>
      </c>
      <c r="B134" s="32" t="s">
        <v>640</v>
      </c>
      <c r="C134" s="32" t="s">
        <v>16</v>
      </c>
      <c r="D134" s="32" t="s">
        <v>316</v>
      </c>
      <c r="E134" s="32" t="s">
        <v>317</v>
      </c>
      <c r="F134" s="32" t="s">
        <v>46</v>
      </c>
      <c r="G134" s="33">
        <v>46077</v>
      </c>
      <c r="H134" s="33">
        <v>46077</v>
      </c>
      <c r="I134" s="33">
        <v>46107</v>
      </c>
      <c r="J134" s="32" t="s">
        <v>11</v>
      </c>
      <c r="K134" s="34">
        <v>582835.12</v>
      </c>
      <c r="L134" s="34">
        <v>571406.98</v>
      </c>
      <c r="M134" s="34">
        <v>11428.14</v>
      </c>
      <c r="N134" s="34">
        <v>0</v>
      </c>
      <c r="O134" s="34">
        <v>0</v>
      </c>
      <c r="P134" s="34">
        <v>582835.12</v>
      </c>
      <c r="Q134" s="34">
        <v>582835.12</v>
      </c>
      <c r="R134" s="34">
        <v>582835.12</v>
      </c>
      <c r="S134" s="34">
        <v>11434.372461851801</v>
      </c>
      <c r="T134" s="34">
        <v>582835.12</v>
      </c>
      <c r="U134" s="35">
        <v>582835.12</v>
      </c>
      <c r="V134" s="35">
        <v>0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6">
        <v>11434.372461851801</v>
      </c>
      <c r="AJ134" s="36">
        <v>0</v>
      </c>
      <c r="AK134" s="36">
        <v>0</v>
      </c>
      <c r="AL134" s="36">
        <v>0</v>
      </c>
      <c r="AM134" s="36">
        <v>0</v>
      </c>
      <c r="AN134" s="36">
        <v>0</v>
      </c>
      <c r="AO134" s="36">
        <v>0</v>
      </c>
      <c r="AP134" s="36">
        <v>0</v>
      </c>
      <c r="AQ134" s="36">
        <v>0</v>
      </c>
      <c r="AR134" s="36">
        <v>0</v>
      </c>
      <c r="AS134" s="36">
        <v>0</v>
      </c>
      <c r="AT134" s="36">
        <v>0</v>
      </c>
      <c r="AU134" s="36">
        <v>0</v>
      </c>
      <c r="AV134" s="36">
        <v>0</v>
      </c>
      <c r="AW134" s="37">
        <v>582835.12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2" t="s">
        <v>12</v>
      </c>
      <c r="BL134" s="32" t="s">
        <v>13</v>
      </c>
      <c r="BM134" s="33">
        <v>46076.870034722226</v>
      </c>
      <c r="BN134" s="32" t="s">
        <v>28</v>
      </c>
      <c r="BO134" s="32" t="s">
        <v>29</v>
      </c>
      <c r="BP134" s="38">
        <v>-2</v>
      </c>
      <c r="BQ134" s="42"/>
      <c r="BR134" s="39">
        <v>-2</v>
      </c>
      <c r="BS134" s="22" t="s">
        <v>221</v>
      </c>
      <c r="BT134" s="4" t="str">
        <f t="shared" si="9"/>
        <v>120</v>
      </c>
      <c r="BU134" s="4" t="str">
        <f t="shared" si="9"/>
        <v>-2</v>
      </c>
      <c r="BV134" s="4">
        <f t="shared" si="10"/>
        <v>30</v>
      </c>
      <c r="BW134" s="29">
        <f t="shared" si="11"/>
        <v>-1165670.24</v>
      </c>
      <c r="BX134" s="4">
        <v>51.49</v>
      </c>
      <c r="BY134" s="29">
        <f t="shared" si="12"/>
        <v>-1644.3934426739727</v>
      </c>
    </row>
    <row r="135" spans="1:77" ht="15" hidden="1" customHeight="1" x14ac:dyDescent="0.35">
      <c r="A135" s="32" t="s">
        <v>217</v>
      </c>
      <c r="B135" s="32" t="s">
        <v>641</v>
      </c>
      <c r="C135" s="32" t="s">
        <v>16</v>
      </c>
      <c r="D135" s="32" t="s">
        <v>316</v>
      </c>
      <c r="E135" s="32" t="s">
        <v>317</v>
      </c>
      <c r="F135" s="32" t="s">
        <v>46</v>
      </c>
      <c r="G135" s="33">
        <v>46077</v>
      </c>
      <c r="H135" s="33">
        <v>46077</v>
      </c>
      <c r="I135" s="33">
        <v>46107</v>
      </c>
      <c r="J135" s="32" t="s">
        <v>11</v>
      </c>
      <c r="K135" s="34">
        <v>137120.60999999999</v>
      </c>
      <c r="L135" s="34">
        <v>134431.97</v>
      </c>
      <c r="M135" s="34">
        <v>2688.64</v>
      </c>
      <c r="N135" s="34">
        <v>0</v>
      </c>
      <c r="O135" s="34">
        <v>0</v>
      </c>
      <c r="P135" s="34">
        <v>137120.60999999999</v>
      </c>
      <c r="Q135" s="34">
        <v>137120.60999999999</v>
      </c>
      <c r="R135" s="34">
        <v>137120.60999999999</v>
      </c>
      <c r="S135" s="34">
        <v>2690.1057831523799</v>
      </c>
      <c r="T135" s="34">
        <v>137120.60999999999</v>
      </c>
      <c r="U135" s="35">
        <v>137120.60999999999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0</v>
      </c>
      <c r="AH135" s="35">
        <v>0</v>
      </c>
      <c r="AI135" s="36">
        <v>2690.1057831523799</v>
      </c>
      <c r="AJ135" s="36">
        <v>0</v>
      </c>
      <c r="AK135" s="36">
        <v>0</v>
      </c>
      <c r="AL135" s="36">
        <v>0</v>
      </c>
      <c r="AM135" s="36">
        <v>0</v>
      </c>
      <c r="AN135" s="36">
        <v>0</v>
      </c>
      <c r="AO135" s="36">
        <v>0</v>
      </c>
      <c r="AP135" s="36">
        <v>0</v>
      </c>
      <c r="AQ135" s="36">
        <v>0</v>
      </c>
      <c r="AR135" s="36">
        <v>0</v>
      </c>
      <c r="AS135" s="36">
        <v>0</v>
      </c>
      <c r="AT135" s="36">
        <v>0</v>
      </c>
      <c r="AU135" s="36">
        <v>0</v>
      </c>
      <c r="AV135" s="36">
        <v>0</v>
      </c>
      <c r="AW135" s="37">
        <v>137120.60999999999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  <c r="BH135" s="37">
        <v>0</v>
      </c>
      <c r="BI135" s="37">
        <v>0</v>
      </c>
      <c r="BJ135" s="37">
        <v>0</v>
      </c>
      <c r="BK135" s="32" t="s">
        <v>12</v>
      </c>
      <c r="BL135" s="32" t="s">
        <v>13</v>
      </c>
      <c r="BM135" s="33">
        <v>46076.870243055557</v>
      </c>
      <c r="BN135" s="32" t="s">
        <v>28</v>
      </c>
      <c r="BO135" s="32" t="s">
        <v>29</v>
      </c>
      <c r="BP135" s="38">
        <v>-2</v>
      </c>
      <c r="BQ135" s="42"/>
      <c r="BR135" s="39">
        <v>-2</v>
      </c>
      <c r="BS135" s="22" t="s">
        <v>221</v>
      </c>
      <c r="BT135" s="4" t="str">
        <f t="shared" si="9"/>
        <v>120</v>
      </c>
      <c r="BU135" s="4" t="str">
        <f t="shared" si="9"/>
        <v>-2</v>
      </c>
      <c r="BV135" s="4">
        <f t="shared" si="10"/>
        <v>30</v>
      </c>
      <c r="BW135" s="29">
        <f t="shared" si="11"/>
        <v>-274241.21999999997</v>
      </c>
      <c r="BX135" s="4">
        <v>51.49</v>
      </c>
      <c r="BY135" s="29">
        <f t="shared" si="12"/>
        <v>-386.86795665205477</v>
      </c>
    </row>
    <row r="136" spans="1:77" ht="15" hidden="1" customHeight="1" x14ac:dyDescent="0.35">
      <c r="A136" s="32" t="s">
        <v>217</v>
      </c>
      <c r="B136" s="32" t="s">
        <v>642</v>
      </c>
      <c r="C136" s="32" t="s">
        <v>16</v>
      </c>
      <c r="D136" s="32" t="s">
        <v>427</v>
      </c>
      <c r="E136" s="32" t="s">
        <v>428</v>
      </c>
      <c r="F136" s="32" t="s">
        <v>46</v>
      </c>
      <c r="G136" s="33">
        <v>46077</v>
      </c>
      <c r="H136" s="33">
        <v>46077</v>
      </c>
      <c r="I136" s="33">
        <v>46092</v>
      </c>
      <c r="J136" s="32" t="s">
        <v>11</v>
      </c>
      <c r="K136" s="34">
        <v>377273.5</v>
      </c>
      <c r="L136" s="34">
        <v>369875.98</v>
      </c>
      <c r="M136" s="34">
        <v>7397.52</v>
      </c>
      <c r="N136" s="34">
        <v>377273.49</v>
      </c>
      <c r="O136" s="34">
        <v>0</v>
      </c>
      <c r="P136" s="34">
        <v>0.01</v>
      </c>
      <c r="Q136" s="34">
        <v>0</v>
      </c>
      <c r="R136" s="34">
        <v>0.01</v>
      </c>
      <c r="S136" s="34">
        <v>1.9618537163394899E-4</v>
      </c>
      <c r="T136" s="34">
        <v>0.01</v>
      </c>
      <c r="U136" s="35">
        <v>0</v>
      </c>
      <c r="V136" s="35">
        <v>0</v>
      </c>
      <c r="W136" s="35">
        <v>0</v>
      </c>
      <c r="X136" s="35">
        <v>0</v>
      </c>
      <c r="Y136" s="35">
        <v>0</v>
      </c>
      <c r="Z136" s="35">
        <v>0</v>
      </c>
      <c r="AA136" s="35">
        <v>0</v>
      </c>
      <c r="AB136" s="35">
        <v>0.01</v>
      </c>
      <c r="AC136" s="35">
        <v>0</v>
      </c>
      <c r="AD136" s="35">
        <v>0</v>
      </c>
      <c r="AE136" s="35">
        <v>0</v>
      </c>
      <c r="AF136" s="35">
        <v>0</v>
      </c>
      <c r="AG136" s="35">
        <v>0</v>
      </c>
      <c r="AH136" s="35">
        <v>0</v>
      </c>
      <c r="AI136" s="36">
        <v>0</v>
      </c>
      <c r="AJ136" s="36">
        <v>0</v>
      </c>
      <c r="AK136" s="36">
        <v>0</v>
      </c>
      <c r="AL136" s="36">
        <v>0</v>
      </c>
      <c r="AM136" s="36">
        <v>0</v>
      </c>
      <c r="AN136" s="36">
        <v>0</v>
      </c>
      <c r="AO136" s="36">
        <v>0</v>
      </c>
      <c r="AP136" s="36">
        <v>1.9618537163394899E-4</v>
      </c>
      <c r="AQ136" s="36">
        <v>0</v>
      </c>
      <c r="AR136" s="36">
        <v>0</v>
      </c>
      <c r="AS136" s="36">
        <v>0</v>
      </c>
      <c r="AT136" s="36">
        <v>0</v>
      </c>
      <c r="AU136" s="36">
        <v>0</v>
      </c>
      <c r="AV136" s="36">
        <v>0</v>
      </c>
      <c r="AW136" s="37">
        <v>0</v>
      </c>
      <c r="AX136" s="37">
        <v>0</v>
      </c>
      <c r="AY136" s="37"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0.01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2" t="s">
        <v>12</v>
      </c>
      <c r="BL136" s="32" t="s">
        <v>13</v>
      </c>
      <c r="BM136" s="33">
        <v>46076.872118055559</v>
      </c>
      <c r="BN136" s="32" t="s">
        <v>28</v>
      </c>
      <c r="BO136" s="32" t="s">
        <v>29</v>
      </c>
      <c r="BP136" s="38">
        <v>13</v>
      </c>
      <c r="BQ136" s="42"/>
      <c r="BR136" s="39">
        <v>13</v>
      </c>
      <c r="BS136" s="22" t="s">
        <v>220</v>
      </c>
      <c r="BT136" s="4" t="str">
        <f t="shared" si="9"/>
        <v>120</v>
      </c>
      <c r="BU136" s="4" t="str">
        <f t="shared" si="9"/>
        <v>13</v>
      </c>
      <c r="BV136" s="4">
        <f t="shared" si="10"/>
        <v>15</v>
      </c>
      <c r="BW136" s="29">
        <f t="shared" si="11"/>
        <v>0.13</v>
      </c>
      <c r="BX136" s="4">
        <v>51.49</v>
      </c>
      <c r="BY136" s="29">
        <f t="shared" si="12"/>
        <v>1.8338904109589042E-4</v>
      </c>
    </row>
    <row r="137" spans="1:77" ht="15" hidden="1" customHeight="1" x14ac:dyDescent="0.35">
      <c r="A137" s="32" t="s">
        <v>217</v>
      </c>
      <c r="B137" s="32" t="s">
        <v>643</v>
      </c>
      <c r="C137" s="32" t="s">
        <v>16</v>
      </c>
      <c r="D137" s="32" t="s">
        <v>407</v>
      </c>
      <c r="E137" s="32" t="s">
        <v>384</v>
      </c>
      <c r="F137" s="32" t="s">
        <v>46</v>
      </c>
      <c r="G137" s="33">
        <v>46077</v>
      </c>
      <c r="H137" s="33">
        <v>46077</v>
      </c>
      <c r="I137" s="33">
        <v>46092</v>
      </c>
      <c r="J137" s="32" t="s">
        <v>11</v>
      </c>
      <c r="K137" s="34">
        <v>737207.51</v>
      </c>
      <c r="L137" s="34">
        <v>722752.46</v>
      </c>
      <c r="M137" s="34">
        <v>14455.05</v>
      </c>
      <c r="N137" s="34">
        <v>737207.47</v>
      </c>
      <c r="O137" s="34">
        <v>0</v>
      </c>
      <c r="P137" s="34">
        <v>0.04</v>
      </c>
      <c r="Q137" s="34">
        <v>0</v>
      </c>
      <c r="R137" s="34">
        <v>0.04</v>
      </c>
      <c r="S137" s="34">
        <v>7.8474148653579802E-4</v>
      </c>
      <c r="T137" s="34">
        <v>0.04</v>
      </c>
      <c r="U137" s="35">
        <v>0</v>
      </c>
      <c r="V137" s="35">
        <v>0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>
        <v>0.04</v>
      </c>
      <c r="AC137" s="35">
        <v>0</v>
      </c>
      <c r="AD137" s="35">
        <v>0</v>
      </c>
      <c r="AE137" s="35">
        <v>0</v>
      </c>
      <c r="AF137" s="35">
        <v>0</v>
      </c>
      <c r="AG137" s="35">
        <v>0</v>
      </c>
      <c r="AH137" s="35">
        <v>0</v>
      </c>
      <c r="AI137" s="36">
        <v>0</v>
      </c>
      <c r="AJ137" s="36">
        <v>0</v>
      </c>
      <c r="AK137" s="36">
        <v>0</v>
      </c>
      <c r="AL137" s="36">
        <v>0</v>
      </c>
      <c r="AM137" s="36">
        <v>0</v>
      </c>
      <c r="AN137" s="36">
        <v>0</v>
      </c>
      <c r="AO137" s="36">
        <v>0</v>
      </c>
      <c r="AP137" s="36">
        <v>7.8474148653579802E-4</v>
      </c>
      <c r="AQ137" s="36">
        <v>0</v>
      </c>
      <c r="AR137" s="36">
        <v>0</v>
      </c>
      <c r="AS137" s="36">
        <v>0</v>
      </c>
      <c r="AT137" s="36">
        <v>0</v>
      </c>
      <c r="AU137" s="36">
        <v>0</v>
      </c>
      <c r="AV137" s="36">
        <v>0</v>
      </c>
      <c r="AW137" s="37">
        <v>0</v>
      </c>
      <c r="AX137" s="37">
        <v>0</v>
      </c>
      <c r="AY137" s="37">
        <v>0</v>
      </c>
      <c r="AZ137" s="37">
        <v>0</v>
      </c>
      <c r="BA137" s="37">
        <v>0</v>
      </c>
      <c r="BB137" s="37">
        <v>0</v>
      </c>
      <c r="BC137" s="37">
        <v>0</v>
      </c>
      <c r="BD137" s="37">
        <v>0.04</v>
      </c>
      <c r="BE137" s="37">
        <v>0</v>
      </c>
      <c r="BF137" s="37">
        <v>0</v>
      </c>
      <c r="BG137" s="37">
        <v>0</v>
      </c>
      <c r="BH137" s="37">
        <v>0</v>
      </c>
      <c r="BI137" s="37">
        <v>0</v>
      </c>
      <c r="BJ137" s="37">
        <v>0</v>
      </c>
      <c r="BK137" s="32" t="s">
        <v>12</v>
      </c>
      <c r="BL137" s="32" t="s">
        <v>13</v>
      </c>
      <c r="BM137" s="33">
        <v>46076.87232638889</v>
      </c>
      <c r="BN137" s="32" t="s">
        <v>28</v>
      </c>
      <c r="BO137" s="32" t="s">
        <v>29</v>
      </c>
      <c r="BP137" s="38">
        <v>13</v>
      </c>
      <c r="BQ137" s="42"/>
      <c r="BR137" s="39">
        <v>13</v>
      </c>
      <c r="BS137" s="22" t="s">
        <v>220</v>
      </c>
      <c r="BT137" s="4" t="str">
        <f t="shared" si="9"/>
        <v>120</v>
      </c>
      <c r="BU137" s="4" t="str">
        <f t="shared" si="9"/>
        <v>13</v>
      </c>
      <c r="BV137" s="4">
        <f t="shared" si="10"/>
        <v>15</v>
      </c>
      <c r="BW137" s="29">
        <f t="shared" si="11"/>
        <v>0.52</v>
      </c>
      <c r="BX137" s="4">
        <v>51.49</v>
      </c>
      <c r="BY137" s="29">
        <f t="shared" si="12"/>
        <v>7.3355616438356168E-4</v>
      </c>
    </row>
    <row r="138" spans="1:77" ht="15" hidden="1" customHeight="1" x14ac:dyDescent="0.35">
      <c r="A138" s="32" t="s">
        <v>217</v>
      </c>
      <c r="B138" s="32" t="s">
        <v>806</v>
      </c>
      <c r="C138" s="32" t="s">
        <v>16</v>
      </c>
      <c r="D138" s="32" t="s">
        <v>807</v>
      </c>
      <c r="E138" s="32" t="s">
        <v>372</v>
      </c>
      <c r="F138" s="32" t="s">
        <v>46</v>
      </c>
      <c r="G138" s="33">
        <v>46077</v>
      </c>
      <c r="H138" s="33">
        <v>46077</v>
      </c>
      <c r="I138" s="33">
        <v>46092</v>
      </c>
      <c r="J138" s="32" t="s">
        <v>11</v>
      </c>
      <c r="K138" s="34">
        <v>530657.09</v>
      </c>
      <c r="L138" s="34">
        <v>442214.24</v>
      </c>
      <c r="M138" s="34">
        <v>88442.85</v>
      </c>
      <c r="N138" s="34">
        <v>530656.87</v>
      </c>
      <c r="O138" s="34">
        <v>0</v>
      </c>
      <c r="P138" s="34">
        <v>0.22</v>
      </c>
      <c r="Q138" s="34">
        <v>0</v>
      </c>
      <c r="R138" s="34">
        <v>0.22</v>
      </c>
      <c r="S138" s="34">
        <v>4.31607817594689E-3</v>
      </c>
      <c r="T138" s="34">
        <v>0.22</v>
      </c>
      <c r="U138" s="35">
        <v>0</v>
      </c>
      <c r="V138" s="35">
        <v>0</v>
      </c>
      <c r="W138" s="35">
        <v>0</v>
      </c>
      <c r="X138" s="35">
        <v>0</v>
      </c>
      <c r="Y138" s="35">
        <v>0</v>
      </c>
      <c r="Z138" s="35">
        <v>0</v>
      </c>
      <c r="AA138" s="35">
        <v>0</v>
      </c>
      <c r="AB138" s="35">
        <v>0.22</v>
      </c>
      <c r="AC138" s="35">
        <v>0</v>
      </c>
      <c r="AD138" s="35">
        <v>0</v>
      </c>
      <c r="AE138" s="35">
        <v>0</v>
      </c>
      <c r="AF138" s="35">
        <v>0</v>
      </c>
      <c r="AG138" s="35">
        <v>0</v>
      </c>
      <c r="AH138" s="35">
        <v>0</v>
      </c>
      <c r="AI138" s="36">
        <v>0</v>
      </c>
      <c r="AJ138" s="36">
        <v>0</v>
      </c>
      <c r="AK138" s="36">
        <v>0</v>
      </c>
      <c r="AL138" s="36">
        <v>0</v>
      </c>
      <c r="AM138" s="36">
        <v>0</v>
      </c>
      <c r="AN138" s="36">
        <v>0</v>
      </c>
      <c r="AO138" s="36">
        <v>0</v>
      </c>
      <c r="AP138" s="36">
        <v>4.31607817594689E-3</v>
      </c>
      <c r="AQ138" s="36">
        <v>0</v>
      </c>
      <c r="AR138" s="36">
        <v>0</v>
      </c>
      <c r="AS138" s="36">
        <v>0</v>
      </c>
      <c r="AT138" s="36">
        <v>0</v>
      </c>
      <c r="AU138" s="36">
        <v>0</v>
      </c>
      <c r="AV138" s="36">
        <v>0</v>
      </c>
      <c r="AW138" s="37">
        <v>0</v>
      </c>
      <c r="AX138" s="37">
        <v>0</v>
      </c>
      <c r="AY138" s="37"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0.22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2" t="s">
        <v>12</v>
      </c>
      <c r="BL138" s="32" t="s">
        <v>13</v>
      </c>
      <c r="BM138" s="33">
        <v>46076.872743055559</v>
      </c>
      <c r="BN138" s="32" t="s">
        <v>28</v>
      </c>
      <c r="BO138" s="32" t="s">
        <v>29</v>
      </c>
      <c r="BP138" s="38">
        <v>13</v>
      </c>
      <c r="BQ138" s="42"/>
      <c r="BR138" s="39">
        <v>13</v>
      </c>
      <c r="BS138" s="22" t="s">
        <v>220</v>
      </c>
      <c r="BT138" s="4" t="str">
        <f t="shared" si="9"/>
        <v>120</v>
      </c>
      <c r="BU138" s="4" t="str">
        <f t="shared" si="9"/>
        <v>13</v>
      </c>
      <c r="BV138" s="4">
        <f t="shared" si="10"/>
        <v>15</v>
      </c>
      <c r="BW138" s="29">
        <f t="shared" si="11"/>
        <v>2.86</v>
      </c>
      <c r="BX138" s="4">
        <v>51.49</v>
      </c>
      <c r="BY138" s="29">
        <f t="shared" si="12"/>
        <v>4.034558904109589E-3</v>
      </c>
    </row>
    <row r="139" spans="1:77" ht="15" hidden="1" customHeight="1" x14ac:dyDescent="0.35">
      <c r="A139" s="32" t="s">
        <v>217</v>
      </c>
      <c r="B139" s="32" t="s">
        <v>644</v>
      </c>
      <c r="C139" s="32" t="s">
        <v>16</v>
      </c>
      <c r="D139" s="32" t="s">
        <v>370</v>
      </c>
      <c r="E139" s="32" t="s">
        <v>371</v>
      </c>
      <c r="F139" s="32" t="s">
        <v>46</v>
      </c>
      <c r="G139" s="33">
        <v>46077</v>
      </c>
      <c r="H139" s="33">
        <v>46077</v>
      </c>
      <c r="I139" s="33">
        <v>46122</v>
      </c>
      <c r="J139" s="32" t="s">
        <v>11</v>
      </c>
      <c r="K139" s="34">
        <v>2557162.94</v>
      </c>
      <c r="L139" s="34">
        <v>2507022.4900000002</v>
      </c>
      <c r="M139" s="34">
        <v>50140.45</v>
      </c>
      <c r="N139" s="34">
        <v>0</v>
      </c>
      <c r="O139" s="34">
        <v>0</v>
      </c>
      <c r="P139" s="34">
        <v>2557162.94</v>
      </c>
      <c r="Q139" s="34">
        <v>2557162.94</v>
      </c>
      <c r="R139" s="34">
        <v>2557162.94</v>
      </c>
      <c r="S139" s="34">
        <v>50167.7961712463</v>
      </c>
      <c r="T139" s="34">
        <v>2557162.94</v>
      </c>
      <c r="U139" s="35">
        <v>0</v>
      </c>
      <c r="V139" s="35">
        <v>2557162.94</v>
      </c>
      <c r="W139" s="35">
        <v>0</v>
      </c>
      <c r="X139" s="35">
        <v>0</v>
      </c>
      <c r="Y139" s="35">
        <v>0</v>
      </c>
      <c r="Z139" s="35">
        <v>0</v>
      </c>
      <c r="AA139" s="35">
        <v>0</v>
      </c>
      <c r="AB139" s="35">
        <v>0</v>
      </c>
      <c r="AC139" s="35">
        <v>0</v>
      </c>
      <c r="AD139" s="35">
        <v>0</v>
      </c>
      <c r="AE139" s="35">
        <v>0</v>
      </c>
      <c r="AF139" s="35">
        <v>0</v>
      </c>
      <c r="AG139" s="35">
        <v>0</v>
      </c>
      <c r="AH139" s="35">
        <v>0</v>
      </c>
      <c r="AI139" s="36">
        <v>0</v>
      </c>
      <c r="AJ139" s="36">
        <v>50167.7961712463</v>
      </c>
      <c r="AK139" s="36">
        <v>0</v>
      </c>
      <c r="AL139" s="36">
        <v>0</v>
      </c>
      <c r="AM139" s="36">
        <v>0</v>
      </c>
      <c r="AN139" s="36">
        <v>0</v>
      </c>
      <c r="AO139" s="36">
        <v>0</v>
      </c>
      <c r="AP139" s="36">
        <v>0</v>
      </c>
      <c r="AQ139" s="36">
        <v>0</v>
      </c>
      <c r="AR139" s="36">
        <v>0</v>
      </c>
      <c r="AS139" s="36">
        <v>0</v>
      </c>
      <c r="AT139" s="36">
        <v>0</v>
      </c>
      <c r="AU139" s="36">
        <v>0</v>
      </c>
      <c r="AV139" s="36">
        <v>0</v>
      </c>
      <c r="AW139" s="37">
        <v>0</v>
      </c>
      <c r="AX139" s="37">
        <v>2557162.94</v>
      </c>
      <c r="AY139" s="37">
        <v>0</v>
      </c>
      <c r="AZ139" s="37">
        <v>0</v>
      </c>
      <c r="BA139" s="37">
        <v>0</v>
      </c>
      <c r="BB139" s="37">
        <v>0</v>
      </c>
      <c r="BC139" s="37">
        <v>0</v>
      </c>
      <c r="BD139" s="37">
        <v>0</v>
      </c>
      <c r="BE139" s="37">
        <v>0</v>
      </c>
      <c r="BF139" s="37">
        <v>0</v>
      </c>
      <c r="BG139" s="37">
        <v>0</v>
      </c>
      <c r="BH139" s="37">
        <v>0</v>
      </c>
      <c r="BI139" s="37">
        <v>0</v>
      </c>
      <c r="BJ139" s="37">
        <v>0</v>
      </c>
      <c r="BK139" s="32" t="s">
        <v>12</v>
      </c>
      <c r="BL139" s="32" t="s">
        <v>13</v>
      </c>
      <c r="BM139" s="33">
        <v>46076.873159722221</v>
      </c>
      <c r="BN139" s="32" t="s">
        <v>28</v>
      </c>
      <c r="BO139" s="32" t="s">
        <v>29</v>
      </c>
      <c r="BP139" s="38">
        <v>-17</v>
      </c>
      <c r="BQ139" s="42"/>
      <c r="BR139" s="39">
        <v>-17</v>
      </c>
      <c r="BS139" s="22" t="s">
        <v>221</v>
      </c>
      <c r="BT139" s="4" t="str">
        <f t="shared" si="9"/>
        <v>120</v>
      </c>
      <c r="BU139" s="4" t="str">
        <f t="shared" si="9"/>
        <v>-17</v>
      </c>
      <c r="BV139" s="4">
        <f t="shared" si="10"/>
        <v>45</v>
      </c>
      <c r="BW139" s="29">
        <f t="shared" si="11"/>
        <v>-43471769.979999997</v>
      </c>
      <c r="BX139" s="4">
        <v>51.49</v>
      </c>
      <c r="BY139" s="29">
        <f t="shared" si="12"/>
        <v>-61324.970856717802</v>
      </c>
    </row>
    <row r="140" spans="1:77" ht="15" hidden="1" customHeight="1" x14ac:dyDescent="0.35">
      <c r="A140" s="32" t="s">
        <v>217</v>
      </c>
      <c r="B140" s="32" t="s">
        <v>645</v>
      </c>
      <c r="C140" s="32" t="s">
        <v>7</v>
      </c>
      <c r="D140" s="32" t="s">
        <v>307</v>
      </c>
      <c r="E140" s="32" t="s">
        <v>243</v>
      </c>
      <c r="F140" s="32" t="s">
        <v>308</v>
      </c>
      <c r="G140" s="33">
        <v>46077</v>
      </c>
      <c r="H140" s="33">
        <v>46077</v>
      </c>
      <c r="I140" s="33">
        <v>46087</v>
      </c>
      <c r="J140" s="32" t="s">
        <v>11</v>
      </c>
      <c r="K140" s="34">
        <v>241085.67</v>
      </c>
      <c r="L140" s="34">
        <v>236358.5</v>
      </c>
      <c r="M140" s="34">
        <v>4727.17</v>
      </c>
      <c r="N140" s="34">
        <v>241085.56</v>
      </c>
      <c r="O140" s="34">
        <v>0</v>
      </c>
      <c r="P140" s="34">
        <v>0.11</v>
      </c>
      <c r="Q140" s="34">
        <v>0</v>
      </c>
      <c r="R140" s="34">
        <v>0.11</v>
      </c>
      <c r="S140" s="34">
        <v>2.1580390879734402E-3</v>
      </c>
      <c r="T140" s="34">
        <v>0.11</v>
      </c>
      <c r="U140" s="35">
        <v>0</v>
      </c>
      <c r="V140" s="35">
        <v>0</v>
      </c>
      <c r="W140" s="35">
        <v>0</v>
      </c>
      <c r="X140" s="35">
        <v>0</v>
      </c>
      <c r="Y140" s="35">
        <v>0</v>
      </c>
      <c r="Z140" s="35">
        <v>0</v>
      </c>
      <c r="AA140" s="35">
        <v>0</v>
      </c>
      <c r="AB140" s="35">
        <v>0</v>
      </c>
      <c r="AC140" s="35">
        <v>0.11</v>
      </c>
      <c r="AD140" s="35">
        <v>0</v>
      </c>
      <c r="AE140" s="35">
        <v>0</v>
      </c>
      <c r="AF140" s="35">
        <v>0</v>
      </c>
      <c r="AG140" s="35">
        <v>0</v>
      </c>
      <c r="AH140" s="35">
        <v>0</v>
      </c>
      <c r="AI140" s="36">
        <v>0</v>
      </c>
      <c r="AJ140" s="36">
        <v>0</v>
      </c>
      <c r="AK140" s="36">
        <v>0</v>
      </c>
      <c r="AL140" s="36">
        <v>0</v>
      </c>
      <c r="AM140" s="36">
        <v>0</v>
      </c>
      <c r="AN140" s="36">
        <v>0</v>
      </c>
      <c r="AO140" s="36">
        <v>0</v>
      </c>
      <c r="AP140" s="36">
        <v>0</v>
      </c>
      <c r="AQ140" s="36">
        <v>2.1580390879734402E-3</v>
      </c>
      <c r="AR140" s="36">
        <v>0</v>
      </c>
      <c r="AS140" s="36">
        <v>0</v>
      </c>
      <c r="AT140" s="36">
        <v>0</v>
      </c>
      <c r="AU140" s="36">
        <v>0</v>
      </c>
      <c r="AV140" s="36">
        <v>0</v>
      </c>
      <c r="AW140" s="37">
        <v>0</v>
      </c>
      <c r="AX140" s="37">
        <v>0</v>
      </c>
      <c r="AY140" s="37"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0.11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2" t="s">
        <v>12</v>
      </c>
      <c r="BL140" s="32" t="s">
        <v>13</v>
      </c>
      <c r="BM140" s="33">
        <v>46076.878819444442</v>
      </c>
      <c r="BN140" s="32" t="s">
        <v>28</v>
      </c>
      <c r="BO140" s="32" t="s">
        <v>29</v>
      </c>
      <c r="BP140" s="38">
        <v>18</v>
      </c>
      <c r="BQ140" s="42"/>
      <c r="BR140" s="39">
        <v>18</v>
      </c>
      <c r="BS140" s="22" t="s">
        <v>220</v>
      </c>
      <c r="BT140" s="4" t="str">
        <f t="shared" si="9"/>
        <v>120</v>
      </c>
      <c r="BU140" s="4" t="str">
        <f t="shared" si="9"/>
        <v>18</v>
      </c>
      <c r="BV140" s="4">
        <f t="shared" si="10"/>
        <v>10</v>
      </c>
      <c r="BW140" s="29">
        <f t="shared" si="11"/>
        <v>1.98</v>
      </c>
      <c r="BX140" s="4">
        <v>51.49</v>
      </c>
      <c r="BY140" s="29">
        <f t="shared" si="12"/>
        <v>2.7931561643835621E-3</v>
      </c>
    </row>
    <row r="141" spans="1:77" ht="15" hidden="1" customHeight="1" x14ac:dyDescent="0.35">
      <c r="A141" s="32" t="s">
        <v>217</v>
      </c>
      <c r="B141" s="32" t="s">
        <v>808</v>
      </c>
      <c r="C141" s="32" t="s">
        <v>7</v>
      </c>
      <c r="D141" s="32" t="s">
        <v>73</v>
      </c>
      <c r="E141" s="32" t="s">
        <v>74</v>
      </c>
      <c r="F141" s="32" t="s">
        <v>46</v>
      </c>
      <c r="G141" s="33">
        <v>46077</v>
      </c>
      <c r="H141" s="33">
        <v>46077</v>
      </c>
      <c r="I141" s="33">
        <v>46122</v>
      </c>
      <c r="J141" s="32" t="s">
        <v>11</v>
      </c>
      <c r="K141" s="34">
        <v>237302.49</v>
      </c>
      <c r="L141" s="34">
        <v>232649.5</v>
      </c>
      <c r="M141" s="34">
        <v>4652.99</v>
      </c>
      <c r="N141" s="34">
        <v>6150.94</v>
      </c>
      <c r="O141" s="34">
        <v>0</v>
      </c>
      <c r="P141" s="34">
        <v>231151.55</v>
      </c>
      <c r="Q141" s="34">
        <v>231151.55</v>
      </c>
      <c r="R141" s="34">
        <v>231151.55</v>
      </c>
      <c r="S141" s="34">
        <v>4534.8552740513496</v>
      </c>
      <c r="T141" s="34">
        <v>231151.55</v>
      </c>
      <c r="U141" s="35">
        <v>0</v>
      </c>
      <c r="V141" s="35">
        <v>231151.55</v>
      </c>
      <c r="W141" s="35">
        <v>0</v>
      </c>
      <c r="X141" s="35">
        <v>0</v>
      </c>
      <c r="Y141" s="35">
        <v>0</v>
      </c>
      <c r="Z141" s="35">
        <v>0</v>
      </c>
      <c r="AA141" s="35">
        <v>0</v>
      </c>
      <c r="AB141" s="35">
        <v>0</v>
      </c>
      <c r="AC141" s="35">
        <v>0</v>
      </c>
      <c r="AD141" s="35">
        <v>0</v>
      </c>
      <c r="AE141" s="35">
        <v>0</v>
      </c>
      <c r="AF141" s="35">
        <v>0</v>
      </c>
      <c r="AG141" s="35">
        <v>0</v>
      </c>
      <c r="AH141" s="35">
        <v>0</v>
      </c>
      <c r="AI141" s="36">
        <v>0</v>
      </c>
      <c r="AJ141" s="36">
        <v>4534.8552740513496</v>
      </c>
      <c r="AK141" s="36">
        <v>0</v>
      </c>
      <c r="AL141" s="36">
        <v>0</v>
      </c>
      <c r="AM141" s="36">
        <v>0</v>
      </c>
      <c r="AN141" s="36">
        <v>0</v>
      </c>
      <c r="AO141" s="36">
        <v>0</v>
      </c>
      <c r="AP141" s="36">
        <v>0</v>
      </c>
      <c r="AQ141" s="36">
        <v>0</v>
      </c>
      <c r="AR141" s="36">
        <v>0</v>
      </c>
      <c r="AS141" s="36">
        <v>0</v>
      </c>
      <c r="AT141" s="36">
        <v>0</v>
      </c>
      <c r="AU141" s="36">
        <v>0</v>
      </c>
      <c r="AV141" s="36">
        <v>0</v>
      </c>
      <c r="AW141" s="37">
        <v>0</v>
      </c>
      <c r="AX141" s="37">
        <v>231151.55</v>
      </c>
      <c r="AY141" s="37">
        <v>0</v>
      </c>
      <c r="AZ141" s="37">
        <v>0</v>
      </c>
      <c r="BA141" s="37">
        <v>0</v>
      </c>
      <c r="BB141" s="37">
        <v>0</v>
      </c>
      <c r="BC141" s="37">
        <v>0</v>
      </c>
      <c r="BD141" s="37">
        <v>0</v>
      </c>
      <c r="BE141" s="37">
        <v>0</v>
      </c>
      <c r="BF141" s="37">
        <v>0</v>
      </c>
      <c r="BG141" s="37">
        <v>0</v>
      </c>
      <c r="BH141" s="37">
        <v>0</v>
      </c>
      <c r="BI141" s="37">
        <v>0</v>
      </c>
      <c r="BJ141" s="37">
        <v>0</v>
      </c>
      <c r="BK141" s="32" t="s">
        <v>12</v>
      </c>
      <c r="BL141" s="32" t="s">
        <v>13</v>
      </c>
      <c r="BM141" s="33">
        <v>46076.879236111112</v>
      </c>
      <c r="BN141" s="32" t="s">
        <v>28</v>
      </c>
      <c r="BO141" s="32" t="s">
        <v>29</v>
      </c>
      <c r="BP141" s="38">
        <v>-17</v>
      </c>
      <c r="BQ141" s="42"/>
      <c r="BR141" s="39">
        <v>-17</v>
      </c>
      <c r="BS141" s="22" t="s">
        <v>221</v>
      </c>
      <c r="BT141" s="4" t="str">
        <f t="shared" si="9"/>
        <v>120</v>
      </c>
      <c r="BU141" s="4" t="str">
        <f t="shared" si="9"/>
        <v>-17</v>
      </c>
      <c r="BV141" s="4">
        <f t="shared" si="10"/>
        <v>45</v>
      </c>
      <c r="BW141" s="29">
        <f t="shared" si="11"/>
        <v>-3929576.3499999996</v>
      </c>
      <c r="BX141" s="4">
        <v>51.49</v>
      </c>
      <c r="BY141" s="29">
        <f t="shared" si="12"/>
        <v>-5543.394144150685</v>
      </c>
    </row>
    <row r="142" spans="1:77" ht="15" customHeight="1" x14ac:dyDescent="0.35">
      <c r="A142" s="32" t="s">
        <v>217</v>
      </c>
      <c r="B142" s="32" t="s">
        <v>646</v>
      </c>
      <c r="C142" s="32" t="s">
        <v>7</v>
      </c>
      <c r="D142" s="32" t="s">
        <v>305</v>
      </c>
      <c r="E142" s="32" t="s">
        <v>148</v>
      </c>
      <c r="F142" s="32" t="s">
        <v>306</v>
      </c>
      <c r="G142" s="33">
        <v>46077</v>
      </c>
      <c r="H142" s="33">
        <v>46077</v>
      </c>
      <c r="I142" s="33">
        <v>46092</v>
      </c>
      <c r="J142" s="32" t="s">
        <v>11</v>
      </c>
      <c r="K142" s="34">
        <v>273736.8</v>
      </c>
      <c r="L142" s="34">
        <v>268369.42</v>
      </c>
      <c r="M142" s="34">
        <v>5367.38</v>
      </c>
      <c r="N142" s="34">
        <v>0</v>
      </c>
      <c r="O142" s="34">
        <v>0</v>
      </c>
      <c r="P142" s="34">
        <v>273736.8</v>
      </c>
      <c r="Q142" s="34">
        <v>0</v>
      </c>
      <c r="R142" s="34">
        <v>273736.8</v>
      </c>
      <c r="S142" s="34">
        <v>5370.3155837888098</v>
      </c>
      <c r="T142" s="34">
        <v>273736.8</v>
      </c>
      <c r="U142" s="35">
        <v>0</v>
      </c>
      <c r="V142" s="35">
        <v>0</v>
      </c>
      <c r="W142" s="35">
        <v>0</v>
      </c>
      <c r="X142" s="35">
        <v>0</v>
      </c>
      <c r="Y142" s="35">
        <v>0</v>
      </c>
      <c r="Z142" s="35">
        <v>0</v>
      </c>
      <c r="AA142" s="35">
        <v>0</v>
      </c>
      <c r="AB142" s="35">
        <v>273736.8</v>
      </c>
      <c r="AC142" s="35">
        <v>0</v>
      </c>
      <c r="AD142" s="35">
        <v>0</v>
      </c>
      <c r="AE142" s="35">
        <v>0</v>
      </c>
      <c r="AF142" s="35">
        <v>0</v>
      </c>
      <c r="AG142" s="35">
        <v>0</v>
      </c>
      <c r="AH142" s="35">
        <v>0</v>
      </c>
      <c r="AI142" s="36">
        <v>0</v>
      </c>
      <c r="AJ142" s="36">
        <v>0</v>
      </c>
      <c r="AK142" s="36">
        <v>0</v>
      </c>
      <c r="AL142" s="36">
        <v>0</v>
      </c>
      <c r="AM142" s="36">
        <v>0</v>
      </c>
      <c r="AN142" s="36">
        <v>0</v>
      </c>
      <c r="AO142" s="36">
        <v>0</v>
      </c>
      <c r="AP142" s="36">
        <v>5370.3155837888098</v>
      </c>
      <c r="AQ142" s="36">
        <v>0</v>
      </c>
      <c r="AR142" s="36">
        <v>0</v>
      </c>
      <c r="AS142" s="36">
        <v>0</v>
      </c>
      <c r="AT142" s="36">
        <v>0</v>
      </c>
      <c r="AU142" s="36">
        <v>0</v>
      </c>
      <c r="AV142" s="36">
        <v>0</v>
      </c>
      <c r="AW142" s="37">
        <v>0</v>
      </c>
      <c r="AX142" s="37">
        <v>0</v>
      </c>
      <c r="AY142" s="37"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273736.8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2" t="s">
        <v>12</v>
      </c>
      <c r="BL142" s="32" t="s">
        <v>13</v>
      </c>
      <c r="BM142" s="33">
        <v>46076.879444444443</v>
      </c>
      <c r="BN142" s="32" t="s">
        <v>28</v>
      </c>
      <c r="BO142" s="32" t="s">
        <v>29</v>
      </c>
      <c r="BP142" s="38">
        <v>13</v>
      </c>
      <c r="BQ142" s="42"/>
      <c r="BR142" s="39">
        <v>13</v>
      </c>
      <c r="BS142" s="22" t="s">
        <v>220</v>
      </c>
      <c r="BT142" s="4" t="str">
        <f t="shared" si="9"/>
        <v>120</v>
      </c>
      <c r="BU142" s="4" t="str">
        <f t="shared" si="9"/>
        <v>13</v>
      </c>
      <c r="BV142" s="4">
        <f t="shared" si="10"/>
        <v>15</v>
      </c>
      <c r="BW142" s="29">
        <f t="shared" si="11"/>
        <v>3558578.4</v>
      </c>
      <c r="BX142" s="4">
        <v>51.49</v>
      </c>
      <c r="BY142" s="29">
        <f t="shared" si="12"/>
        <v>5020.0329264657539</v>
      </c>
    </row>
    <row r="143" spans="1:77" ht="15" hidden="1" customHeight="1" x14ac:dyDescent="0.35">
      <c r="A143" s="32" t="s">
        <v>217</v>
      </c>
      <c r="B143" s="32" t="s">
        <v>648</v>
      </c>
      <c r="C143" s="32" t="s">
        <v>7</v>
      </c>
      <c r="D143" s="32" t="s">
        <v>359</v>
      </c>
      <c r="E143" s="32" t="s">
        <v>360</v>
      </c>
      <c r="F143" s="32" t="s">
        <v>41</v>
      </c>
      <c r="G143" s="33">
        <v>46080</v>
      </c>
      <c r="H143" s="33">
        <v>46080</v>
      </c>
      <c r="I143" s="33">
        <v>46110</v>
      </c>
      <c r="J143" s="32" t="s">
        <v>11</v>
      </c>
      <c r="K143" s="34">
        <v>2974751.47</v>
      </c>
      <c r="L143" s="34">
        <v>2916423.01</v>
      </c>
      <c r="M143" s="34">
        <v>58328.46</v>
      </c>
      <c r="N143" s="34">
        <v>0</v>
      </c>
      <c r="O143" s="34">
        <v>0</v>
      </c>
      <c r="P143" s="34">
        <v>2974751.47</v>
      </c>
      <c r="Q143" s="34">
        <v>2974751.47</v>
      </c>
      <c r="R143" s="34">
        <v>2974751.47</v>
      </c>
      <c r="S143" s="34">
        <v>58360.272266058797</v>
      </c>
      <c r="T143" s="34">
        <v>2974751.47</v>
      </c>
      <c r="U143" s="35">
        <v>2974751.47</v>
      </c>
      <c r="V143" s="35">
        <v>0</v>
      </c>
      <c r="W143" s="35">
        <v>0</v>
      </c>
      <c r="X143" s="35">
        <v>0</v>
      </c>
      <c r="Y143" s="35">
        <v>0</v>
      </c>
      <c r="Z143" s="35">
        <v>0</v>
      </c>
      <c r="AA143" s="35">
        <v>0</v>
      </c>
      <c r="AB143" s="35">
        <v>0</v>
      </c>
      <c r="AC143" s="35">
        <v>0</v>
      </c>
      <c r="AD143" s="35">
        <v>0</v>
      </c>
      <c r="AE143" s="35">
        <v>0</v>
      </c>
      <c r="AF143" s="35">
        <v>0</v>
      </c>
      <c r="AG143" s="35">
        <v>0</v>
      </c>
      <c r="AH143" s="35">
        <v>0</v>
      </c>
      <c r="AI143" s="36">
        <v>58360.272266058797</v>
      </c>
      <c r="AJ143" s="36">
        <v>0</v>
      </c>
      <c r="AK143" s="36">
        <v>0</v>
      </c>
      <c r="AL143" s="36">
        <v>0</v>
      </c>
      <c r="AM143" s="36">
        <v>0</v>
      </c>
      <c r="AN143" s="36">
        <v>0</v>
      </c>
      <c r="AO143" s="36">
        <v>0</v>
      </c>
      <c r="AP143" s="36">
        <v>0</v>
      </c>
      <c r="AQ143" s="36">
        <v>0</v>
      </c>
      <c r="AR143" s="36">
        <v>0</v>
      </c>
      <c r="AS143" s="36">
        <v>0</v>
      </c>
      <c r="AT143" s="36">
        <v>0</v>
      </c>
      <c r="AU143" s="36">
        <v>0</v>
      </c>
      <c r="AV143" s="36">
        <v>0</v>
      </c>
      <c r="AW143" s="37">
        <v>2974751.47</v>
      </c>
      <c r="AX143" s="37">
        <v>0</v>
      </c>
      <c r="AY143" s="37">
        <v>0</v>
      </c>
      <c r="AZ143" s="37">
        <v>0</v>
      </c>
      <c r="BA143" s="37">
        <v>0</v>
      </c>
      <c r="BB143" s="37">
        <v>0</v>
      </c>
      <c r="BC143" s="37">
        <v>0</v>
      </c>
      <c r="BD143" s="37">
        <v>0</v>
      </c>
      <c r="BE143" s="37">
        <v>0</v>
      </c>
      <c r="BF143" s="37">
        <v>0</v>
      </c>
      <c r="BG143" s="37">
        <v>0</v>
      </c>
      <c r="BH143" s="37">
        <v>0</v>
      </c>
      <c r="BI143" s="37">
        <v>0</v>
      </c>
      <c r="BJ143" s="37">
        <v>0</v>
      </c>
      <c r="BK143" s="32" t="s">
        <v>12</v>
      </c>
      <c r="BL143" s="32" t="s">
        <v>13</v>
      </c>
      <c r="BM143" s="33">
        <v>46076.880497685182</v>
      </c>
      <c r="BN143" s="32" t="s">
        <v>28</v>
      </c>
      <c r="BO143" s="32" t="s">
        <v>29</v>
      </c>
      <c r="BP143" s="38">
        <v>-5</v>
      </c>
      <c r="BQ143" s="42"/>
      <c r="BR143" s="39">
        <v>-5</v>
      </c>
      <c r="BS143" s="22" t="s">
        <v>221</v>
      </c>
      <c r="BT143" s="4" t="str">
        <f t="shared" si="9"/>
        <v>120</v>
      </c>
      <c r="BU143" s="4" t="str">
        <f t="shared" si="9"/>
        <v>-5</v>
      </c>
      <c r="BV143" s="4">
        <f t="shared" si="10"/>
        <v>30</v>
      </c>
      <c r="BW143" s="29">
        <f t="shared" si="11"/>
        <v>-14873757.350000001</v>
      </c>
      <c r="BX143" s="4">
        <v>51.49</v>
      </c>
      <c r="BY143" s="29">
        <f t="shared" si="12"/>
        <v>-20982.185368534247</v>
      </c>
    </row>
    <row r="144" spans="1:77" ht="15" hidden="1" customHeight="1" x14ac:dyDescent="0.35">
      <c r="A144" s="32" t="s">
        <v>217</v>
      </c>
      <c r="B144" s="32" t="s">
        <v>649</v>
      </c>
      <c r="C144" s="32" t="s">
        <v>16</v>
      </c>
      <c r="D144" s="32" t="s">
        <v>439</v>
      </c>
      <c r="E144" s="32" t="s">
        <v>141</v>
      </c>
      <c r="F144" s="32" t="s">
        <v>572</v>
      </c>
      <c r="G144" s="33">
        <v>46077</v>
      </c>
      <c r="H144" s="33">
        <v>46077</v>
      </c>
      <c r="I144" s="33">
        <v>46107</v>
      </c>
      <c r="J144" s="32" t="s">
        <v>11</v>
      </c>
      <c r="K144" s="34">
        <v>2130453.69</v>
      </c>
      <c r="L144" s="34">
        <v>2088680.08</v>
      </c>
      <c r="M144" s="34">
        <v>41773.61</v>
      </c>
      <c r="N144" s="34">
        <v>0</v>
      </c>
      <c r="O144" s="34">
        <v>0</v>
      </c>
      <c r="P144" s="34">
        <v>2130453.69</v>
      </c>
      <c r="Q144" s="34">
        <v>2130453.69</v>
      </c>
      <c r="R144" s="34">
        <v>2130453.69</v>
      </c>
      <c r="S144" s="34">
        <v>41796.384892156901</v>
      </c>
      <c r="T144" s="34">
        <v>2130453.69</v>
      </c>
      <c r="U144" s="35">
        <v>2130453.69</v>
      </c>
      <c r="V144" s="35">
        <v>0</v>
      </c>
      <c r="W144" s="35">
        <v>0</v>
      </c>
      <c r="X144" s="35">
        <v>0</v>
      </c>
      <c r="Y144" s="35">
        <v>0</v>
      </c>
      <c r="Z144" s="35">
        <v>0</v>
      </c>
      <c r="AA144" s="35">
        <v>0</v>
      </c>
      <c r="AB144" s="35">
        <v>0</v>
      </c>
      <c r="AC144" s="35">
        <v>0</v>
      </c>
      <c r="AD144" s="35">
        <v>0</v>
      </c>
      <c r="AE144" s="35">
        <v>0</v>
      </c>
      <c r="AF144" s="35">
        <v>0</v>
      </c>
      <c r="AG144" s="35">
        <v>0</v>
      </c>
      <c r="AH144" s="35">
        <v>0</v>
      </c>
      <c r="AI144" s="36">
        <v>41796.384892156901</v>
      </c>
      <c r="AJ144" s="36">
        <v>0</v>
      </c>
      <c r="AK144" s="36">
        <v>0</v>
      </c>
      <c r="AL144" s="36">
        <v>0</v>
      </c>
      <c r="AM144" s="36">
        <v>0</v>
      </c>
      <c r="AN144" s="36">
        <v>0</v>
      </c>
      <c r="AO144" s="36">
        <v>0</v>
      </c>
      <c r="AP144" s="36">
        <v>0</v>
      </c>
      <c r="AQ144" s="36">
        <v>0</v>
      </c>
      <c r="AR144" s="36">
        <v>0</v>
      </c>
      <c r="AS144" s="36">
        <v>0</v>
      </c>
      <c r="AT144" s="36">
        <v>0</v>
      </c>
      <c r="AU144" s="36">
        <v>0</v>
      </c>
      <c r="AV144" s="36">
        <v>0</v>
      </c>
      <c r="AW144" s="37">
        <v>2130453.69</v>
      </c>
      <c r="AX144" s="37">
        <v>0</v>
      </c>
      <c r="AY144" s="37"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2" t="s">
        <v>12</v>
      </c>
      <c r="BL144" s="32" t="s">
        <v>13</v>
      </c>
      <c r="BM144" s="33">
        <v>46077.609513888892</v>
      </c>
      <c r="BN144" s="32" t="s">
        <v>573</v>
      </c>
      <c r="BO144" s="32" t="s">
        <v>15</v>
      </c>
      <c r="BP144" s="38">
        <v>-2</v>
      </c>
      <c r="BQ144" s="42"/>
      <c r="BR144" s="39">
        <v>-2</v>
      </c>
      <c r="BS144" s="22" t="s">
        <v>221</v>
      </c>
      <c r="BT144" s="4" t="str">
        <f t="shared" si="9"/>
        <v>120</v>
      </c>
      <c r="BU144" s="4" t="str">
        <f t="shared" si="9"/>
        <v>-2</v>
      </c>
      <c r="BV144" s="4">
        <f t="shared" si="10"/>
        <v>30</v>
      </c>
      <c r="BW144" s="29">
        <f t="shared" si="11"/>
        <v>-4260907.38</v>
      </c>
      <c r="BX144" s="4">
        <v>51.49</v>
      </c>
      <c r="BY144" s="29">
        <f t="shared" si="12"/>
        <v>-6010.7978355123287</v>
      </c>
    </row>
    <row r="145" spans="1:77" ht="15" hidden="1" customHeight="1" x14ac:dyDescent="0.35">
      <c r="A145" s="32" t="s">
        <v>217</v>
      </c>
      <c r="B145" s="32" t="s">
        <v>650</v>
      </c>
      <c r="C145" s="32" t="s">
        <v>16</v>
      </c>
      <c r="D145" s="32" t="s">
        <v>439</v>
      </c>
      <c r="E145" s="32" t="s">
        <v>141</v>
      </c>
      <c r="F145" s="32" t="s">
        <v>572</v>
      </c>
      <c r="G145" s="33">
        <v>46077</v>
      </c>
      <c r="H145" s="33">
        <v>46077</v>
      </c>
      <c r="I145" s="33">
        <v>46107</v>
      </c>
      <c r="J145" s="32" t="s">
        <v>11</v>
      </c>
      <c r="K145" s="34">
        <v>544966.38</v>
      </c>
      <c r="L145" s="34">
        <v>534280.77</v>
      </c>
      <c r="M145" s="34">
        <v>10685.61</v>
      </c>
      <c r="N145" s="34">
        <v>0</v>
      </c>
      <c r="O145" s="34">
        <v>0</v>
      </c>
      <c r="P145" s="34">
        <v>544966.38</v>
      </c>
      <c r="Q145" s="34">
        <v>544966.38</v>
      </c>
      <c r="R145" s="34">
        <v>544966.38</v>
      </c>
      <c r="S145" s="34">
        <v>10691.443178830799</v>
      </c>
      <c r="T145" s="34">
        <v>544966.38</v>
      </c>
      <c r="U145" s="35">
        <v>544966.38</v>
      </c>
      <c r="V145" s="35">
        <v>0</v>
      </c>
      <c r="W145" s="35">
        <v>0</v>
      </c>
      <c r="X145" s="35">
        <v>0</v>
      </c>
      <c r="Y145" s="35">
        <v>0</v>
      </c>
      <c r="Z145" s="35">
        <v>0</v>
      </c>
      <c r="AA145" s="35">
        <v>0</v>
      </c>
      <c r="AB145" s="35">
        <v>0</v>
      </c>
      <c r="AC145" s="35">
        <v>0</v>
      </c>
      <c r="AD145" s="35">
        <v>0</v>
      </c>
      <c r="AE145" s="35">
        <v>0</v>
      </c>
      <c r="AF145" s="35">
        <v>0</v>
      </c>
      <c r="AG145" s="35">
        <v>0</v>
      </c>
      <c r="AH145" s="35">
        <v>0</v>
      </c>
      <c r="AI145" s="36">
        <v>10691.443178830799</v>
      </c>
      <c r="AJ145" s="36">
        <v>0</v>
      </c>
      <c r="AK145" s="36">
        <v>0</v>
      </c>
      <c r="AL145" s="36">
        <v>0</v>
      </c>
      <c r="AM145" s="36">
        <v>0</v>
      </c>
      <c r="AN145" s="36">
        <v>0</v>
      </c>
      <c r="AO145" s="36">
        <v>0</v>
      </c>
      <c r="AP145" s="36">
        <v>0</v>
      </c>
      <c r="AQ145" s="36">
        <v>0</v>
      </c>
      <c r="AR145" s="36">
        <v>0</v>
      </c>
      <c r="AS145" s="36">
        <v>0</v>
      </c>
      <c r="AT145" s="36">
        <v>0</v>
      </c>
      <c r="AU145" s="36">
        <v>0</v>
      </c>
      <c r="AV145" s="36">
        <v>0</v>
      </c>
      <c r="AW145" s="37">
        <v>544966.38</v>
      </c>
      <c r="AX145" s="37">
        <v>0</v>
      </c>
      <c r="AY145" s="37">
        <v>0</v>
      </c>
      <c r="AZ145" s="37">
        <v>0</v>
      </c>
      <c r="BA145" s="37">
        <v>0</v>
      </c>
      <c r="BB145" s="37">
        <v>0</v>
      </c>
      <c r="BC145" s="37">
        <v>0</v>
      </c>
      <c r="BD145" s="37">
        <v>0</v>
      </c>
      <c r="BE145" s="37">
        <v>0</v>
      </c>
      <c r="BF145" s="37">
        <v>0</v>
      </c>
      <c r="BG145" s="37">
        <v>0</v>
      </c>
      <c r="BH145" s="37">
        <v>0</v>
      </c>
      <c r="BI145" s="37">
        <v>0</v>
      </c>
      <c r="BJ145" s="37">
        <v>0</v>
      </c>
      <c r="BK145" s="32" t="s">
        <v>12</v>
      </c>
      <c r="BL145" s="32" t="s">
        <v>13</v>
      </c>
      <c r="BM145" s="33">
        <v>46077.631898148145</v>
      </c>
      <c r="BN145" s="32" t="s">
        <v>573</v>
      </c>
      <c r="BO145" s="32" t="s">
        <v>15</v>
      </c>
      <c r="BP145" s="38">
        <v>-2</v>
      </c>
      <c r="BQ145" s="42"/>
      <c r="BR145" s="39">
        <v>-2</v>
      </c>
      <c r="BS145" s="22" t="s">
        <v>221</v>
      </c>
      <c r="BT145" s="4" t="str">
        <f t="shared" si="9"/>
        <v>120</v>
      </c>
      <c r="BU145" s="4" t="str">
        <f t="shared" si="9"/>
        <v>-2</v>
      </c>
      <c r="BV145" s="4">
        <f t="shared" si="10"/>
        <v>30</v>
      </c>
      <c r="BW145" s="29">
        <f t="shared" si="11"/>
        <v>-1089932.76</v>
      </c>
      <c r="BX145" s="4">
        <v>51.49</v>
      </c>
      <c r="BY145" s="29">
        <f t="shared" si="12"/>
        <v>-1537.5517208876713</v>
      </c>
    </row>
    <row r="146" spans="1:77" ht="15" hidden="1" customHeight="1" x14ac:dyDescent="0.35">
      <c r="A146" s="32" t="s">
        <v>217</v>
      </c>
      <c r="B146" s="32" t="s">
        <v>651</v>
      </c>
      <c r="C146" s="32" t="s">
        <v>42</v>
      </c>
      <c r="D146" s="32" t="s">
        <v>94</v>
      </c>
      <c r="E146" s="32" t="s">
        <v>95</v>
      </c>
      <c r="F146" s="32" t="s">
        <v>46</v>
      </c>
      <c r="G146" s="33">
        <v>46078</v>
      </c>
      <c r="H146" s="33">
        <v>46078</v>
      </c>
      <c r="I146" s="33">
        <v>46108</v>
      </c>
      <c r="J146" s="32" t="s">
        <v>11</v>
      </c>
      <c r="K146" s="34">
        <v>706000</v>
      </c>
      <c r="L146" s="34">
        <v>706000</v>
      </c>
      <c r="M146" s="34">
        <v>0</v>
      </c>
      <c r="N146" s="34">
        <v>0</v>
      </c>
      <c r="O146" s="34">
        <v>0</v>
      </c>
      <c r="P146" s="34">
        <v>706000</v>
      </c>
      <c r="Q146" s="34">
        <v>706000</v>
      </c>
      <c r="R146" s="34">
        <v>706000</v>
      </c>
      <c r="S146" s="34">
        <v>13850.6872373568</v>
      </c>
      <c r="T146" s="34">
        <v>706000</v>
      </c>
      <c r="U146" s="35">
        <v>706000</v>
      </c>
      <c r="V146" s="35">
        <v>0</v>
      </c>
      <c r="W146" s="35">
        <v>0</v>
      </c>
      <c r="X146" s="35">
        <v>0</v>
      </c>
      <c r="Y146" s="35">
        <v>0</v>
      </c>
      <c r="Z146" s="35">
        <v>0</v>
      </c>
      <c r="AA146" s="35">
        <v>0</v>
      </c>
      <c r="AB146" s="35">
        <v>0</v>
      </c>
      <c r="AC146" s="35">
        <v>0</v>
      </c>
      <c r="AD146" s="35">
        <v>0</v>
      </c>
      <c r="AE146" s="35">
        <v>0</v>
      </c>
      <c r="AF146" s="35">
        <v>0</v>
      </c>
      <c r="AG146" s="35">
        <v>0</v>
      </c>
      <c r="AH146" s="35">
        <v>0</v>
      </c>
      <c r="AI146" s="36">
        <v>13850.6872373568</v>
      </c>
      <c r="AJ146" s="36">
        <v>0</v>
      </c>
      <c r="AK146" s="36">
        <v>0</v>
      </c>
      <c r="AL146" s="36">
        <v>0</v>
      </c>
      <c r="AM146" s="36">
        <v>0</v>
      </c>
      <c r="AN146" s="36">
        <v>0</v>
      </c>
      <c r="AO146" s="36">
        <v>0</v>
      </c>
      <c r="AP146" s="36">
        <v>0</v>
      </c>
      <c r="AQ146" s="36">
        <v>0</v>
      </c>
      <c r="AR146" s="36">
        <v>0</v>
      </c>
      <c r="AS146" s="36">
        <v>0</v>
      </c>
      <c r="AT146" s="36">
        <v>0</v>
      </c>
      <c r="AU146" s="36">
        <v>0</v>
      </c>
      <c r="AV146" s="36">
        <v>0</v>
      </c>
      <c r="AW146" s="37">
        <v>706000</v>
      </c>
      <c r="AX146" s="37">
        <v>0</v>
      </c>
      <c r="AY146" s="37"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2" t="s">
        <v>12</v>
      </c>
      <c r="BL146" s="32" t="s">
        <v>13</v>
      </c>
      <c r="BM146" s="33">
        <v>46077.872615740744</v>
      </c>
      <c r="BN146" s="32" t="s">
        <v>28</v>
      </c>
      <c r="BO146" s="32" t="s">
        <v>29</v>
      </c>
      <c r="BP146" s="38">
        <v>-3</v>
      </c>
      <c r="BQ146" s="42"/>
      <c r="BR146" s="39">
        <v>-3</v>
      </c>
      <c r="BS146" s="22" t="s">
        <v>221</v>
      </c>
      <c r="BT146" s="4" t="str">
        <f t="shared" si="9"/>
        <v>120</v>
      </c>
      <c r="BU146" s="4" t="str">
        <f t="shared" si="9"/>
        <v>-3</v>
      </c>
      <c r="BV146" s="4">
        <f t="shared" si="10"/>
        <v>30</v>
      </c>
      <c r="BW146" s="29">
        <f t="shared" si="11"/>
        <v>-2118000</v>
      </c>
      <c r="BX146" s="4">
        <v>51.49</v>
      </c>
      <c r="BY146" s="29">
        <f t="shared" si="12"/>
        <v>-2987.8306849315068</v>
      </c>
    </row>
    <row r="147" spans="1:77" ht="15" hidden="1" customHeight="1" x14ac:dyDescent="0.35">
      <c r="A147" s="32" t="s">
        <v>217</v>
      </c>
      <c r="B147" s="32" t="s">
        <v>652</v>
      </c>
      <c r="C147" s="32" t="s">
        <v>38</v>
      </c>
      <c r="D147" s="32" t="s">
        <v>94</v>
      </c>
      <c r="E147" s="32" t="s">
        <v>95</v>
      </c>
      <c r="F147" s="32" t="s">
        <v>46</v>
      </c>
      <c r="G147" s="33">
        <v>46078</v>
      </c>
      <c r="H147" s="33">
        <v>46078</v>
      </c>
      <c r="I147" s="33">
        <v>46108</v>
      </c>
      <c r="J147" s="32" t="s">
        <v>11</v>
      </c>
      <c r="K147" s="34">
        <v>105000</v>
      </c>
      <c r="L147" s="34">
        <v>105000</v>
      </c>
      <c r="M147" s="34">
        <v>0</v>
      </c>
      <c r="N147" s="34">
        <v>0</v>
      </c>
      <c r="O147" s="34">
        <v>0</v>
      </c>
      <c r="P147" s="34">
        <v>105000</v>
      </c>
      <c r="Q147" s="34">
        <v>105000</v>
      </c>
      <c r="R147" s="34">
        <v>105000</v>
      </c>
      <c r="S147" s="34">
        <v>2059.94640215647</v>
      </c>
      <c r="T147" s="34">
        <v>105000</v>
      </c>
      <c r="U147" s="35">
        <v>105000</v>
      </c>
      <c r="V147" s="35">
        <v>0</v>
      </c>
      <c r="W147" s="35">
        <v>0</v>
      </c>
      <c r="X147" s="35">
        <v>0</v>
      </c>
      <c r="Y147" s="35">
        <v>0</v>
      </c>
      <c r="Z147" s="35">
        <v>0</v>
      </c>
      <c r="AA147" s="35">
        <v>0</v>
      </c>
      <c r="AB147" s="35">
        <v>0</v>
      </c>
      <c r="AC147" s="35">
        <v>0</v>
      </c>
      <c r="AD147" s="35">
        <v>0</v>
      </c>
      <c r="AE147" s="35">
        <v>0</v>
      </c>
      <c r="AF147" s="35">
        <v>0</v>
      </c>
      <c r="AG147" s="35">
        <v>0</v>
      </c>
      <c r="AH147" s="35">
        <v>0</v>
      </c>
      <c r="AI147" s="36">
        <v>2059.94640215647</v>
      </c>
      <c r="AJ147" s="36">
        <v>0</v>
      </c>
      <c r="AK147" s="36">
        <v>0</v>
      </c>
      <c r="AL147" s="36">
        <v>0</v>
      </c>
      <c r="AM147" s="36">
        <v>0</v>
      </c>
      <c r="AN147" s="36">
        <v>0</v>
      </c>
      <c r="AO147" s="36">
        <v>0</v>
      </c>
      <c r="AP147" s="36">
        <v>0</v>
      </c>
      <c r="AQ147" s="36">
        <v>0</v>
      </c>
      <c r="AR147" s="36">
        <v>0</v>
      </c>
      <c r="AS147" s="36">
        <v>0</v>
      </c>
      <c r="AT147" s="36">
        <v>0</v>
      </c>
      <c r="AU147" s="36">
        <v>0</v>
      </c>
      <c r="AV147" s="36">
        <v>0</v>
      </c>
      <c r="AW147" s="37">
        <v>105000</v>
      </c>
      <c r="AX147" s="37">
        <v>0</v>
      </c>
      <c r="AY147" s="37">
        <v>0</v>
      </c>
      <c r="AZ147" s="37">
        <v>0</v>
      </c>
      <c r="BA147" s="37">
        <v>0</v>
      </c>
      <c r="BB147" s="37">
        <v>0</v>
      </c>
      <c r="BC147" s="37">
        <v>0</v>
      </c>
      <c r="BD147" s="37">
        <v>0</v>
      </c>
      <c r="BE147" s="37">
        <v>0</v>
      </c>
      <c r="BF147" s="37">
        <v>0</v>
      </c>
      <c r="BG147" s="37">
        <v>0</v>
      </c>
      <c r="BH147" s="37">
        <v>0</v>
      </c>
      <c r="BI147" s="37">
        <v>0</v>
      </c>
      <c r="BJ147" s="37">
        <v>0</v>
      </c>
      <c r="BK147" s="32" t="s">
        <v>12</v>
      </c>
      <c r="BL147" s="32" t="s">
        <v>13</v>
      </c>
      <c r="BM147" s="33">
        <v>46077.872824074075</v>
      </c>
      <c r="BN147" s="32" t="s">
        <v>28</v>
      </c>
      <c r="BO147" s="32" t="s">
        <v>29</v>
      </c>
      <c r="BP147" s="38">
        <v>-3</v>
      </c>
      <c r="BQ147" s="42"/>
      <c r="BR147" s="39">
        <v>-3</v>
      </c>
      <c r="BS147" s="22" t="s">
        <v>221</v>
      </c>
      <c r="BT147" s="4" t="str">
        <f t="shared" si="9"/>
        <v>120</v>
      </c>
      <c r="BU147" s="4" t="str">
        <f t="shared" si="9"/>
        <v>-3</v>
      </c>
      <c r="BV147" s="4">
        <f t="shared" si="10"/>
        <v>30</v>
      </c>
      <c r="BW147" s="29">
        <f t="shared" si="11"/>
        <v>-315000</v>
      </c>
      <c r="BX147" s="4">
        <v>51.49</v>
      </c>
      <c r="BY147" s="29">
        <f t="shared" si="12"/>
        <v>-444.36575342465756</v>
      </c>
    </row>
    <row r="148" spans="1:77" ht="15" hidden="1" customHeight="1" x14ac:dyDescent="0.35">
      <c r="A148" s="32" t="s">
        <v>217</v>
      </c>
      <c r="B148" s="32" t="s">
        <v>653</v>
      </c>
      <c r="C148" s="32" t="s">
        <v>16</v>
      </c>
      <c r="D148" s="32" t="s">
        <v>73</v>
      </c>
      <c r="E148" s="32" t="s">
        <v>74</v>
      </c>
      <c r="F148" s="32" t="s">
        <v>46</v>
      </c>
      <c r="G148" s="33">
        <v>46078</v>
      </c>
      <c r="H148" s="33">
        <v>46078</v>
      </c>
      <c r="I148" s="33">
        <v>46123</v>
      </c>
      <c r="J148" s="32" t="s">
        <v>11</v>
      </c>
      <c r="K148" s="34">
        <v>388590.88</v>
      </c>
      <c r="L148" s="34">
        <v>380971.45</v>
      </c>
      <c r="M148" s="34">
        <v>7619.43</v>
      </c>
      <c r="N148" s="34">
        <v>0</v>
      </c>
      <c r="O148" s="34">
        <v>0</v>
      </c>
      <c r="P148" s="34">
        <v>388590.88</v>
      </c>
      <c r="Q148" s="34">
        <v>388590.88</v>
      </c>
      <c r="R148" s="34">
        <v>388590.88</v>
      </c>
      <c r="S148" s="34">
        <v>7623.5846206363503</v>
      </c>
      <c r="T148" s="34">
        <v>388590.88</v>
      </c>
      <c r="U148" s="35">
        <v>0</v>
      </c>
      <c r="V148" s="35">
        <v>388590.88</v>
      </c>
      <c r="W148" s="35">
        <v>0</v>
      </c>
      <c r="X148" s="35">
        <v>0</v>
      </c>
      <c r="Y148" s="35">
        <v>0</v>
      </c>
      <c r="Z148" s="35">
        <v>0</v>
      </c>
      <c r="AA148" s="35">
        <v>0</v>
      </c>
      <c r="AB148" s="35">
        <v>0</v>
      </c>
      <c r="AC148" s="35">
        <v>0</v>
      </c>
      <c r="AD148" s="35">
        <v>0</v>
      </c>
      <c r="AE148" s="35">
        <v>0</v>
      </c>
      <c r="AF148" s="35">
        <v>0</v>
      </c>
      <c r="AG148" s="35">
        <v>0</v>
      </c>
      <c r="AH148" s="35">
        <v>0</v>
      </c>
      <c r="AI148" s="36">
        <v>0</v>
      </c>
      <c r="AJ148" s="36">
        <v>7623.5846206363503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36">
        <v>0</v>
      </c>
      <c r="AR148" s="36">
        <v>0</v>
      </c>
      <c r="AS148" s="36">
        <v>0</v>
      </c>
      <c r="AT148" s="36">
        <v>0</v>
      </c>
      <c r="AU148" s="36">
        <v>0</v>
      </c>
      <c r="AV148" s="36">
        <v>0</v>
      </c>
      <c r="AW148" s="37">
        <v>0</v>
      </c>
      <c r="AX148" s="37">
        <v>388590.88</v>
      </c>
      <c r="AY148" s="37"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2" t="s">
        <v>12</v>
      </c>
      <c r="BL148" s="32" t="s">
        <v>13</v>
      </c>
      <c r="BM148" s="33">
        <v>46077.873043981483</v>
      </c>
      <c r="BN148" s="32" t="s">
        <v>28</v>
      </c>
      <c r="BO148" s="32" t="s">
        <v>29</v>
      </c>
      <c r="BP148" s="38">
        <v>-18</v>
      </c>
      <c r="BQ148" s="42"/>
      <c r="BR148" s="39">
        <v>-18</v>
      </c>
      <c r="BS148" s="22" t="s">
        <v>221</v>
      </c>
      <c r="BT148" s="4" t="str">
        <f t="shared" si="9"/>
        <v>120</v>
      </c>
      <c r="BU148" s="4" t="str">
        <f t="shared" si="9"/>
        <v>-18</v>
      </c>
      <c r="BV148" s="4">
        <f t="shared" si="10"/>
        <v>45</v>
      </c>
      <c r="BW148" s="29">
        <f t="shared" si="11"/>
        <v>-6994635.8399999999</v>
      </c>
      <c r="BX148" s="4">
        <v>51.49</v>
      </c>
      <c r="BY148" s="29">
        <f t="shared" si="12"/>
        <v>-9867.2273808657537</v>
      </c>
    </row>
    <row r="149" spans="1:77" ht="15" hidden="1" customHeight="1" x14ac:dyDescent="0.35">
      <c r="A149" s="32" t="s">
        <v>217</v>
      </c>
      <c r="B149" s="32" t="s">
        <v>654</v>
      </c>
      <c r="C149" s="32" t="s">
        <v>16</v>
      </c>
      <c r="D149" s="32" t="s">
        <v>73</v>
      </c>
      <c r="E149" s="32" t="s">
        <v>74</v>
      </c>
      <c r="F149" s="32" t="s">
        <v>46</v>
      </c>
      <c r="G149" s="33">
        <v>46078</v>
      </c>
      <c r="H149" s="33">
        <v>46078</v>
      </c>
      <c r="I149" s="33">
        <v>46123</v>
      </c>
      <c r="J149" s="32" t="s">
        <v>11</v>
      </c>
      <c r="K149" s="34">
        <v>92928.51</v>
      </c>
      <c r="L149" s="34">
        <v>91106.38</v>
      </c>
      <c r="M149" s="34">
        <v>1822.13</v>
      </c>
      <c r="N149" s="34">
        <v>0</v>
      </c>
      <c r="O149" s="34">
        <v>0</v>
      </c>
      <c r="P149" s="34">
        <v>92928.51</v>
      </c>
      <c r="Q149" s="34">
        <v>92928.51</v>
      </c>
      <c r="R149" s="34">
        <v>92928.51</v>
      </c>
      <c r="S149" s="34">
        <v>1823.1214269739201</v>
      </c>
      <c r="T149" s="34">
        <v>92928.51</v>
      </c>
      <c r="U149" s="35">
        <v>0</v>
      </c>
      <c r="V149" s="35">
        <v>92928.51</v>
      </c>
      <c r="W149" s="35">
        <v>0</v>
      </c>
      <c r="X149" s="35">
        <v>0</v>
      </c>
      <c r="Y149" s="35">
        <v>0</v>
      </c>
      <c r="Z149" s="35">
        <v>0</v>
      </c>
      <c r="AA149" s="35">
        <v>0</v>
      </c>
      <c r="AB149" s="35">
        <v>0</v>
      </c>
      <c r="AC149" s="35">
        <v>0</v>
      </c>
      <c r="AD149" s="35">
        <v>0</v>
      </c>
      <c r="AE149" s="35">
        <v>0</v>
      </c>
      <c r="AF149" s="35">
        <v>0</v>
      </c>
      <c r="AG149" s="35">
        <v>0</v>
      </c>
      <c r="AH149" s="35">
        <v>0</v>
      </c>
      <c r="AI149" s="36">
        <v>0</v>
      </c>
      <c r="AJ149" s="36">
        <v>1823.1214269739201</v>
      </c>
      <c r="AK149" s="36">
        <v>0</v>
      </c>
      <c r="AL149" s="36">
        <v>0</v>
      </c>
      <c r="AM149" s="36">
        <v>0</v>
      </c>
      <c r="AN149" s="36">
        <v>0</v>
      </c>
      <c r="AO149" s="36">
        <v>0</v>
      </c>
      <c r="AP149" s="36">
        <v>0</v>
      </c>
      <c r="AQ149" s="36">
        <v>0</v>
      </c>
      <c r="AR149" s="36">
        <v>0</v>
      </c>
      <c r="AS149" s="36">
        <v>0</v>
      </c>
      <c r="AT149" s="36">
        <v>0</v>
      </c>
      <c r="AU149" s="36">
        <v>0</v>
      </c>
      <c r="AV149" s="36">
        <v>0</v>
      </c>
      <c r="AW149" s="37">
        <v>0</v>
      </c>
      <c r="AX149" s="37">
        <v>92928.51</v>
      </c>
      <c r="AY149" s="37">
        <v>0</v>
      </c>
      <c r="AZ149" s="37">
        <v>0</v>
      </c>
      <c r="BA149" s="37">
        <v>0</v>
      </c>
      <c r="BB149" s="37">
        <v>0</v>
      </c>
      <c r="BC149" s="37">
        <v>0</v>
      </c>
      <c r="BD149" s="37">
        <v>0</v>
      </c>
      <c r="BE149" s="37">
        <v>0</v>
      </c>
      <c r="BF149" s="37">
        <v>0</v>
      </c>
      <c r="BG149" s="37">
        <v>0</v>
      </c>
      <c r="BH149" s="37">
        <v>0</v>
      </c>
      <c r="BI149" s="37">
        <v>0</v>
      </c>
      <c r="BJ149" s="37">
        <v>0</v>
      </c>
      <c r="BK149" s="32" t="s">
        <v>12</v>
      </c>
      <c r="BL149" s="32" t="s">
        <v>13</v>
      </c>
      <c r="BM149" s="33">
        <v>46077.873252314814</v>
      </c>
      <c r="BN149" s="32" t="s">
        <v>28</v>
      </c>
      <c r="BO149" s="32" t="s">
        <v>29</v>
      </c>
      <c r="BP149" s="38">
        <v>-18</v>
      </c>
      <c r="BQ149" s="42"/>
      <c r="BR149" s="39">
        <v>-18</v>
      </c>
      <c r="BS149" s="22" t="s">
        <v>221</v>
      </c>
      <c r="BT149" s="4" t="str">
        <f t="shared" si="9"/>
        <v>120</v>
      </c>
      <c r="BU149" s="4" t="str">
        <f t="shared" si="9"/>
        <v>-18</v>
      </c>
      <c r="BV149" s="4">
        <f t="shared" si="10"/>
        <v>45</v>
      </c>
      <c r="BW149" s="29">
        <f t="shared" si="11"/>
        <v>-1672713.18</v>
      </c>
      <c r="BX149" s="4">
        <v>51.49</v>
      </c>
      <c r="BY149" s="29">
        <f t="shared" si="12"/>
        <v>-2359.6712777589041</v>
      </c>
    </row>
    <row r="150" spans="1:77" ht="15" hidden="1" customHeight="1" x14ac:dyDescent="0.35">
      <c r="A150" s="32" t="s">
        <v>217</v>
      </c>
      <c r="B150" s="32" t="s">
        <v>655</v>
      </c>
      <c r="C150" s="32" t="s">
        <v>16</v>
      </c>
      <c r="D150" s="32" t="s">
        <v>73</v>
      </c>
      <c r="E150" s="32" t="s">
        <v>74</v>
      </c>
      <c r="F150" s="32" t="s">
        <v>46</v>
      </c>
      <c r="G150" s="33">
        <v>46078</v>
      </c>
      <c r="H150" s="33">
        <v>46078</v>
      </c>
      <c r="I150" s="33">
        <v>46123</v>
      </c>
      <c r="J150" s="32" t="s">
        <v>11</v>
      </c>
      <c r="K150" s="34">
        <v>322435.20000000001</v>
      </c>
      <c r="L150" s="34">
        <v>316112.94</v>
      </c>
      <c r="M150" s="34">
        <v>6322.26</v>
      </c>
      <c r="N150" s="34">
        <v>0</v>
      </c>
      <c r="O150" s="34">
        <v>0</v>
      </c>
      <c r="P150" s="34">
        <v>322435.20000000001</v>
      </c>
      <c r="Q150" s="34">
        <v>322435.20000000001</v>
      </c>
      <c r="R150" s="34">
        <v>322435.20000000001</v>
      </c>
      <c r="S150" s="34">
        <v>6325.7069539866798</v>
      </c>
      <c r="T150" s="34">
        <v>322435.20000000001</v>
      </c>
      <c r="U150" s="35">
        <v>0</v>
      </c>
      <c r="V150" s="35">
        <v>322435.20000000001</v>
      </c>
      <c r="W150" s="35">
        <v>0</v>
      </c>
      <c r="X150" s="35">
        <v>0</v>
      </c>
      <c r="Y150" s="35">
        <v>0</v>
      </c>
      <c r="Z150" s="35">
        <v>0</v>
      </c>
      <c r="AA150" s="35">
        <v>0</v>
      </c>
      <c r="AB150" s="35">
        <v>0</v>
      </c>
      <c r="AC150" s="35">
        <v>0</v>
      </c>
      <c r="AD150" s="35">
        <v>0</v>
      </c>
      <c r="AE150" s="35">
        <v>0</v>
      </c>
      <c r="AF150" s="35">
        <v>0</v>
      </c>
      <c r="AG150" s="35">
        <v>0</v>
      </c>
      <c r="AH150" s="35">
        <v>0</v>
      </c>
      <c r="AI150" s="36">
        <v>0</v>
      </c>
      <c r="AJ150" s="36">
        <v>6325.7069539866798</v>
      </c>
      <c r="AK150" s="36">
        <v>0</v>
      </c>
      <c r="AL150" s="36">
        <v>0</v>
      </c>
      <c r="AM150" s="36">
        <v>0</v>
      </c>
      <c r="AN150" s="36">
        <v>0</v>
      </c>
      <c r="AO150" s="36">
        <v>0</v>
      </c>
      <c r="AP150" s="36">
        <v>0</v>
      </c>
      <c r="AQ150" s="36">
        <v>0</v>
      </c>
      <c r="AR150" s="36">
        <v>0</v>
      </c>
      <c r="AS150" s="36">
        <v>0</v>
      </c>
      <c r="AT150" s="36">
        <v>0</v>
      </c>
      <c r="AU150" s="36">
        <v>0</v>
      </c>
      <c r="AV150" s="36">
        <v>0</v>
      </c>
      <c r="AW150" s="37">
        <v>0</v>
      </c>
      <c r="AX150" s="37">
        <v>322435.20000000001</v>
      </c>
      <c r="AY150" s="37"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2" t="s">
        <v>12</v>
      </c>
      <c r="BL150" s="32" t="s">
        <v>13</v>
      </c>
      <c r="BM150" s="33">
        <v>46077.873460648145</v>
      </c>
      <c r="BN150" s="32" t="s">
        <v>28</v>
      </c>
      <c r="BO150" s="32" t="s">
        <v>29</v>
      </c>
      <c r="BP150" s="38">
        <v>-18</v>
      </c>
      <c r="BQ150" s="42"/>
      <c r="BR150" s="39">
        <v>-18</v>
      </c>
      <c r="BS150" s="22" t="s">
        <v>221</v>
      </c>
      <c r="BT150" s="4" t="str">
        <f t="shared" si="9"/>
        <v>120</v>
      </c>
      <c r="BU150" s="4" t="str">
        <f t="shared" si="9"/>
        <v>-18</v>
      </c>
      <c r="BV150" s="4">
        <f t="shared" si="10"/>
        <v>45</v>
      </c>
      <c r="BW150" s="29">
        <f t="shared" si="11"/>
        <v>-5803833.6000000006</v>
      </c>
      <c r="BX150" s="4">
        <v>51.49</v>
      </c>
      <c r="BY150" s="29">
        <f t="shared" si="12"/>
        <v>-8187.3806044931525</v>
      </c>
    </row>
    <row r="151" spans="1:77" ht="15" hidden="1" customHeight="1" x14ac:dyDescent="0.35">
      <c r="A151" s="32" t="s">
        <v>217</v>
      </c>
      <c r="B151" s="32" t="s">
        <v>656</v>
      </c>
      <c r="C151" s="32" t="s">
        <v>16</v>
      </c>
      <c r="D151" s="32" t="s">
        <v>73</v>
      </c>
      <c r="E151" s="32" t="s">
        <v>74</v>
      </c>
      <c r="F151" s="32" t="s">
        <v>46</v>
      </c>
      <c r="G151" s="33">
        <v>46078</v>
      </c>
      <c r="H151" s="33">
        <v>46078</v>
      </c>
      <c r="I151" s="33">
        <v>46123</v>
      </c>
      <c r="J151" s="32" t="s">
        <v>11</v>
      </c>
      <c r="K151" s="34">
        <v>77059.67</v>
      </c>
      <c r="L151" s="34">
        <v>75548.7</v>
      </c>
      <c r="M151" s="34">
        <v>1510.97</v>
      </c>
      <c r="N151" s="34">
        <v>0</v>
      </c>
      <c r="O151" s="34">
        <v>0</v>
      </c>
      <c r="P151" s="34">
        <v>77059.67</v>
      </c>
      <c r="Q151" s="34">
        <v>77059.67</v>
      </c>
      <c r="R151" s="34">
        <v>77059.67</v>
      </c>
      <c r="S151" s="34">
        <v>1511.79799969395</v>
      </c>
      <c r="T151" s="34">
        <v>77059.67</v>
      </c>
      <c r="U151" s="35">
        <v>0</v>
      </c>
      <c r="V151" s="35">
        <v>77059.67</v>
      </c>
      <c r="W151" s="35">
        <v>0</v>
      </c>
      <c r="X151" s="35">
        <v>0</v>
      </c>
      <c r="Y151" s="35">
        <v>0</v>
      </c>
      <c r="Z151" s="35">
        <v>0</v>
      </c>
      <c r="AA151" s="35">
        <v>0</v>
      </c>
      <c r="AB151" s="35">
        <v>0</v>
      </c>
      <c r="AC151" s="35">
        <v>0</v>
      </c>
      <c r="AD151" s="35">
        <v>0</v>
      </c>
      <c r="AE151" s="35">
        <v>0</v>
      </c>
      <c r="AF151" s="35">
        <v>0</v>
      </c>
      <c r="AG151" s="35">
        <v>0</v>
      </c>
      <c r="AH151" s="35">
        <v>0</v>
      </c>
      <c r="AI151" s="36">
        <v>0</v>
      </c>
      <c r="AJ151" s="36">
        <v>1511.79799969395</v>
      </c>
      <c r="AK151" s="36">
        <v>0</v>
      </c>
      <c r="AL151" s="36">
        <v>0</v>
      </c>
      <c r="AM151" s="36">
        <v>0</v>
      </c>
      <c r="AN151" s="36">
        <v>0</v>
      </c>
      <c r="AO151" s="36">
        <v>0</v>
      </c>
      <c r="AP151" s="36">
        <v>0</v>
      </c>
      <c r="AQ151" s="36">
        <v>0</v>
      </c>
      <c r="AR151" s="36">
        <v>0</v>
      </c>
      <c r="AS151" s="36">
        <v>0</v>
      </c>
      <c r="AT151" s="36">
        <v>0</v>
      </c>
      <c r="AU151" s="36">
        <v>0</v>
      </c>
      <c r="AV151" s="36">
        <v>0</v>
      </c>
      <c r="AW151" s="37">
        <v>0</v>
      </c>
      <c r="AX151" s="37">
        <v>77059.67</v>
      </c>
      <c r="AY151" s="37">
        <v>0</v>
      </c>
      <c r="AZ151" s="37">
        <v>0</v>
      </c>
      <c r="BA151" s="37">
        <v>0</v>
      </c>
      <c r="BB151" s="37">
        <v>0</v>
      </c>
      <c r="BC151" s="37">
        <v>0</v>
      </c>
      <c r="BD151" s="37">
        <v>0</v>
      </c>
      <c r="BE151" s="37">
        <v>0</v>
      </c>
      <c r="BF151" s="37">
        <v>0</v>
      </c>
      <c r="BG151" s="37">
        <v>0</v>
      </c>
      <c r="BH151" s="37">
        <v>0</v>
      </c>
      <c r="BI151" s="37">
        <v>0</v>
      </c>
      <c r="BJ151" s="37">
        <v>0</v>
      </c>
      <c r="BK151" s="32" t="s">
        <v>12</v>
      </c>
      <c r="BL151" s="32" t="s">
        <v>13</v>
      </c>
      <c r="BM151" s="33">
        <v>46077.873668981483</v>
      </c>
      <c r="BN151" s="32" t="s">
        <v>28</v>
      </c>
      <c r="BO151" s="32" t="s">
        <v>29</v>
      </c>
      <c r="BP151" s="38">
        <v>-18</v>
      </c>
      <c r="BQ151" s="42"/>
      <c r="BR151" s="39">
        <v>-18</v>
      </c>
      <c r="BS151" s="22" t="s">
        <v>221</v>
      </c>
      <c r="BT151" s="4" t="str">
        <f t="shared" si="9"/>
        <v>120</v>
      </c>
      <c r="BU151" s="4" t="str">
        <f t="shared" si="9"/>
        <v>-18</v>
      </c>
      <c r="BV151" s="4">
        <f t="shared" si="10"/>
        <v>45</v>
      </c>
      <c r="BW151" s="29">
        <f t="shared" si="11"/>
        <v>-1387074.06</v>
      </c>
      <c r="BX151" s="4">
        <v>51.49</v>
      </c>
      <c r="BY151" s="29">
        <f t="shared" si="12"/>
        <v>-1956.7244753260275</v>
      </c>
    </row>
    <row r="152" spans="1:77" ht="15" hidden="1" customHeight="1" x14ac:dyDescent="0.35">
      <c r="A152" s="32" t="s">
        <v>217</v>
      </c>
      <c r="B152" s="32" t="s">
        <v>657</v>
      </c>
      <c r="C152" s="32" t="s">
        <v>30</v>
      </c>
      <c r="D152" s="32" t="s">
        <v>116</v>
      </c>
      <c r="E152" s="32" t="s">
        <v>117</v>
      </c>
      <c r="F152" s="32" t="s">
        <v>118</v>
      </c>
      <c r="G152" s="33">
        <v>46078</v>
      </c>
      <c r="H152" s="33">
        <v>46078</v>
      </c>
      <c r="I152" s="33">
        <v>46108</v>
      </c>
      <c r="J152" s="32" t="s">
        <v>11</v>
      </c>
      <c r="K152" s="34">
        <v>456288.52</v>
      </c>
      <c r="L152" s="34">
        <v>447341.68</v>
      </c>
      <c r="M152" s="34">
        <v>8946.84</v>
      </c>
      <c r="N152" s="34">
        <v>0</v>
      </c>
      <c r="O152" s="34">
        <v>0</v>
      </c>
      <c r="P152" s="34">
        <v>456288.52</v>
      </c>
      <c r="Q152" s="34">
        <v>456288.52</v>
      </c>
      <c r="R152" s="34">
        <v>456288.52</v>
      </c>
      <c r="S152" s="34">
        <v>8951.7132868504796</v>
      </c>
      <c r="T152" s="34">
        <v>456288.52</v>
      </c>
      <c r="U152" s="35">
        <v>456288.52</v>
      </c>
      <c r="V152" s="35">
        <v>0</v>
      </c>
      <c r="W152" s="35">
        <v>0</v>
      </c>
      <c r="X152" s="35">
        <v>0</v>
      </c>
      <c r="Y152" s="35">
        <v>0</v>
      </c>
      <c r="Z152" s="35">
        <v>0</v>
      </c>
      <c r="AA152" s="35">
        <v>0</v>
      </c>
      <c r="AB152" s="35">
        <v>0</v>
      </c>
      <c r="AC152" s="35">
        <v>0</v>
      </c>
      <c r="AD152" s="35">
        <v>0</v>
      </c>
      <c r="AE152" s="35">
        <v>0</v>
      </c>
      <c r="AF152" s="35">
        <v>0</v>
      </c>
      <c r="AG152" s="35">
        <v>0</v>
      </c>
      <c r="AH152" s="35">
        <v>0</v>
      </c>
      <c r="AI152" s="36">
        <v>8951.7132868504796</v>
      </c>
      <c r="AJ152" s="36">
        <v>0</v>
      </c>
      <c r="AK152" s="36">
        <v>0</v>
      </c>
      <c r="AL152" s="36">
        <v>0</v>
      </c>
      <c r="AM152" s="36">
        <v>0</v>
      </c>
      <c r="AN152" s="36">
        <v>0</v>
      </c>
      <c r="AO152" s="36">
        <v>0</v>
      </c>
      <c r="AP152" s="36">
        <v>0</v>
      </c>
      <c r="AQ152" s="36">
        <v>0</v>
      </c>
      <c r="AR152" s="36">
        <v>0</v>
      </c>
      <c r="AS152" s="36">
        <v>0</v>
      </c>
      <c r="AT152" s="36">
        <v>0</v>
      </c>
      <c r="AU152" s="36">
        <v>0</v>
      </c>
      <c r="AV152" s="36">
        <v>0</v>
      </c>
      <c r="AW152" s="37">
        <v>456288.52</v>
      </c>
      <c r="AX152" s="37">
        <v>0</v>
      </c>
      <c r="AY152" s="37"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2" t="s">
        <v>12</v>
      </c>
      <c r="BL152" s="32" t="s">
        <v>13</v>
      </c>
      <c r="BM152" s="33">
        <v>46077.874305555553</v>
      </c>
      <c r="BN152" s="32" t="s">
        <v>28</v>
      </c>
      <c r="BO152" s="32" t="s">
        <v>29</v>
      </c>
      <c r="BP152" s="38">
        <v>-3</v>
      </c>
      <c r="BQ152" s="42"/>
      <c r="BR152" s="39">
        <v>-3</v>
      </c>
      <c r="BS152" s="22" t="s">
        <v>221</v>
      </c>
      <c r="BT152" s="4" t="str">
        <f t="shared" si="9"/>
        <v>120</v>
      </c>
      <c r="BU152" s="4" t="str">
        <f t="shared" si="9"/>
        <v>-3</v>
      </c>
      <c r="BV152" s="4">
        <f t="shared" si="10"/>
        <v>30</v>
      </c>
      <c r="BW152" s="29">
        <f t="shared" si="11"/>
        <v>-1368865.56</v>
      </c>
      <c r="BX152" s="4">
        <v>51.49</v>
      </c>
      <c r="BY152" s="29">
        <f t="shared" si="12"/>
        <v>-1931.0380187506851</v>
      </c>
    </row>
    <row r="153" spans="1:77" ht="15" hidden="1" customHeight="1" x14ac:dyDescent="0.35">
      <c r="A153" s="32" t="s">
        <v>217</v>
      </c>
      <c r="B153" s="32" t="s">
        <v>658</v>
      </c>
      <c r="C153" s="32" t="s">
        <v>30</v>
      </c>
      <c r="D153" s="32" t="s">
        <v>73</v>
      </c>
      <c r="E153" s="32" t="s">
        <v>74</v>
      </c>
      <c r="F153" s="32" t="s">
        <v>46</v>
      </c>
      <c r="G153" s="33">
        <v>46078</v>
      </c>
      <c r="H153" s="33">
        <v>46078</v>
      </c>
      <c r="I153" s="33">
        <v>46123</v>
      </c>
      <c r="J153" s="32" t="s">
        <v>11</v>
      </c>
      <c r="K153" s="34">
        <v>310059.23</v>
      </c>
      <c r="L153" s="34">
        <v>303979.64</v>
      </c>
      <c r="M153" s="34">
        <v>6079.59</v>
      </c>
      <c r="N153" s="34">
        <v>0</v>
      </c>
      <c r="O153" s="34">
        <v>0</v>
      </c>
      <c r="P153" s="34">
        <v>310059.23</v>
      </c>
      <c r="Q153" s="34">
        <v>310059.23</v>
      </c>
      <c r="R153" s="34">
        <v>310059.23</v>
      </c>
      <c r="S153" s="34">
        <v>6082.9085266086204</v>
      </c>
      <c r="T153" s="34">
        <v>310059.23</v>
      </c>
      <c r="U153" s="35">
        <v>0</v>
      </c>
      <c r="V153" s="35">
        <v>310059.23</v>
      </c>
      <c r="W153" s="35">
        <v>0</v>
      </c>
      <c r="X153" s="35">
        <v>0</v>
      </c>
      <c r="Y153" s="35">
        <v>0</v>
      </c>
      <c r="Z153" s="35">
        <v>0</v>
      </c>
      <c r="AA153" s="35">
        <v>0</v>
      </c>
      <c r="AB153" s="35">
        <v>0</v>
      </c>
      <c r="AC153" s="35">
        <v>0</v>
      </c>
      <c r="AD153" s="35">
        <v>0</v>
      </c>
      <c r="AE153" s="35">
        <v>0</v>
      </c>
      <c r="AF153" s="35">
        <v>0</v>
      </c>
      <c r="AG153" s="35">
        <v>0</v>
      </c>
      <c r="AH153" s="35">
        <v>0</v>
      </c>
      <c r="AI153" s="36">
        <v>0</v>
      </c>
      <c r="AJ153" s="36">
        <v>6082.9085266086204</v>
      </c>
      <c r="AK153" s="36">
        <v>0</v>
      </c>
      <c r="AL153" s="36">
        <v>0</v>
      </c>
      <c r="AM153" s="36">
        <v>0</v>
      </c>
      <c r="AN153" s="36">
        <v>0</v>
      </c>
      <c r="AO153" s="36">
        <v>0</v>
      </c>
      <c r="AP153" s="36">
        <v>0</v>
      </c>
      <c r="AQ153" s="36">
        <v>0</v>
      </c>
      <c r="AR153" s="36">
        <v>0</v>
      </c>
      <c r="AS153" s="36">
        <v>0</v>
      </c>
      <c r="AT153" s="36">
        <v>0</v>
      </c>
      <c r="AU153" s="36">
        <v>0</v>
      </c>
      <c r="AV153" s="36">
        <v>0</v>
      </c>
      <c r="AW153" s="37">
        <v>0</v>
      </c>
      <c r="AX153" s="37">
        <v>310059.23</v>
      </c>
      <c r="AY153" s="37">
        <v>0</v>
      </c>
      <c r="AZ153" s="37">
        <v>0</v>
      </c>
      <c r="BA153" s="37">
        <v>0</v>
      </c>
      <c r="BB153" s="37">
        <v>0</v>
      </c>
      <c r="BC153" s="37">
        <v>0</v>
      </c>
      <c r="BD153" s="37">
        <v>0</v>
      </c>
      <c r="BE153" s="37">
        <v>0</v>
      </c>
      <c r="BF153" s="37">
        <v>0</v>
      </c>
      <c r="BG153" s="37">
        <v>0</v>
      </c>
      <c r="BH153" s="37">
        <v>0</v>
      </c>
      <c r="BI153" s="37">
        <v>0</v>
      </c>
      <c r="BJ153" s="37">
        <v>0</v>
      </c>
      <c r="BK153" s="32" t="s">
        <v>12</v>
      </c>
      <c r="BL153" s="32" t="s">
        <v>13</v>
      </c>
      <c r="BM153" s="33">
        <v>46078.553483796299</v>
      </c>
      <c r="BN153" s="32" t="s">
        <v>28</v>
      </c>
      <c r="BO153" s="32" t="s">
        <v>29</v>
      </c>
      <c r="BP153" s="38">
        <v>-18</v>
      </c>
      <c r="BQ153" s="42"/>
      <c r="BR153" s="39">
        <v>-18</v>
      </c>
      <c r="BS153" s="22" t="s">
        <v>221</v>
      </c>
      <c r="BT153" s="4" t="str">
        <f t="shared" si="9"/>
        <v>120</v>
      </c>
      <c r="BU153" s="4" t="str">
        <f t="shared" si="9"/>
        <v>-18</v>
      </c>
      <c r="BV153" s="4">
        <f t="shared" si="10"/>
        <v>45</v>
      </c>
      <c r="BW153" s="29">
        <f t="shared" si="11"/>
        <v>-5581066.1399999997</v>
      </c>
      <c r="BX153" s="4">
        <v>51.49</v>
      </c>
      <c r="BY153" s="29">
        <f t="shared" si="12"/>
        <v>-7873.1259054410966</v>
      </c>
    </row>
    <row r="154" spans="1:77" ht="15" hidden="1" customHeight="1" x14ac:dyDescent="0.35">
      <c r="A154" s="32" t="s">
        <v>217</v>
      </c>
      <c r="B154" s="32" t="s">
        <v>809</v>
      </c>
      <c r="C154" s="32" t="s">
        <v>30</v>
      </c>
      <c r="D154" s="32" t="s">
        <v>73</v>
      </c>
      <c r="E154" s="32" t="s">
        <v>74</v>
      </c>
      <c r="F154" s="32" t="s">
        <v>46</v>
      </c>
      <c r="G154" s="33">
        <v>46078</v>
      </c>
      <c r="H154" s="33">
        <v>46078</v>
      </c>
      <c r="I154" s="33">
        <v>46123</v>
      </c>
      <c r="J154" s="32" t="s">
        <v>11</v>
      </c>
      <c r="K154" s="34">
        <v>74846.539999999994</v>
      </c>
      <c r="L154" s="34">
        <v>73378.960000000006</v>
      </c>
      <c r="M154" s="34">
        <v>1467.58</v>
      </c>
      <c r="N154" s="34">
        <v>0</v>
      </c>
      <c r="O154" s="34">
        <v>0</v>
      </c>
      <c r="P154" s="34">
        <v>74846.539999999994</v>
      </c>
      <c r="Q154" s="34">
        <v>74846.539999999994</v>
      </c>
      <c r="R154" s="34">
        <v>74846.539999999994</v>
      </c>
      <c r="S154" s="34">
        <v>1468.3796265415299</v>
      </c>
      <c r="T154" s="34">
        <v>74846.539999999994</v>
      </c>
      <c r="U154" s="35">
        <v>0</v>
      </c>
      <c r="V154" s="35">
        <v>74846.539999999994</v>
      </c>
      <c r="W154" s="35">
        <v>0</v>
      </c>
      <c r="X154" s="35">
        <v>0</v>
      </c>
      <c r="Y154" s="35">
        <v>0</v>
      </c>
      <c r="Z154" s="35">
        <v>0</v>
      </c>
      <c r="AA154" s="35">
        <v>0</v>
      </c>
      <c r="AB154" s="35">
        <v>0</v>
      </c>
      <c r="AC154" s="35">
        <v>0</v>
      </c>
      <c r="AD154" s="35">
        <v>0</v>
      </c>
      <c r="AE154" s="35">
        <v>0</v>
      </c>
      <c r="AF154" s="35">
        <v>0</v>
      </c>
      <c r="AG154" s="35">
        <v>0</v>
      </c>
      <c r="AH154" s="35">
        <v>0</v>
      </c>
      <c r="AI154" s="36">
        <v>0</v>
      </c>
      <c r="AJ154" s="36">
        <v>1468.3796265415299</v>
      </c>
      <c r="AK154" s="36">
        <v>0</v>
      </c>
      <c r="AL154" s="36">
        <v>0</v>
      </c>
      <c r="AM154" s="36">
        <v>0</v>
      </c>
      <c r="AN154" s="36">
        <v>0</v>
      </c>
      <c r="AO154" s="36">
        <v>0</v>
      </c>
      <c r="AP154" s="36">
        <v>0</v>
      </c>
      <c r="AQ154" s="36">
        <v>0</v>
      </c>
      <c r="AR154" s="36">
        <v>0</v>
      </c>
      <c r="AS154" s="36">
        <v>0</v>
      </c>
      <c r="AT154" s="36">
        <v>0</v>
      </c>
      <c r="AU154" s="36">
        <v>0</v>
      </c>
      <c r="AV154" s="36">
        <v>0</v>
      </c>
      <c r="AW154" s="37">
        <v>0</v>
      </c>
      <c r="AX154" s="37">
        <v>74846.539999999994</v>
      </c>
      <c r="AY154" s="37"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2" t="s">
        <v>12</v>
      </c>
      <c r="BL154" s="32" t="s">
        <v>13</v>
      </c>
      <c r="BM154" s="33">
        <v>46078.554930555554</v>
      </c>
      <c r="BN154" s="32" t="s">
        <v>28</v>
      </c>
      <c r="BO154" s="32" t="s">
        <v>29</v>
      </c>
      <c r="BP154" s="38">
        <v>-18</v>
      </c>
      <c r="BQ154" s="42"/>
      <c r="BR154" s="39">
        <v>-18</v>
      </c>
      <c r="BS154" s="22" t="s">
        <v>221</v>
      </c>
      <c r="BT154" s="4" t="str">
        <f t="shared" si="9"/>
        <v>120</v>
      </c>
      <c r="BU154" s="4" t="str">
        <f t="shared" si="9"/>
        <v>-18</v>
      </c>
      <c r="BV154" s="4">
        <f t="shared" si="10"/>
        <v>45</v>
      </c>
      <c r="BW154" s="29">
        <f t="shared" si="11"/>
        <v>-1347237.72</v>
      </c>
      <c r="BX154" s="4">
        <v>51.49</v>
      </c>
      <c r="BY154" s="29">
        <f t="shared" si="12"/>
        <v>-1900.527950761644</v>
      </c>
    </row>
    <row r="155" spans="1:77" ht="15" hidden="1" customHeight="1" x14ac:dyDescent="0.35">
      <c r="A155" s="32" t="s">
        <v>217</v>
      </c>
      <c r="B155" s="32" t="s">
        <v>659</v>
      </c>
      <c r="C155" s="32" t="s">
        <v>16</v>
      </c>
      <c r="D155" s="32" t="s">
        <v>436</v>
      </c>
      <c r="E155" s="32" t="s">
        <v>365</v>
      </c>
      <c r="F155" s="32" t="s">
        <v>437</v>
      </c>
      <c r="G155" s="33">
        <v>46078</v>
      </c>
      <c r="H155" s="33">
        <v>46078</v>
      </c>
      <c r="I155" s="33">
        <v>46108</v>
      </c>
      <c r="J155" s="32" t="s">
        <v>11</v>
      </c>
      <c r="K155" s="34">
        <v>572317.30000000005</v>
      </c>
      <c r="L155" s="34">
        <v>561095.4</v>
      </c>
      <c r="M155" s="34">
        <v>11221.9</v>
      </c>
      <c r="N155" s="34">
        <v>0</v>
      </c>
      <c r="O155" s="34">
        <v>0</v>
      </c>
      <c r="P155" s="34">
        <v>572317.30000000005</v>
      </c>
      <c r="Q155" s="34">
        <v>572317.30000000005</v>
      </c>
      <c r="R155" s="34">
        <v>572317.30000000005</v>
      </c>
      <c r="S155" s="34">
        <v>11228.0282193039</v>
      </c>
      <c r="T155" s="34">
        <v>572317.30000000005</v>
      </c>
      <c r="U155" s="35">
        <v>572317.30000000005</v>
      </c>
      <c r="V155" s="35">
        <v>0</v>
      </c>
      <c r="W155" s="35">
        <v>0</v>
      </c>
      <c r="X155" s="35">
        <v>0</v>
      </c>
      <c r="Y155" s="35">
        <v>0</v>
      </c>
      <c r="Z155" s="35">
        <v>0</v>
      </c>
      <c r="AA155" s="35">
        <v>0</v>
      </c>
      <c r="AB155" s="35">
        <v>0</v>
      </c>
      <c r="AC155" s="35">
        <v>0</v>
      </c>
      <c r="AD155" s="35">
        <v>0</v>
      </c>
      <c r="AE155" s="35">
        <v>0</v>
      </c>
      <c r="AF155" s="35">
        <v>0</v>
      </c>
      <c r="AG155" s="35">
        <v>0</v>
      </c>
      <c r="AH155" s="35">
        <v>0</v>
      </c>
      <c r="AI155" s="36">
        <v>11228.0282193039</v>
      </c>
      <c r="AJ155" s="36">
        <v>0</v>
      </c>
      <c r="AK155" s="36">
        <v>0</v>
      </c>
      <c r="AL155" s="36">
        <v>0</v>
      </c>
      <c r="AM155" s="36">
        <v>0</v>
      </c>
      <c r="AN155" s="36">
        <v>0</v>
      </c>
      <c r="AO155" s="36">
        <v>0</v>
      </c>
      <c r="AP155" s="36">
        <v>0</v>
      </c>
      <c r="AQ155" s="36">
        <v>0</v>
      </c>
      <c r="AR155" s="36">
        <v>0</v>
      </c>
      <c r="AS155" s="36">
        <v>0</v>
      </c>
      <c r="AT155" s="36">
        <v>0</v>
      </c>
      <c r="AU155" s="36">
        <v>0</v>
      </c>
      <c r="AV155" s="36">
        <v>0</v>
      </c>
      <c r="AW155" s="37">
        <v>572317.30000000005</v>
      </c>
      <c r="AX155" s="37">
        <v>0</v>
      </c>
      <c r="AY155" s="37">
        <v>0</v>
      </c>
      <c r="AZ155" s="37">
        <v>0</v>
      </c>
      <c r="BA155" s="37">
        <v>0</v>
      </c>
      <c r="BB155" s="37">
        <v>0</v>
      </c>
      <c r="BC155" s="37">
        <v>0</v>
      </c>
      <c r="BD155" s="37">
        <v>0</v>
      </c>
      <c r="BE155" s="37">
        <v>0</v>
      </c>
      <c r="BF155" s="37">
        <v>0</v>
      </c>
      <c r="BG155" s="37">
        <v>0</v>
      </c>
      <c r="BH155" s="37">
        <v>0</v>
      </c>
      <c r="BI155" s="37">
        <v>0</v>
      </c>
      <c r="BJ155" s="37">
        <v>0</v>
      </c>
      <c r="BK155" s="32" t="s">
        <v>12</v>
      </c>
      <c r="BL155" s="32" t="s">
        <v>13</v>
      </c>
      <c r="BM155" s="33">
        <v>46078.577916666669</v>
      </c>
      <c r="BN155" s="32" t="s">
        <v>438</v>
      </c>
      <c r="BO155" s="32" t="s">
        <v>15</v>
      </c>
      <c r="BP155" s="38">
        <v>-3</v>
      </c>
      <c r="BQ155" s="42"/>
      <c r="BR155" s="39">
        <v>-3</v>
      </c>
      <c r="BS155" s="22" t="s">
        <v>221</v>
      </c>
      <c r="BT155" s="4" t="str">
        <f t="shared" si="9"/>
        <v>120</v>
      </c>
      <c r="BU155" s="4" t="str">
        <f t="shared" si="9"/>
        <v>-3</v>
      </c>
      <c r="BV155" s="4">
        <f t="shared" si="10"/>
        <v>30</v>
      </c>
      <c r="BW155" s="29">
        <f t="shared" si="11"/>
        <v>-1716951.9000000001</v>
      </c>
      <c r="BX155" s="4">
        <v>51.49</v>
      </c>
      <c r="BY155" s="29">
        <f t="shared" si="12"/>
        <v>-2422.0781734520551</v>
      </c>
    </row>
    <row r="156" spans="1:77" ht="15" hidden="1" customHeight="1" x14ac:dyDescent="0.35">
      <c r="A156" s="32" t="s">
        <v>217</v>
      </c>
      <c r="B156" s="32" t="s">
        <v>660</v>
      </c>
      <c r="C156" s="32" t="s">
        <v>30</v>
      </c>
      <c r="D156" s="32" t="s">
        <v>447</v>
      </c>
      <c r="E156" s="32" t="s">
        <v>136</v>
      </c>
      <c r="F156" s="32" t="s">
        <v>528</v>
      </c>
      <c r="G156" s="33">
        <v>46078</v>
      </c>
      <c r="H156" s="33">
        <v>46078</v>
      </c>
      <c r="I156" s="33">
        <v>46085</v>
      </c>
      <c r="J156" s="32" t="s">
        <v>11</v>
      </c>
      <c r="K156" s="34">
        <v>8578969.0800000001</v>
      </c>
      <c r="L156" s="34">
        <v>8410754</v>
      </c>
      <c r="M156" s="34">
        <v>168215.08</v>
      </c>
      <c r="N156" s="34">
        <v>0</v>
      </c>
      <c r="O156" s="34">
        <v>0</v>
      </c>
      <c r="P156" s="34">
        <v>8578969.0800000001</v>
      </c>
      <c r="Q156" s="34">
        <v>0</v>
      </c>
      <c r="R156" s="34">
        <v>8578969.0800000001</v>
      </c>
      <c r="S156" s="34">
        <v>168306.823719596</v>
      </c>
      <c r="T156" s="34">
        <v>8578969.0800000001</v>
      </c>
      <c r="U156" s="35">
        <v>0</v>
      </c>
      <c r="V156" s="35">
        <v>0</v>
      </c>
      <c r="W156" s="35">
        <v>0</v>
      </c>
      <c r="X156" s="35">
        <v>0</v>
      </c>
      <c r="Y156" s="35">
        <v>0</v>
      </c>
      <c r="Z156" s="35">
        <v>0</v>
      </c>
      <c r="AA156" s="35">
        <v>0</v>
      </c>
      <c r="AB156" s="35">
        <v>0</v>
      </c>
      <c r="AC156" s="35">
        <v>8578969.0800000001</v>
      </c>
      <c r="AD156" s="35">
        <v>0</v>
      </c>
      <c r="AE156" s="35">
        <v>0</v>
      </c>
      <c r="AF156" s="35">
        <v>0</v>
      </c>
      <c r="AG156" s="35">
        <v>0</v>
      </c>
      <c r="AH156" s="35">
        <v>0</v>
      </c>
      <c r="AI156" s="36">
        <v>0</v>
      </c>
      <c r="AJ156" s="36">
        <v>0</v>
      </c>
      <c r="AK156" s="36">
        <v>0</v>
      </c>
      <c r="AL156" s="36">
        <v>0</v>
      </c>
      <c r="AM156" s="36">
        <v>0</v>
      </c>
      <c r="AN156" s="36">
        <v>0</v>
      </c>
      <c r="AO156" s="36">
        <v>0</v>
      </c>
      <c r="AP156" s="36">
        <v>0</v>
      </c>
      <c r="AQ156" s="36">
        <v>168306.823719596</v>
      </c>
      <c r="AR156" s="36">
        <v>0</v>
      </c>
      <c r="AS156" s="36">
        <v>0</v>
      </c>
      <c r="AT156" s="36">
        <v>0</v>
      </c>
      <c r="AU156" s="36">
        <v>0</v>
      </c>
      <c r="AV156" s="36">
        <v>0</v>
      </c>
      <c r="AW156" s="37">
        <v>0</v>
      </c>
      <c r="AX156" s="37">
        <v>0</v>
      </c>
      <c r="AY156" s="37"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8578969.0800000001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2" t="s">
        <v>12</v>
      </c>
      <c r="BL156" s="32" t="s">
        <v>13</v>
      </c>
      <c r="BM156" s="33">
        <v>46078.591458333336</v>
      </c>
      <c r="BN156" s="32" t="s">
        <v>529</v>
      </c>
      <c r="BO156" s="32" t="s">
        <v>15</v>
      </c>
      <c r="BP156" s="38">
        <v>20</v>
      </c>
      <c r="BQ156" s="42"/>
      <c r="BR156" s="39">
        <v>20</v>
      </c>
      <c r="BS156" s="22" t="s">
        <v>220</v>
      </c>
      <c r="BT156" s="4" t="str">
        <f t="shared" si="9"/>
        <v>120</v>
      </c>
      <c r="BU156" s="4" t="str">
        <f t="shared" si="9"/>
        <v>20</v>
      </c>
      <c r="BV156" s="4">
        <f t="shared" si="10"/>
        <v>7</v>
      </c>
      <c r="BW156" s="29">
        <f t="shared" si="11"/>
        <v>171579381.59999999</v>
      </c>
      <c r="BX156" s="4">
        <v>51.49</v>
      </c>
      <c r="BY156" s="29">
        <f t="shared" si="12"/>
        <v>242044.44818038357</v>
      </c>
    </row>
    <row r="157" spans="1:77" ht="15" hidden="1" customHeight="1" x14ac:dyDescent="0.35">
      <c r="A157" s="32" t="s">
        <v>217</v>
      </c>
      <c r="B157" s="32" t="s">
        <v>661</v>
      </c>
      <c r="C157" s="32" t="s">
        <v>30</v>
      </c>
      <c r="D157" s="32" t="s">
        <v>67</v>
      </c>
      <c r="E157" s="32" t="s">
        <v>68</v>
      </c>
      <c r="F157" s="32" t="s">
        <v>69</v>
      </c>
      <c r="G157" s="33">
        <v>46078</v>
      </c>
      <c r="H157" s="33">
        <v>46078</v>
      </c>
      <c r="I157" s="33">
        <v>46085</v>
      </c>
      <c r="J157" s="32" t="s">
        <v>11</v>
      </c>
      <c r="K157" s="34">
        <v>11772975.460000001</v>
      </c>
      <c r="L157" s="34">
        <v>11542132.800000001</v>
      </c>
      <c r="M157" s="34">
        <v>230842.66</v>
      </c>
      <c r="N157" s="34">
        <v>0</v>
      </c>
      <c r="O157" s="34">
        <v>0</v>
      </c>
      <c r="P157" s="34">
        <v>11772975.460000001</v>
      </c>
      <c r="Q157" s="34">
        <v>0</v>
      </c>
      <c r="R157" s="34">
        <v>11772975.460000001</v>
      </c>
      <c r="S157" s="34">
        <v>230968.55658574699</v>
      </c>
      <c r="T157" s="34">
        <v>11772975.460000001</v>
      </c>
      <c r="U157" s="35">
        <v>0</v>
      </c>
      <c r="V157" s="35">
        <v>0</v>
      </c>
      <c r="W157" s="35">
        <v>0</v>
      </c>
      <c r="X157" s="35">
        <v>0</v>
      </c>
      <c r="Y157" s="35">
        <v>0</v>
      </c>
      <c r="Z157" s="35">
        <v>0</v>
      </c>
      <c r="AA157" s="35">
        <v>0</v>
      </c>
      <c r="AB157" s="35">
        <v>0</v>
      </c>
      <c r="AC157" s="35">
        <v>11772975.460000001</v>
      </c>
      <c r="AD157" s="35">
        <v>0</v>
      </c>
      <c r="AE157" s="35">
        <v>0</v>
      </c>
      <c r="AF157" s="35">
        <v>0</v>
      </c>
      <c r="AG157" s="35">
        <v>0</v>
      </c>
      <c r="AH157" s="35">
        <v>0</v>
      </c>
      <c r="AI157" s="36">
        <v>0</v>
      </c>
      <c r="AJ157" s="36">
        <v>0</v>
      </c>
      <c r="AK157" s="36">
        <v>0</v>
      </c>
      <c r="AL157" s="36">
        <v>0</v>
      </c>
      <c r="AM157" s="36">
        <v>0</v>
      </c>
      <c r="AN157" s="36">
        <v>0</v>
      </c>
      <c r="AO157" s="36">
        <v>0</v>
      </c>
      <c r="AP157" s="36">
        <v>0</v>
      </c>
      <c r="AQ157" s="36">
        <v>230968.55658574699</v>
      </c>
      <c r="AR157" s="36">
        <v>0</v>
      </c>
      <c r="AS157" s="36">
        <v>0</v>
      </c>
      <c r="AT157" s="36">
        <v>0</v>
      </c>
      <c r="AU157" s="36">
        <v>0</v>
      </c>
      <c r="AV157" s="36">
        <v>0</v>
      </c>
      <c r="AW157" s="37">
        <v>0</v>
      </c>
      <c r="AX157" s="37">
        <v>0</v>
      </c>
      <c r="AY157" s="37">
        <v>0</v>
      </c>
      <c r="AZ157" s="37">
        <v>0</v>
      </c>
      <c r="BA157" s="37">
        <v>0</v>
      </c>
      <c r="BB157" s="37">
        <v>0</v>
      </c>
      <c r="BC157" s="37">
        <v>0</v>
      </c>
      <c r="BD157" s="37">
        <v>0</v>
      </c>
      <c r="BE157" s="37">
        <v>11772975.460000001</v>
      </c>
      <c r="BF157" s="37">
        <v>0</v>
      </c>
      <c r="BG157" s="37">
        <v>0</v>
      </c>
      <c r="BH157" s="37">
        <v>0</v>
      </c>
      <c r="BI157" s="37">
        <v>0</v>
      </c>
      <c r="BJ157" s="37">
        <v>0</v>
      </c>
      <c r="BK157" s="32" t="s">
        <v>12</v>
      </c>
      <c r="BL157" s="32" t="s">
        <v>13</v>
      </c>
      <c r="BM157" s="33">
        <v>46078.596504629626</v>
      </c>
      <c r="BN157" s="32" t="s">
        <v>70</v>
      </c>
      <c r="BO157" s="32" t="s">
        <v>15</v>
      </c>
      <c r="BP157" s="38">
        <v>20</v>
      </c>
      <c r="BQ157" s="42"/>
      <c r="BR157" s="39">
        <v>20</v>
      </c>
      <c r="BS157" s="22" t="s">
        <v>220</v>
      </c>
      <c r="BT157" s="4" t="str">
        <f t="shared" si="9"/>
        <v>120</v>
      </c>
      <c r="BU157" s="4" t="str">
        <f t="shared" si="9"/>
        <v>20</v>
      </c>
      <c r="BV157" s="4">
        <f t="shared" si="10"/>
        <v>7</v>
      </c>
      <c r="BW157" s="29">
        <f t="shared" si="11"/>
        <v>235459509.20000002</v>
      </c>
      <c r="BX157" s="4">
        <v>51.49</v>
      </c>
      <c r="BY157" s="29">
        <f t="shared" si="12"/>
        <v>332159.18160843843</v>
      </c>
    </row>
    <row r="158" spans="1:77" ht="15" customHeight="1" x14ac:dyDescent="0.35">
      <c r="A158" s="32" t="s">
        <v>217</v>
      </c>
      <c r="B158" s="32" t="s">
        <v>662</v>
      </c>
      <c r="C158" s="32" t="s">
        <v>7</v>
      </c>
      <c r="D158" s="32" t="s">
        <v>8</v>
      </c>
      <c r="E158" s="32" t="s">
        <v>9</v>
      </c>
      <c r="F158" s="32" t="s">
        <v>10</v>
      </c>
      <c r="G158" s="33">
        <v>46078</v>
      </c>
      <c r="H158" s="33">
        <v>46078</v>
      </c>
      <c r="I158" s="33">
        <v>46085</v>
      </c>
      <c r="J158" s="32" t="s">
        <v>11</v>
      </c>
      <c r="K158" s="34">
        <v>6180483.96</v>
      </c>
      <c r="L158" s="34">
        <v>6059298</v>
      </c>
      <c r="M158" s="34">
        <v>121185.96</v>
      </c>
      <c r="N158" s="34">
        <v>0</v>
      </c>
      <c r="O158" s="34">
        <v>0</v>
      </c>
      <c r="P158" s="34">
        <v>6180483.96</v>
      </c>
      <c r="Q158" s="34">
        <v>0</v>
      </c>
      <c r="R158" s="34">
        <v>6180483.96</v>
      </c>
      <c r="S158" s="34">
        <v>121252.054257026</v>
      </c>
      <c r="T158" s="34">
        <v>6180483.96</v>
      </c>
      <c r="U158" s="35">
        <v>0</v>
      </c>
      <c r="V158" s="35">
        <v>0</v>
      </c>
      <c r="W158" s="35">
        <v>0</v>
      </c>
      <c r="X158" s="35">
        <v>0</v>
      </c>
      <c r="Y158" s="35">
        <v>0</v>
      </c>
      <c r="Z158" s="35">
        <v>0</v>
      </c>
      <c r="AA158" s="35">
        <v>0</v>
      </c>
      <c r="AB158" s="35">
        <v>0</v>
      </c>
      <c r="AC158" s="35">
        <v>6180483.96</v>
      </c>
      <c r="AD158" s="35">
        <v>0</v>
      </c>
      <c r="AE158" s="35">
        <v>0</v>
      </c>
      <c r="AF158" s="35">
        <v>0</v>
      </c>
      <c r="AG158" s="35">
        <v>0</v>
      </c>
      <c r="AH158" s="35">
        <v>0</v>
      </c>
      <c r="AI158" s="36">
        <v>0</v>
      </c>
      <c r="AJ158" s="36">
        <v>0</v>
      </c>
      <c r="AK158" s="36">
        <v>0</v>
      </c>
      <c r="AL158" s="36">
        <v>0</v>
      </c>
      <c r="AM158" s="36">
        <v>0</v>
      </c>
      <c r="AN158" s="36">
        <v>0</v>
      </c>
      <c r="AO158" s="36">
        <v>0</v>
      </c>
      <c r="AP158" s="36">
        <v>0</v>
      </c>
      <c r="AQ158" s="36">
        <v>121252.054257026</v>
      </c>
      <c r="AR158" s="36">
        <v>0</v>
      </c>
      <c r="AS158" s="36">
        <v>0</v>
      </c>
      <c r="AT158" s="36">
        <v>0</v>
      </c>
      <c r="AU158" s="36">
        <v>0</v>
      </c>
      <c r="AV158" s="36">
        <v>0</v>
      </c>
      <c r="AW158" s="37">
        <v>0</v>
      </c>
      <c r="AX158" s="37">
        <v>0</v>
      </c>
      <c r="AY158" s="37"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6180483.96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2" t="s">
        <v>12</v>
      </c>
      <c r="BL158" s="32" t="s">
        <v>13</v>
      </c>
      <c r="BM158" s="33">
        <v>46078.608969907407</v>
      </c>
      <c r="BN158" s="32" t="s">
        <v>14</v>
      </c>
      <c r="BO158" s="32" t="s">
        <v>15</v>
      </c>
      <c r="BP158" s="38">
        <v>20</v>
      </c>
      <c r="BQ158" s="42"/>
      <c r="BR158" s="39">
        <v>20</v>
      </c>
      <c r="BS158" s="22" t="s">
        <v>220</v>
      </c>
      <c r="BT158" s="4" t="str">
        <f t="shared" si="9"/>
        <v>120</v>
      </c>
      <c r="BU158" s="4" t="str">
        <f t="shared" si="9"/>
        <v>20</v>
      </c>
      <c r="BV158" s="4">
        <f t="shared" si="10"/>
        <v>7</v>
      </c>
      <c r="BW158" s="29">
        <f t="shared" si="11"/>
        <v>123609679.2</v>
      </c>
      <c r="BX158" s="4">
        <v>51.49</v>
      </c>
      <c r="BY158" s="29">
        <f t="shared" si="12"/>
        <v>174374.31183583563</v>
      </c>
    </row>
    <row r="159" spans="1:77" ht="15" hidden="1" customHeight="1" x14ac:dyDescent="0.35">
      <c r="A159" s="32" t="s">
        <v>217</v>
      </c>
      <c r="B159" s="32" t="s">
        <v>810</v>
      </c>
      <c r="C159" s="32" t="s">
        <v>7</v>
      </c>
      <c r="D159" s="32" t="s">
        <v>73</v>
      </c>
      <c r="E159" s="32" t="s">
        <v>74</v>
      </c>
      <c r="F159" s="32" t="s">
        <v>46</v>
      </c>
      <c r="G159" s="33">
        <v>46078</v>
      </c>
      <c r="H159" s="33">
        <v>46078</v>
      </c>
      <c r="I159" s="33">
        <v>46123</v>
      </c>
      <c r="J159" s="32" t="s">
        <v>11</v>
      </c>
      <c r="K159" s="34">
        <v>150946.92000000001</v>
      </c>
      <c r="L159" s="34">
        <v>147987.18</v>
      </c>
      <c r="M159" s="34">
        <v>2959.74</v>
      </c>
      <c r="N159" s="34">
        <v>0</v>
      </c>
      <c r="O159" s="34">
        <v>0</v>
      </c>
      <c r="P159" s="34">
        <v>150946.92000000001</v>
      </c>
      <c r="Q159" s="34">
        <v>150946.92000000001</v>
      </c>
      <c r="R159" s="34">
        <v>150946.92000000001</v>
      </c>
      <c r="S159" s="34">
        <v>2961.3577597200001</v>
      </c>
      <c r="T159" s="34">
        <v>150946.92000000001</v>
      </c>
      <c r="U159" s="35">
        <v>0</v>
      </c>
      <c r="V159" s="35">
        <v>150946.92000000001</v>
      </c>
      <c r="W159" s="35">
        <v>0</v>
      </c>
      <c r="X159" s="35">
        <v>0</v>
      </c>
      <c r="Y159" s="35">
        <v>0</v>
      </c>
      <c r="Z159" s="35">
        <v>0</v>
      </c>
      <c r="AA159" s="35">
        <v>0</v>
      </c>
      <c r="AB159" s="35">
        <v>0</v>
      </c>
      <c r="AC159" s="35">
        <v>0</v>
      </c>
      <c r="AD159" s="35">
        <v>0</v>
      </c>
      <c r="AE159" s="35">
        <v>0</v>
      </c>
      <c r="AF159" s="35">
        <v>0</v>
      </c>
      <c r="AG159" s="35">
        <v>0</v>
      </c>
      <c r="AH159" s="35">
        <v>0</v>
      </c>
      <c r="AI159" s="36">
        <v>0</v>
      </c>
      <c r="AJ159" s="36">
        <v>2961.3577597200001</v>
      </c>
      <c r="AK159" s="36">
        <v>0</v>
      </c>
      <c r="AL159" s="36">
        <v>0</v>
      </c>
      <c r="AM159" s="36">
        <v>0</v>
      </c>
      <c r="AN159" s="36">
        <v>0</v>
      </c>
      <c r="AO159" s="36">
        <v>0</v>
      </c>
      <c r="AP159" s="36">
        <v>0</v>
      </c>
      <c r="AQ159" s="36">
        <v>0</v>
      </c>
      <c r="AR159" s="36">
        <v>0</v>
      </c>
      <c r="AS159" s="36">
        <v>0</v>
      </c>
      <c r="AT159" s="36">
        <v>0</v>
      </c>
      <c r="AU159" s="36">
        <v>0</v>
      </c>
      <c r="AV159" s="36">
        <v>0</v>
      </c>
      <c r="AW159" s="37">
        <v>0</v>
      </c>
      <c r="AX159" s="37">
        <v>150946.92000000001</v>
      </c>
      <c r="AY159" s="37">
        <v>0</v>
      </c>
      <c r="AZ159" s="37">
        <v>0</v>
      </c>
      <c r="BA159" s="37">
        <v>0</v>
      </c>
      <c r="BB159" s="37">
        <v>0</v>
      </c>
      <c r="BC159" s="37">
        <v>0</v>
      </c>
      <c r="BD159" s="37">
        <v>0</v>
      </c>
      <c r="BE159" s="37">
        <v>0</v>
      </c>
      <c r="BF159" s="37">
        <v>0</v>
      </c>
      <c r="BG159" s="37">
        <v>0</v>
      </c>
      <c r="BH159" s="37">
        <v>0</v>
      </c>
      <c r="BI159" s="37">
        <v>0</v>
      </c>
      <c r="BJ159" s="37">
        <v>0</v>
      </c>
      <c r="BK159" s="32" t="s">
        <v>12</v>
      </c>
      <c r="BL159" s="32" t="s">
        <v>13</v>
      </c>
      <c r="BM159" s="33">
        <v>46078.627627314818</v>
      </c>
      <c r="BN159" s="32" t="s">
        <v>28</v>
      </c>
      <c r="BO159" s="32" t="s">
        <v>29</v>
      </c>
      <c r="BP159" s="38">
        <v>-18</v>
      </c>
      <c r="BQ159" s="42"/>
      <c r="BR159" s="39">
        <v>-18</v>
      </c>
      <c r="BS159" s="22" t="s">
        <v>221</v>
      </c>
      <c r="BT159" s="4" t="str">
        <f t="shared" si="9"/>
        <v>120</v>
      </c>
      <c r="BU159" s="4" t="str">
        <f t="shared" si="9"/>
        <v>-18</v>
      </c>
      <c r="BV159" s="4">
        <f t="shared" si="10"/>
        <v>45</v>
      </c>
      <c r="BW159" s="29">
        <f t="shared" si="11"/>
        <v>-2717044.56</v>
      </c>
      <c r="BX159" s="4">
        <v>51.49</v>
      </c>
      <c r="BY159" s="29">
        <f t="shared" si="12"/>
        <v>-3832.8938190246577</v>
      </c>
    </row>
    <row r="160" spans="1:77" ht="15" hidden="1" customHeight="1" x14ac:dyDescent="0.35">
      <c r="A160" s="32" t="s">
        <v>217</v>
      </c>
      <c r="B160" s="32" t="s">
        <v>663</v>
      </c>
      <c r="C160" s="32" t="s">
        <v>16</v>
      </c>
      <c r="D160" s="32" t="s">
        <v>540</v>
      </c>
      <c r="E160" s="32" t="s">
        <v>247</v>
      </c>
      <c r="F160" s="32" t="s">
        <v>541</v>
      </c>
      <c r="G160" s="33">
        <v>46079</v>
      </c>
      <c r="H160" s="33">
        <v>46079</v>
      </c>
      <c r="I160" s="33">
        <v>46109</v>
      </c>
      <c r="J160" s="32" t="s">
        <v>11</v>
      </c>
      <c r="K160" s="34">
        <v>668445.19999999995</v>
      </c>
      <c r="L160" s="34">
        <v>655338.43000000005</v>
      </c>
      <c r="M160" s="34">
        <v>13106.77</v>
      </c>
      <c r="N160" s="34">
        <v>0</v>
      </c>
      <c r="O160" s="34">
        <v>0</v>
      </c>
      <c r="P160" s="34">
        <v>668445.19999999995</v>
      </c>
      <c r="Q160" s="34">
        <v>668445.19999999995</v>
      </c>
      <c r="R160" s="34">
        <v>668445.19999999995</v>
      </c>
      <c r="S160" s="34">
        <v>13113.916997893</v>
      </c>
      <c r="T160" s="34">
        <v>668445.19999999995</v>
      </c>
      <c r="U160" s="35">
        <v>668445.19999999995</v>
      </c>
      <c r="V160" s="35">
        <v>0</v>
      </c>
      <c r="W160" s="35">
        <v>0</v>
      </c>
      <c r="X160" s="35">
        <v>0</v>
      </c>
      <c r="Y160" s="35">
        <v>0</v>
      </c>
      <c r="Z160" s="35">
        <v>0</v>
      </c>
      <c r="AA160" s="35">
        <v>0</v>
      </c>
      <c r="AB160" s="35">
        <v>0</v>
      </c>
      <c r="AC160" s="35">
        <v>0</v>
      </c>
      <c r="AD160" s="35">
        <v>0</v>
      </c>
      <c r="AE160" s="35">
        <v>0</v>
      </c>
      <c r="AF160" s="35">
        <v>0</v>
      </c>
      <c r="AG160" s="35">
        <v>0</v>
      </c>
      <c r="AH160" s="35">
        <v>0</v>
      </c>
      <c r="AI160" s="36">
        <v>13113.916997893</v>
      </c>
      <c r="AJ160" s="36">
        <v>0</v>
      </c>
      <c r="AK160" s="36">
        <v>0</v>
      </c>
      <c r="AL160" s="36">
        <v>0</v>
      </c>
      <c r="AM160" s="36">
        <v>0</v>
      </c>
      <c r="AN160" s="36">
        <v>0</v>
      </c>
      <c r="AO160" s="36">
        <v>0</v>
      </c>
      <c r="AP160" s="36">
        <v>0</v>
      </c>
      <c r="AQ160" s="36">
        <v>0</v>
      </c>
      <c r="AR160" s="36">
        <v>0</v>
      </c>
      <c r="AS160" s="36">
        <v>0</v>
      </c>
      <c r="AT160" s="36">
        <v>0</v>
      </c>
      <c r="AU160" s="36">
        <v>0</v>
      </c>
      <c r="AV160" s="36">
        <v>0</v>
      </c>
      <c r="AW160" s="37">
        <v>668445.19999999995</v>
      </c>
      <c r="AX160" s="37">
        <v>0</v>
      </c>
      <c r="AY160" s="37"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2" t="s">
        <v>12</v>
      </c>
      <c r="BL160" s="32" t="s">
        <v>13</v>
      </c>
      <c r="BM160" s="33">
        <v>46078.908668981479</v>
      </c>
      <c r="BN160" s="32" t="s">
        <v>28</v>
      </c>
      <c r="BO160" s="32" t="s">
        <v>29</v>
      </c>
      <c r="BP160" s="38">
        <v>-4</v>
      </c>
      <c r="BQ160" s="42"/>
      <c r="BR160" s="39">
        <v>-4</v>
      </c>
      <c r="BS160" s="22" t="s">
        <v>221</v>
      </c>
      <c r="BT160" s="4" t="str">
        <f t="shared" si="9"/>
        <v>120</v>
      </c>
      <c r="BU160" s="4" t="str">
        <f t="shared" si="9"/>
        <v>-4</v>
      </c>
      <c r="BV160" s="4">
        <f t="shared" si="10"/>
        <v>30</v>
      </c>
      <c r="BW160" s="29">
        <f t="shared" si="11"/>
        <v>-2673780.7999999998</v>
      </c>
      <c r="BX160" s="4">
        <v>51.49</v>
      </c>
      <c r="BY160" s="29">
        <f t="shared" si="12"/>
        <v>-3771.8622847123283</v>
      </c>
    </row>
    <row r="161" spans="1:77" ht="15" hidden="1" customHeight="1" x14ac:dyDescent="0.35">
      <c r="A161" s="32" t="s">
        <v>217</v>
      </c>
      <c r="B161" s="32" t="s">
        <v>664</v>
      </c>
      <c r="C161" s="32" t="s">
        <v>16</v>
      </c>
      <c r="D161" s="32" t="s">
        <v>540</v>
      </c>
      <c r="E161" s="32" t="s">
        <v>247</v>
      </c>
      <c r="F161" s="32" t="s">
        <v>541</v>
      </c>
      <c r="G161" s="33">
        <v>46079</v>
      </c>
      <c r="H161" s="33">
        <v>46079</v>
      </c>
      <c r="I161" s="33">
        <v>46109</v>
      </c>
      <c r="J161" s="32" t="s">
        <v>11</v>
      </c>
      <c r="K161" s="34">
        <v>284469.19</v>
      </c>
      <c r="L161" s="34">
        <v>278891.37</v>
      </c>
      <c r="M161" s="34">
        <v>5577.82</v>
      </c>
      <c r="N161" s="34">
        <v>0</v>
      </c>
      <c r="O161" s="34">
        <v>0</v>
      </c>
      <c r="P161" s="34">
        <v>284469.19</v>
      </c>
      <c r="Q161" s="34">
        <v>284469.19</v>
      </c>
      <c r="R161" s="34">
        <v>284469.19</v>
      </c>
      <c r="S161" s="34">
        <v>5580.8693758558602</v>
      </c>
      <c r="T161" s="34">
        <v>284469.19</v>
      </c>
      <c r="U161" s="35">
        <v>284469.19</v>
      </c>
      <c r="V161" s="35">
        <v>0</v>
      </c>
      <c r="W161" s="35">
        <v>0</v>
      </c>
      <c r="X161" s="35">
        <v>0</v>
      </c>
      <c r="Y161" s="35">
        <v>0</v>
      </c>
      <c r="Z161" s="35">
        <v>0</v>
      </c>
      <c r="AA161" s="35">
        <v>0</v>
      </c>
      <c r="AB161" s="35">
        <v>0</v>
      </c>
      <c r="AC161" s="35">
        <v>0</v>
      </c>
      <c r="AD161" s="35">
        <v>0</v>
      </c>
      <c r="AE161" s="35">
        <v>0</v>
      </c>
      <c r="AF161" s="35">
        <v>0</v>
      </c>
      <c r="AG161" s="35">
        <v>0</v>
      </c>
      <c r="AH161" s="35">
        <v>0</v>
      </c>
      <c r="AI161" s="36">
        <v>5580.8693758558602</v>
      </c>
      <c r="AJ161" s="36">
        <v>0</v>
      </c>
      <c r="AK161" s="36">
        <v>0</v>
      </c>
      <c r="AL161" s="36">
        <v>0</v>
      </c>
      <c r="AM161" s="36">
        <v>0</v>
      </c>
      <c r="AN161" s="36">
        <v>0</v>
      </c>
      <c r="AO161" s="36">
        <v>0</v>
      </c>
      <c r="AP161" s="36">
        <v>0</v>
      </c>
      <c r="AQ161" s="36">
        <v>0</v>
      </c>
      <c r="AR161" s="36">
        <v>0</v>
      </c>
      <c r="AS161" s="36">
        <v>0</v>
      </c>
      <c r="AT161" s="36">
        <v>0</v>
      </c>
      <c r="AU161" s="36">
        <v>0</v>
      </c>
      <c r="AV161" s="36">
        <v>0</v>
      </c>
      <c r="AW161" s="37">
        <v>284469.19</v>
      </c>
      <c r="AX161" s="37">
        <v>0</v>
      </c>
      <c r="AY161" s="37">
        <v>0</v>
      </c>
      <c r="AZ161" s="37">
        <v>0</v>
      </c>
      <c r="BA161" s="37">
        <v>0</v>
      </c>
      <c r="BB161" s="37">
        <v>0</v>
      </c>
      <c r="BC161" s="37">
        <v>0</v>
      </c>
      <c r="BD161" s="37">
        <v>0</v>
      </c>
      <c r="BE161" s="37">
        <v>0</v>
      </c>
      <c r="BF161" s="37">
        <v>0</v>
      </c>
      <c r="BG161" s="37">
        <v>0</v>
      </c>
      <c r="BH161" s="37">
        <v>0</v>
      </c>
      <c r="BI161" s="37">
        <v>0</v>
      </c>
      <c r="BJ161" s="37">
        <v>0</v>
      </c>
      <c r="BK161" s="32" t="s">
        <v>12</v>
      </c>
      <c r="BL161" s="32" t="s">
        <v>13</v>
      </c>
      <c r="BM161" s="33">
        <v>46078.908888888887</v>
      </c>
      <c r="BN161" s="32" t="s">
        <v>28</v>
      </c>
      <c r="BO161" s="32" t="s">
        <v>29</v>
      </c>
      <c r="BP161" s="38">
        <v>-4</v>
      </c>
      <c r="BQ161" s="42"/>
      <c r="BR161" s="39">
        <v>-4</v>
      </c>
      <c r="BS161" s="22" t="s">
        <v>221</v>
      </c>
      <c r="BT161" s="4" t="str">
        <f t="shared" si="9"/>
        <v>120</v>
      </c>
      <c r="BU161" s="4" t="str">
        <f t="shared" si="9"/>
        <v>-4</v>
      </c>
      <c r="BV161" s="4">
        <f t="shared" si="10"/>
        <v>30</v>
      </c>
      <c r="BW161" s="29">
        <f t="shared" si="11"/>
        <v>-1137876.76</v>
      </c>
      <c r="BX161" s="4">
        <v>51.49</v>
      </c>
      <c r="BY161" s="29">
        <f t="shared" si="12"/>
        <v>-1605.1855992438357</v>
      </c>
    </row>
    <row r="162" spans="1:77" ht="15" hidden="1" customHeight="1" x14ac:dyDescent="0.35">
      <c r="A162" s="32" t="s">
        <v>217</v>
      </c>
      <c r="B162" s="32" t="s">
        <v>665</v>
      </c>
      <c r="C162" s="32" t="s">
        <v>16</v>
      </c>
      <c r="D162" s="32" t="s">
        <v>540</v>
      </c>
      <c r="E162" s="32" t="s">
        <v>247</v>
      </c>
      <c r="F162" s="32" t="s">
        <v>541</v>
      </c>
      <c r="G162" s="33">
        <v>46079</v>
      </c>
      <c r="H162" s="33">
        <v>46079</v>
      </c>
      <c r="I162" s="33">
        <v>46109</v>
      </c>
      <c r="J162" s="32" t="s">
        <v>11</v>
      </c>
      <c r="K162" s="34">
        <v>59119.199999999997</v>
      </c>
      <c r="L162" s="34">
        <v>57960</v>
      </c>
      <c r="M162" s="34">
        <v>1159.2</v>
      </c>
      <c r="N162" s="34">
        <v>0</v>
      </c>
      <c r="O162" s="34">
        <v>0</v>
      </c>
      <c r="P162" s="34">
        <v>59119.199999999997</v>
      </c>
      <c r="Q162" s="34">
        <v>59119.199999999997</v>
      </c>
      <c r="R162" s="34">
        <v>59119.199999999997</v>
      </c>
      <c r="S162" s="34">
        <v>1159.83222227018</v>
      </c>
      <c r="T162" s="34">
        <v>59119.199999999997</v>
      </c>
      <c r="U162" s="35">
        <v>59119.199999999997</v>
      </c>
      <c r="V162" s="35">
        <v>0</v>
      </c>
      <c r="W162" s="35">
        <v>0</v>
      </c>
      <c r="X162" s="35">
        <v>0</v>
      </c>
      <c r="Y162" s="35">
        <v>0</v>
      </c>
      <c r="Z162" s="35">
        <v>0</v>
      </c>
      <c r="AA162" s="35">
        <v>0</v>
      </c>
      <c r="AB162" s="35">
        <v>0</v>
      </c>
      <c r="AC162" s="35">
        <v>0</v>
      </c>
      <c r="AD162" s="35">
        <v>0</v>
      </c>
      <c r="AE162" s="35">
        <v>0</v>
      </c>
      <c r="AF162" s="35">
        <v>0</v>
      </c>
      <c r="AG162" s="35">
        <v>0</v>
      </c>
      <c r="AH162" s="35">
        <v>0</v>
      </c>
      <c r="AI162" s="36">
        <v>1159.83222227018</v>
      </c>
      <c r="AJ162" s="36">
        <v>0</v>
      </c>
      <c r="AK162" s="36">
        <v>0</v>
      </c>
      <c r="AL162" s="36">
        <v>0</v>
      </c>
      <c r="AM162" s="36">
        <v>0</v>
      </c>
      <c r="AN162" s="36">
        <v>0</v>
      </c>
      <c r="AO162" s="36">
        <v>0</v>
      </c>
      <c r="AP162" s="36">
        <v>0</v>
      </c>
      <c r="AQ162" s="36">
        <v>0</v>
      </c>
      <c r="AR162" s="36">
        <v>0</v>
      </c>
      <c r="AS162" s="36">
        <v>0</v>
      </c>
      <c r="AT162" s="36">
        <v>0</v>
      </c>
      <c r="AU162" s="36">
        <v>0</v>
      </c>
      <c r="AV162" s="36">
        <v>0</v>
      </c>
      <c r="AW162" s="37">
        <v>59119.199999999997</v>
      </c>
      <c r="AX162" s="37">
        <v>0</v>
      </c>
      <c r="AY162" s="37"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2" t="s">
        <v>12</v>
      </c>
      <c r="BL162" s="32" t="s">
        <v>13</v>
      </c>
      <c r="BM162" s="33">
        <v>46078.909097222226</v>
      </c>
      <c r="BN162" s="32" t="s">
        <v>28</v>
      </c>
      <c r="BO162" s="32" t="s">
        <v>29</v>
      </c>
      <c r="BP162" s="38">
        <v>-4</v>
      </c>
      <c r="BQ162" s="42"/>
      <c r="BR162" s="39">
        <v>-4</v>
      </c>
      <c r="BS162" s="22" t="s">
        <v>221</v>
      </c>
      <c r="BT162" s="4" t="str">
        <f t="shared" si="9"/>
        <v>120</v>
      </c>
      <c r="BU162" s="4" t="str">
        <f t="shared" si="9"/>
        <v>-4</v>
      </c>
      <c r="BV162" s="4">
        <f t="shared" si="10"/>
        <v>30</v>
      </c>
      <c r="BW162" s="29">
        <f t="shared" si="11"/>
        <v>-236476.79999999999</v>
      </c>
      <c r="BX162" s="4">
        <v>51.49</v>
      </c>
      <c r="BY162" s="29">
        <f t="shared" si="12"/>
        <v>-333.5942584109589</v>
      </c>
    </row>
    <row r="163" spans="1:77" ht="15" hidden="1" customHeight="1" x14ac:dyDescent="0.35">
      <c r="A163" s="32" t="s">
        <v>217</v>
      </c>
      <c r="B163" s="32" t="s">
        <v>666</v>
      </c>
      <c r="C163" s="32" t="s">
        <v>16</v>
      </c>
      <c r="D163" s="32" t="s">
        <v>540</v>
      </c>
      <c r="E163" s="32" t="s">
        <v>247</v>
      </c>
      <c r="F163" s="32" t="s">
        <v>541</v>
      </c>
      <c r="G163" s="33">
        <v>46079</v>
      </c>
      <c r="H163" s="33">
        <v>46079</v>
      </c>
      <c r="I163" s="33">
        <v>46109</v>
      </c>
      <c r="J163" s="32" t="s">
        <v>11</v>
      </c>
      <c r="K163" s="34">
        <v>94050.880000000005</v>
      </c>
      <c r="L163" s="34">
        <v>92206.74</v>
      </c>
      <c r="M163" s="34">
        <v>1844.14</v>
      </c>
      <c r="N163" s="34">
        <v>0</v>
      </c>
      <c r="O163" s="34">
        <v>0</v>
      </c>
      <c r="P163" s="34">
        <v>94050.880000000005</v>
      </c>
      <c r="Q163" s="34">
        <v>94050.880000000005</v>
      </c>
      <c r="R163" s="34">
        <v>94050.880000000005</v>
      </c>
      <c r="S163" s="34">
        <v>1845.14068453</v>
      </c>
      <c r="T163" s="34">
        <v>94050.880000000005</v>
      </c>
      <c r="U163" s="35">
        <v>94050.880000000005</v>
      </c>
      <c r="V163" s="35">
        <v>0</v>
      </c>
      <c r="W163" s="35">
        <v>0</v>
      </c>
      <c r="X163" s="35">
        <v>0</v>
      </c>
      <c r="Y163" s="35">
        <v>0</v>
      </c>
      <c r="Z163" s="35">
        <v>0</v>
      </c>
      <c r="AA163" s="35">
        <v>0</v>
      </c>
      <c r="AB163" s="35">
        <v>0</v>
      </c>
      <c r="AC163" s="35">
        <v>0</v>
      </c>
      <c r="AD163" s="35">
        <v>0</v>
      </c>
      <c r="AE163" s="35">
        <v>0</v>
      </c>
      <c r="AF163" s="35">
        <v>0</v>
      </c>
      <c r="AG163" s="35">
        <v>0</v>
      </c>
      <c r="AH163" s="35">
        <v>0</v>
      </c>
      <c r="AI163" s="36">
        <v>1845.14068453</v>
      </c>
      <c r="AJ163" s="36">
        <v>0</v>
      </c>
      <c r="AK163" s="36">
        <v>0</v>
      </c>
      <c r="AL163" s="36">
        <v>0</v>
      </c>
      <c r="AM163" s="36">
        <v>0</v>
      </c>
      <c r="AN163" s="36">
        <v>0</v>
      </c>
      <c r="AO163" s="36">
        <v>0</v>
      </c>
      <c r="AP163" s="36">
        <v>0</v>
      </c>
      <c r="AQ163" s="36">
        <v>0</v>
      </c>
      <c r="AR163" s="36">
        <v>0</v>
      </c>
      <c r="AS163" s="36">
        <v>0</v>
      </c>
      <c r="AT163" s="36">
        <v>0</v>
      </c>
      <c r="AU163" s="36">
        <v>0</v>
      </c>
      <c r="AV163" s="36">
        <v>0</v>
      </c>
      <c r="AW163" s="37">
        <v>94050.880000000005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  <c r="BH163" s="37">
        <v>0</v>
      </c>
      <c r="BI163" s="37">
        <v>0</v>
      </c>
      <c r="BJ163" s="37">
        <v>0</v>
      </c>
      <c r="BK163" s="32" t="s">
        <v>12</v>
      </c>
      <c r="BL163" s="32" t="s">
        <v>13</v>
      </c>
      <c r="BM163" s="33">
        <v>46078.909305555557</v>
      </c>
      <c r="BN163" s="32" t="s">
        <v>28</v>
      </c>
      <c r="BO163" s="32" t="s">
        <v>29</v>
      </c>
      <c r="BP163" s="38">
        <v>-4</v>
      </c>
      <c r="BQ163" s="42"/>
      <c r="BR163" s="39">
        <v>-4</v>
      </c>
      <c r="BS163" s="22" t="s">
        <v>221</v>
      </c>
      <c r="BT163" s="4" t="str">
        <f t="shared" si="9"/>
        <v>120</v>
      </c>
      <c r="BU163" s="4" t="str">
        <f t="shared" si="9"/>
        <v>-4</v>
      </c>
      <c r="BV163" s="4">
        <f t="shared" si="10"/>
        <v>30</v>
      </c>
      <c r="BW163" s="29">
        <f t="shared" si="11"/>
        <v>-376203.52000000002</v>
      </c>
      <c r="BX163" s="4">
        <v>51.49</v>
      </c>
      <c r="BY163" s="29">
        <f t="shared" si="12"/>
        <v>-530.7046368438356</v>
      </c>
    </row>
    <row r="164" spans="1:77" ht="15" hidden="1" customHeight="1" x14ac:dyDescent="0.35">
      <c r="A164" s="32" t="s">
        <v>217</v>
      </c>
      <c r="B164" s="32" t="s">
        <v>667</v>
      </c>
      <c r="C164" s="32" t="s">
        <v>16</v>
      </c>
      <c r="D164" s="32" t="s">
        <v>540</v>
      </c>
      <c r="E164" s="32" t="s">
        <v>247</v>
      </c>
      <c r="F164" s="32" t="s">
        <v>541</v>
      </c>
      <c r="G164" s="33">
        <v>46079</v>
      </c>
      <c r="H164" s="33">
        <v>46079</v>
      </c>
      <c r="I164" s="33">
        <v>46109</v>
      </c>
      <c r="J164" s="32" t="s">
        <v>11</v>
      </c>
      <c r="K164" s="34">
        <v>149321.46</v>
      </c>
      <c r="L164" s="34">
        <v>146393.59</v>
      </c>
      <c r="M164" s="34">
        <v>2927.87</v>
      </c>
      <c r="N164" s="34">
        <v>0</v>
      </c>
      <c r="O164" s="34">
        <v>0</v>
      </c>
      <c r="P164" s="34">
        <v>149321.46</v>
      </c>
      <c r="Q164" s="34">
        <v>149321.46</v>
      </c>
      <c r="R164" s="34">
        <v>149321.46</v>
      </c>
      <c r="S164" s="34">
        <v>2929.4686123023898</v>
      </c>
      <c r="T164" s="34">
        <v>149321.46</v>
      </c>
      <c r="U164" s="35">
        <v>149321.46</v>
      </c>
      <c r="V164" s="35">
        <v>0</v>
      </c>
      <c r="W164" s="35">
        <v>0</v>
      </c>
      <c r="X164" s="35">
        <v>0</v>
      </c>
      <c r="Y164" s="35">
        <v>0</v>
      </c>
      <c r="Z164" s="35">
        <v>0</v>
      </c>
      <c r="AA164" s="35">
        <v>0</v>
      </c>
      <c r="AB164" s="35">
        <v>0</v>
      </c>
      <c r="AC164" s="35">
        <v>0</v>
      </c>
      <c r="AD164" s="35">
        <v>0</v>
      </c>
      <c r="AE164" s="35">
        <v>0</v>
      </c>
      <c r="AF164" s="35">
        <v>0</v>
      </c>
      <c r="AG164" s="35">
        <v>0</v>
      </c>
      <c r="AH164" s="35">
        <v>0</v>
      </c>
      <c r="AI164" s="36">
        <v>2929.4686123023898</v>
      </c>
      <c r="AJ164" s="36">
        <v>0</v>
      </c>
      <c r="AK164" s="36">
        <v>0</v>
      </c>
      <c r="AL164" s="36">
        <v>0</v>
      </c>
      <c r="AM164" s="36">
        <v>0</v>
      </c>
      <c r="AN164" s="36">
        <v>0</v>
      </c>
      <c r="AO164" s="36">
        <v>0</v>
      </c>
      <c r="AP164" s="36">
        <v>0</v>
      </c>
      <c r="AQ164" s="36">
        <v>0</v>
      </c>
      <c r="AR164" s="36">
        <v>0</v>
      </c>
      <c r="AS164" s="36">
        <v>0</v>
      </c>
      <c r="AT164" s="36">
        <v>0</v>
      </c>
      <c r="AU164" s="36">
        <v>0</v>
      </c>
      <c r="AV164" s="36">
        <v>0</v>
      </c>
      <c r="AW164" s="37">
        <v>149321.46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2" t="s">
        <v>12</v>
      </c>
      <c r="BL164" s="32" t="s">
        <v>13</v>
      </c>
      <c r="BM164" s="33">
        <v>46078.909513888888</v>
      </c>
      <c r="BN164" s="32" t="s">
        <v>28</v>
      </c>
      <c r="BO164" s="32" t="s">
        <v>29</v>
      </c>
      <c r="BP164" s="38">
        <v>-4</v>
      </c>
      <c r="BQ164" s="42"/>
      <c r="BR164" s="39">
        <v>-4</v>
      </c>
      <c r="BS164" s="22" t="s">
        <v>221</v>
      </c>
      <c r="BT164" s="4" t="str">
        <f t="shared" si="9"/>
        <v>120</v>
      </c>
      <c r="BU164" s="4" t="str">
        <f t="shared" si="9"/>
        <v>-4</v>
      </c>
      <c r="BV164" s="4">
        <f t="shared" si="10"/>
        <v>30</v>
      </c>
      <c r="BW164" s="29">
        <f t="shared" si="11"/>
        <v>-597285.84</v>
      </c>
      <c r="BX164" s="4">
        <v>51.49</v>
      </c>
      <c r="BY164" s="29">
        <f t="shared" si="12"/>
        <v>-842.58213429041098</v>
      </c>
    </row>
    <row r="165" spans="1:77" ht="15" hidden="1" customHeight="1" x14ac:dyDescent="0.35">
      <c r="A165" s="32" t="s">
        <v>217</v>
      </c>
      <c r="B165" s="32" t="s">
        <v>668</v>
      </c>
      <c r="C165" s="32" t="s">
        <v>16</v>
      </c>
      <c r="D165" s="32" t="s">
        <v>543</v>
      </c>
      <c r="E165" s="32" t="s">
        <v>80</v>
      </c>
      <c r="F165" s="32" t="s">
        <v>544</v>
      </c>
      <c r="G165" s="33">
        <v>46079</v>
      </c>
      <c r="H165" s="33">
        <v>46079</v>
      </c>
      <c r="I165" s="33">
        <v>46094</v>
      </c>
      <c r="J165" s="32" t="s">
        <v>11</v>
      </c>
      <c r="K165" s="34">
        <v>382755.44</v>
      </c>
      <c r="L165" s="34">
        <v>375250.43</v>
      </c>
      <c r="M165" s="34">
        <v>7505.01</v>
      </c>
      <c r="N165" s="34">
        <v>0</v>
      </c>
      <c r="O165" s="34">
        <v>0</v>
      </c>
      <c r="P165" s="34">
        <v>382755.44</v>
      </c>
      <c r="Q165" s="34">
        <v>0</v>
      </c>
      <c r="R165" s="34">
        <v>382755.44</v>
      </c>
      <c r="S165" s="34">
        <v>7509.1018241315896</v>
      </c>
      <c r="T165" s="34">
        <v>382755.44</v>
      </c>
      <c r="U165" s="35">
        <v>0</v>
      </c>
      <c r="V165" s="35">
        <v>0</v>
      </c>
      <c r="W165" s="35">
        <v>0</v>
      </c>
      <c r="X165" s="35">
        <v>0</v>
      </c>
      <c r="Y165" s="35">
        <v>0</v>
      </c>
      <c r="Z165" s="35">
        <v>0</v>
      </c>
      <c r="AA165" s="35">
        <v>0</v>
      </c>
      <c r="AB165" s="35">
        <v>382755.44</v>
      </c>
      <c r="AC165" s="35">
        <v>0</v>
      </c>
      <c r="AD165" s="35">
        <v>0</v>
      </c>
      <c r="AE165" s="35">
        <v>0</v>
      </c>
      <c r="AF165" s="35">
        <v>0</v>
      </c>
      <c r="AG165" s="35">
        <v>0</v>
      </c>
      <c r="AH165" s="35">
        <v>0</v>
      </c>
      <c r="AI165" s="36">
        <v>0</v>
      </c>
      <c r="AJ165" s="36">
        <v>0</v>
      </c>
      <c r="AK165" s="36">
        <v>0</v>
      </c>
      <c r="AL165" s="36">
        <v>0</v>
      </c>
      <c r="AM165" s="36">
        <v>0</v>
      </c>
      <c r="AN165" s="36">
        <v>0</v>
      </c>
      <c r="AO165" s="36">
        <v>0</v>
      </c>
      <c r="AP165" s="36">
        <v>7509.1018241315896</v>
      </c>
      <c r="AQ165" s="36">
        <v>0</v>
      </c>
      <c r="AR165" s="36">
        <v>0</v>
      </c>
      <c r="AS165" s="36">
        <v>0</v>
      </c>
      <c r="AT165" s="36">
        <v>0</v>
      </c>
      <c r="AU165" s="36">
        <v>0</v>
      </c>
      <c r="AV165" s="36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382755.44</v>
      </c>
      <c r="BE165" s="37">
        <v>0</v>
      </c>
      <c r="BF165" s="37">
        <v>0</v>
      </c>
      <c r="BG165" s="37">
        <v>0</v>
      </c>
      <c r="BH165" s="37">
        <v>0</v>
      </c>
      <c r="BI165" s="37">
        <v>0</v>
      </c>
      <c r="BJ165" s="37">
        <v>0</v>
      </c>
      <c r="BK165" s="32" t="s">
        <v>12</v>
      </c>
      <c r="BL165" s="32" t="s">
        <v>13</v>
      </c>
      <c r="BM165" s="33">
        <v>46078.909722222219</v>
      </c>
      <c r="BN165" s="32" t="s">
        <v>28</v>
      </c>
      <c r="BO165" s="32" t="s">
        <v>29</v>
      </c>
      <c r="BP165" s="38">
        <v>11</v>
      </c>
      <c r="BQ165" s="42"/>
      <c r="BR165" s="39">
        <v>11</v>
      </c>
      <c r="BS165" s="22" t="s">
        <v>220</v>
      </c>
      <c r="BT165" s="4" t="str">
        <f t="shared" si="9"/>
        <v>120</v>
      </c>
      <c r="BU165" s="4" t="str">
        <f t="shared" si="9"/>
        <v>11</v>
      </c>
      <c r="BV165" s="4">
        <f t="shared" si="10"/>
        <v>15</v>
      </c>
      <c r="BW165" s="29">
        <f t="shared" si="11"/>
        <v>4210309.84</v>
      </c>
      <c r="BX165" s="4">
        <v>51.49</v>
      </c>
      <c r="BY165" s="29">
        <f t="shared" si="12"/>
        <v>5939.4206482630134</v>
      </c>
    </row>
    <row r="166" spans="1:77" ht="15" hidden="1" customHeight="1" x14ac:dyDescent="0.35">
      <c r="A166" s="32" t="s">
        <v>217</v>
      </c>
      <c r="B166" s="32" t="s">
        <v>669</v>
      </c>
      <c r="C166" s="32" t="s">
        <v>16</v>
      </c>
      <c r="D166" s="32" t="s">
        <v>543</v>
      </c>
      <c r="E166" s="32" t="s">
        <v>80</v>
      </c>
      <c r="F166" s="32" t="s">
        <v>544</v>
      </c>
      <c r="G166" s="33">
        <v>46079</v>
      </c>
      <c r="H166" s="33">
        <v>46079</v>
      </c>
      <c r="I166" s="33">
        <v>46094</v>
      </c>
      <c r="J166" s="32" t="s">
        <v>11</v>
      </c>
      <c r="K166" s="34">
        <v>300005.21000000002</v>
      </c>
      <c r="L166" s="34">
        <v>294122.76</v>
      </c>
      <c r="M166" s="34">
        <v>5882.45</v>
      </c>
      <c r="N166" s="34">
        <v>0</v>
      </c>
      <c r="O166" s="34">
        <v>0</v>
      </c>
      <c r="P166" s="34">
        <v>300005.21000000002</v>
      </c>
      <c r="Q166" s="34">
        <v>0</v>
      </c>
      <c r="R166" s="34">
        <v>300005.21000000002</v>
      </c>
      <c r="S166" s="34">
        <v>5885.6633615971004</v>
      </c>
      <c r="T166" s="34">
        <v>300005.21000000002</v>
      </c>
      <c r="U166" s="35">
        <v>0</v>
      </c>
      <c r="V166" s="35">
        <v>0</v>
      </c>
      <c r="W166" s="35">
        <v>0</v>
      </c>
      <c r="X166" s="35">
        <v>0</v>
      </c>
      <c r="Y166" s="35">
        <v>0</v>
      </c>
      <c r="Z166" s="35">
        <v>0</v>
      </c>
      <c r="AA166" s="35">
        <v>0</v>
      </c>
      <c r="AB166" s="35">
        <v>300005.21000000002</v>
      </c>
      <c r="AC166" s="35">
        <v>0</v>
      </c>
      <c r="AD166" s="35">
        <v>0</v>
      </c>
      <c r="AE166" s="35">
        <v>0</v>
      </c>
      <c r="AF166" s="35">
        <v>0</v>
      </c>
      <c r="AG166" s="35">
        <v>0</v>
      </c>
      <c r="AH166" s="35">
        <v>0</v>
      </c>
      <c r="AI166" s="36">
        <v>0</v>
      </c>
      <c r="AJ166" s="36">
        <v>0</v>
      </c>
      <c r="AK166" s="36">
        <v>0</v>
      </c>
      <c r="AL166" s="36">
        <v>0</v>
      </c>
      <c r="AM166" s="36">
        <v>0</v>
      </c>
      <c r="AN166" s="36">
        <v>0</v>
      </c>
      <c r="AO166" s="36">
        <v>0</v>
      </c>
      <c r="AP166" s="36">
        <v>5885.6633615971004</v>
      </c>
      <c r="AQ166" s="36">
        <v>0</v>
      </c>
      <c r="AR166" s="36">
        <v>0</v>
      </c>
      <c r="AS166" s="36">
        <v>0</v>
      </c>
      <c r="AT166" s="36">
        <v>0</v>
      </c>
      <c r="AU166" s="36">
        <v>0</v>
      </c>
      <c r="AV166" s="36">
        <v>0</v>
      </c>
      <c r="AW166" s="37">
        <v>0</v>
      </c>
      <c r="AX166" s="37">
        <v>0</v>
      </c>
      <c r="AY166" s="37"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300005.21000000002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2" t="s">
        <v>12</v>
      </c>
      <c r="BL166" s="32" t="s">
        <v>13</v>
      </c>
      <c r="BM166" s="33">
        <v>46078.909930555557</v>
      </c>
      <c r="BN166" s="32" t="s">
        <v>28</v>
      </c>
      <c r="BO166" s="32" t="s">
        <v>29</v>
      </c>
      <c r="BP166" s="38">
        <v>11</v>
      </c>
      <c r="BQ166" s="42"/>
      <c r="BR166" s="39">
        <v>11</v>
      </c>
      <c r="BS166" s="22" t="s">
        <v>220</v>
      </c>
      <c r="BT166" s="4" t="str">
        <f t="shared" si="9"/>
        <v>120</v>
      </c>
      <c r="BU166" s="4" t="str">
        <f t="shared" si="9"/>
        <v>11</v>
      </c>
      <c r="BV166" s="4">
        <f t="shared" si="10"/>
        <v>15</v>
      </c>
      <c r="BW166" s="29">
        <f t="shared" si="11"/>
        <v>3300057.31</v>
      </c>
      <c r="BX166" s="4">
        <v>51.49</v>
      </c>
      <c r="BY166" s="29">
        <f t="shared" si="12"/>
        <v>4655.3411203260275</v>
      </c>
    </row>
    <row r="167" spans="1:77" ht="15" hidden="1" customHeight="1" x14ac:dyDescent="0.35">
      <c r="A167" s="32" t="s">
        <v>217</v>
      </c>
      <c r="B167" s="32" t="s">
        <v>670</v>
      </c>
      <c r="C167" s="32" t="s">
        <v>16</v>
      </c>
      <c r="D167" s="32" t="s">
        <v>543</v>
      </c>
      <c r="E167" s="32" t="s">
        <v>80</v>
      </c>
      <c r="F167" s="32" t="s">
        <v>544</v>
      </c>
      <c r="G167" s="33">
        <v>46079</v>
      </c>
      <c r="H167" s="33">
        <v>46079</v>
      </c>
      <c r="I167" s="33">
        <v>46094</v>
      </c>
      <c r="J167" s="32" t="s">
        <v>11</v>
      </c>
      <c r="K167" s="34">
        <v>375006.52</v>
      </c>
      <c r="L167" s="34">
        <v>367653.45</v>
      </c>
      <c r="M167" s="34">
        <v>7353.07</v>
      </c>
      <c r="N167" s="34">
        <v>0</v>
      </c>
      <c r="O167" s="34">
        <v>0</v>
      </c>
      <c r="P167" s="34">
        <v>375006.52</v>
      </c>
      <c r="Q167" s="34">
        <v>0</v>
      </c>
      <c r="R167" s="34">
        <v>375006.52</v>
      </c>
      <c r="S167" s="34">
        <v>7357.0793491354098</v>
      </c>
      <c r="T167" s="34">
        <v>375006.52</v>
      </c>
      <c r="U167" s="35">
        <v>0</v>
      </c>
      <c r="V167" s="35">
        <v>0</v>
      </c>
      <c r="W167" s="35">
        <v>0</v>
      </c>
      <c r="X167" s="35">
        <v>0</v>
      </c>
      <c r="Y167" s="35">
        <v>0</v>
      </c>
      <c r="Z167" s="35">
        <v>0</v>
      </c>
      <c r="AA167" s="35">
        <v>0</v>
      </c>
      <c r="AB167" s="35">
        <v>375006.52</v>
      </c>
      <c r="AC167" s="35">
        <v>0</v>
      </c>
      <c r="AD167" s="35">
        <v>0</v>
      </c>
      <c r="AE167" s="35">
        <v>0</v>
      </c>
      <c r="AF167" s="35">
        <v>0</v>
      </c>
      <c r="AG167" s="35">
        <v>0</v>
      </c>
      <c r="AH167" s="35">
        <v>0</v>
      </c>
      <c r="AI167" s="36">
        <v>0</v>
      </c>
      <c r="AJ167" s="36">
        <v>0</v>
      </c>
      <c r="AK167" s="36">
        <v>0</v>
      </c>
      <c r="AL167" s="36">
        <v>0</v>
      </c>
      <c r="AM167" s="36">
        <v>0</v>
      </c>
      <c r="AN167" s="36">
        <v>0</v>
      </c>
      <c r="AO167" s="36">
        <v>0</v>
      </c>
      <c r="AP167" s="36">
        <v>7357.0793491354098</v>
      </c>
      <c r="AQ167" s="36">
        <v>0</v>
      </c>
      <c r="AR167" s="36">
        <v>0</v>
      </c>
      <c r="AS167" s="36">
        <v>0</v>
      </c>
      <c r="AT167" s="36">
        <v>0</v>
      </c>
      <c r="AU167" s="36">
        <v>0</v>
      </c>
      <c r="AV167" s="36">
        <v>0</v>
      </c>
      <c r="AW167" s="37">
        <v>0</v>
      </c>
      <c r="AX167" s="37">
        <v>0</v>
      </c>
      <c r="AY167" s="37">
        <v>0</v>
      </c>
      <c r="AZ167" s="37">
        <v>0</v>
      </c>
      <c r="BA167" s="37">
        <v>0</v>
      </c>
      <c r="BB167" s="37">
        <v>0</v>
      </c>
      <c r="BC167" s="37">
        <v>0</v>
      </c>
      <c r="BD167" s="37">
        <v>375006.52</v>
      </c>
      <c r="BE167" s="37">
        <v>0</v>
      </c>
      <c r="BF167" s="37">
        <v>0</v>
      </c>
      <c r="BG167" s="37">
        <v>0</v>
      </c>
      <c r="BH167" s="37">
        <v>0</v>
      </c>
      <c r="BI167" s="37">
        <v>0</v>
      </c>
      <c r="BJ167" s="37">
        <v>0</v>
      </c>
      <c r="BK167" s="32" t="s">
        <v>12</v>
      </c>
      <c r="BL167" s="32" t="s">
        <v>13</v>
      </c>
      <c r="BM167" s="33">
        <v>46078.910138888888</v>
      </c>
      <c r="BN167" s="32" t="s">
        <v>28</v>
      </c>
      <c r="BO167" s="32" t="s">
        <v>29</v>
      </c>
      <c r="BP167" s="38">
        <v>11</v>
      </c>
      <c r="BQ167" s="42"/>
      <c r="BR167" s="39">
        <v>11</v>
      </c>
      <c r="BS167" s="22" t="s">
        <v>220</v>
      </c>
      <c r="BT167" s="4" t="str">
        <f t="shared" si="9"/>
        <v>120</v>
      </c>
      <c r="BU167" s="4" t="str">
        <f t="shared" si="9"/>
        <v>11</v>
      </c>
      <c r="BV167" s="4">
        <f t="shared" si="10"/>
        <v>15</v>
      </c>
      <c r="BW167" s="29">
        <f t="shared" si="11"/>
        <v>4125071.72</v>
      </c>
      <c r="BX167" s="4">
        <v>51.49</v>
      </c>
      <c r="BY167" s="29">
        <f t="shared" si="12"/>
        <v>5819.1765167890417</v>
      </c>
    </row>
    <row r="168" spans="1:77" ht="15" hidden="1" customHeight="1" x14ac:dyDescent="0.35">
      <c r="A168" s="32" t="s">
        <v>217</v>
      </c>
      <c r="B168" s="32" t="s">
        <v>671</v>
      </c>
      <c r="C168" s="32" t="s">
        <v>16</v>
      </c>
      <c r="D168" s="32" t="s">
        <v>543</v>
      </c>
      <c r="E168" s="32" t="s">
        <v>80</v>
      </c>
      <c r="F168" s="32" t="s">
        <v>544</v>
      </c>
      <c r="G168" s="33">
        <v>46079</v>
      </c>
      <c r="H168" s="33">
        <v>46079</v>
      </c>
      <c r="I168" s="33">
        <v>46094</v>
      </c>
      <c r="J168" s="32" t="s">
        <v>11</v>
      </c>
      <c r="K168" s="34">
        <v>786200.91</v>
      </c>
      <c r="L168" s="34">
        <v>770785.21</v>
      </c>
      <c r="M168" s="34">
        <v>15415.7</v>
      </c>
      <c r="N168" s="34">
        <v>0</v>
      </c>
      <c r="O168" s="34">
        <v>0</v>
      </c>
      <c r="P168" s="34">
        <v>786200.91</v>
      </c>
      <c r="Q168" s="34">
        <v>0</v>
      </c>
      <c r="R168" s="34">
        <v>786200.91</v>
      </c>
      <c r="S168" s="34">
        <v>15424.1117707299</v>
      </c>
      <c r="T168" s="34">
        <v>786200.91</v>
      </c>
      <c r="U168" s="35">
        <v>0</v>
      </c>
      <c r="V168" s="35">
        <v>0</v>
      </c>
      <c r="W168" s="35">
        <v>0</v>
      </c>
      <c r="X168" s="35">
        <v>0</v>
      </c>
      <c r="Y168" s="35">
        <v>0</v>
      </c>
      <c r="Z168" s="35">
        <v>0</v>
      </c>
      <c r="AA168" s="35">
        <v>0</v>
      </c>
      <c r="AB168" s="35">
        <v>786200.91</v>
      </c>
      <c r="AC168" s="35">
        <v>0</v>
      </c>
      <c r="AD168" s="35">
        <v>0</v>
      </c>
      <c r="AE168" s="35">
        <v>0</v>
      </c>
      <c r="AF168" s="35">
        <v>0</v>
      </c>
      <c r="AG168" s="35">
        <v>0</v>
      </c>
      <c r="AH168" s="35">
        <v>0</v>
      </c>
      <c r="AI168" s="36">
        <v>0</v>
      </c>
      <c r="AJ168" s="36">
        <v>0</v>
      </c>
      <c r="AK168" s="36">
        <v>0</v>
      </c>
      <c r="AL168" s="36">
        <v>0</v>
      </c>
      <c r="AM168" s="36">
        <v>0</v>
      </c>
      <c r="AN168" s="36">
        <v>0</v>
      </c>
      <c r="AO168" s="36">
        <v>0</v>
      </c>
      <c r="AP168" s="36">
        <v>15424.1117707299</v>
      </c>
      <c r="AQ168" s="36">
        <v>0</v>
      </c>
      <c r="AR168" s="36">
        <v>0</v>
      </c>
      <c r="AS168" s="36">
        <v>0</v>
      </c>
      <c r="AT168" s="36">
        <v>0</v>
      </c>
      <c r="AU168" s="36">
        <v>0</v>
      </c>
      <c r="AV168" s="36">
        <v>0</v>
      </c>
      <c r="AW168" s="37">
        <v>0</v>
      </c>
      <c r="AX168" s="37">
        <v>0</v>
      </c>
      <c r="AY168" s="37"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786200.91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2" t="s">
        <v>12</v>
      </c>
      <c r="BL168" s="32" t="s">
        <v>13</v>
      </c>
      <c r="BM168" s="33">
        <v>46078.910358796296</v>
      </c>
      <c r="BN168" s="32" t="s">
        <v>28</v>
      </c>
      <c r="BO168" s="32" t="s">
        <v>29</v>
      </c>
      <c r="BP168" s="38">
        <v>11</v>
      </c>
      <c r="BQ168" s="42"/>
      <c r="BR168" s="39">
        <v>11</v>
      </c>
      <c r="BS168" s="22" t="s">
        <v>220</v>
      </c>
      <c r="BT168" s="4" t="str">
        <f t="shared" si="9"/>
        <v>120</v>
      </c>
      <c r="BU168" s="4" t="str">
        <f t="shared" si="9"/>
        <v>11</v>
      </c>
      <c r="BV168" s="4">
        <f t="shared" si="10"/>
        <v>15</v>
      </c>
      <c r="BW168" s="29">
        <f t="shared" si="11"/>
        <v>8648210.0099999998</v>
      </c>
      <c r="BX168" s="4">
        <v>51.49</v>
      </c>
      <c r="BY168" s="29">
        <f t="shared" si="12"/>
        <v>12199.899545613698</v>
      </c>
    </row>
    <row r="169" spans="1:77" ht="15" hidden="1" customHeight="1" x14ac:dyDescent="0.35">
      <c r="A169" s="32" t="s">
        <v>217</v>
      </c>
      <c r="B169" s="32" t="s">
        <v>672</v>
      </c>
      <c r="C169" s="32" t="s">
        <v>16</v>
      </c>
      <c r="D169" s="32" t="s">
        <v>673</v>
      </c>
      <c r="E169" s="32" t="s">
        <v>674</v>
      </c>
      <c r="F169" s="32" t="s">
        <v>46</v>
      </c>
      <c r="G169" s="33">
        <v>46079</v>
      </c>
      <c r="H169" s="33">
        <v>46079</v>
      </c>
      <c r="I169" s="33">
        <v>46094</v>
      </c>
      <c r="J169" s="32" t="s">
        <v>11</v>
      </c>
      <c r="K169" s="34">
        <v>108942.01</v>
      </c>
      <c r="L169" s="34">
        <v>106805.89</v>
      </c>
      <c r="M169" s="34">
        <v>2136.12</v>
      </c>
      <c r="N169" s="34">
        <v>0</v>
      </c>
      <c r="O169" s="34">
        <v>0</v>
      </c>
      <c r="P169" s="34">
        <v>108942.01</v>
      </c>
      <c r="Q169" s="34">
        <v>0</v>
      </c>
      <c r="R169" s="34">
        <v>108942.01</v>
      </c>
      <c r="S169" s="34">
        <v>2137.2828718399401</v>
      </c>
      <c r="T169" s="34">
        <v>108942.01</v>
      </c>
      <c r="U169" s="35">
        <v>0</v>
      </c>
      <c r="V169" s="35">
        <v>0</v>
      </c>
      <c r="W169" s="35">
        <v>0</v>
      </c>
      <c r="X169" s="35">
        <v>0</v>
      </c>
      <c r="Y169" s="35">
        <v>0</v>
      </c>
      <c r="Z169" s="35">
        <v>0</v>
      </c>
      <c r="AA169" s="35">
        <v>0</v>
      </c>
      <c r="AB169" s="35">
        <v>108942.01</v>
      </c>
      <c r="AC169" s="35">
        <v>0</v>
      </c>
      <c r="AD169" s="35">
        <v>0</v>
      </c>
      <c r="AE169" s="35">
        <v>0</v>
      </c>
      <c r="AF169" s="35">
        <v>0</v>
      </c>
      <c r="AG169" s="35">
        <v>0</v>
      </c>
      <c r="AH169" s="35">
        <v>0</v>
      </c>
      <c r="AI169" s="36">
        <v>0</v>
      </c>
      <c r="AJ169" s="36">
        <v>0</v>
      </c>
      <c r="AK169" s="36">
        <v>0</v>
      </c>
      <c r="AL169" s="36">
        <v>0</v>
      </c>
      <c r="AM169" s="36">
        <v>0</v>
      </c>
      <c r="AN169" s="36">
        <v>0</v>
      </c>
      <c r="AO169" s="36">
        <v>0</v>
      </c>
      <c r="AP169" s="36">
        <v>2137.2828718399401</v>
      </c>
      <c r="AQ169" s="36">
        <v>0</v>
      </c>
      <c r="AR169" s="36">
        <v>0</v>
      </c>
      <c r="AS169" s="36">
        <v>0</v>
      </c>
      <c r="AT169" s="36">
        <v>0</v>
      </c>
      <c r="AU169" s="36">
        <v>0</v>
      </c>
      <c r="AV169" s="36">
        <v>0</v>
      </c>
      <c r="AW169" s="37">
        <v>0</v>
      </c>
      <c r="AX169" s="37">
        <v>0</v>
      </c>
      <c r="AY169" s="37">
        <v>0</v>
      </c>
      <c r="AZ169" s="37">
        <v>0</v>
      </c>
      <c r="BA169" s="37">
        <v>0</v>
      </c>
      <c r="BB169" s="37">
        <v>0</v>
      </c>
      <c r="BC169" s="37">
        <v>0</v>
      </c>
      <c r="BD169" s="37">
        <v>108942.01</v>
      </c>
      <c r="BE169" s="37">
        <v>0</v>
      </c>
      <c r="BF169" s="37">
        <v>0</v>
      </c>
      <c r="BG169" s="37">
        <v>0</v>
      </c>
      <c r="BH169" s="37">
        <v>0</v>
      </c>
      <c r="BI169" s="37">
        <v>0</v>
      </c>
      <c r="BJ169" s="37">
        <v>0</v>
      </c>
      <c r="BK169" s="32" t="s">
        <v>12</v>
      </c>
      <c r="BL169" s="32" t="s">
        <v>13</v>
      </c>
      <c r="BM169" s="33">
        <v>46078.910567129627</v>
      </c>
      <c r="BN169" s="32" t="s">
        <v>28</v>
      </c>
      <c r="BO169" s="32" t="s">
        <v>29</v>
      </c>
      <c r="BP169" s="38">
        <v>11</v>
      </c>
      <c r="BQ169" s="42"/>
      <c r="BR169" s="39">
        <v>11</v>
      </c>
      <c r="BS169" s="22" t="s">
        <v>220</v>
      </c>
      <c r="BT169" s="4" t="str">
        <f t="shared" si="9"/>
        <v>120</v>
      </c>
      <c r="BU169" s="4" t="str">
        <f t="shared" si="9"/>
        <v>11</v>
      </c>
      <c r="BV169" s="4">
        <f t="shared" si="10"/>
        <v>15</v>
      </c>
      <c r="BW169" s="29">
        <f t="shared" si="11"/>
        <v>1198362.1099999999</v>
      </c>
      <c r="BX169" s="4">
        <v>51.49</v>
      </c>
      <c r="BY169" s="29">
        <f t="shared" si="12"/>
        <v>1690.5113710657533</v>
      </c>
    </row>
    <row r="170" spans="1:77" ht="15" hidden="1" customHeight="1" x14ac:dyDescent="0.35">
      <c r="A170" s="32" t="s">
        <v>217</v>
      </c>
      <c r="B170" s="32" t="s">
        <v>675</v>
      </c>
      <c r="C170" s="32" t="s">
        <v>16</v>
      </c>
      <c r="D170" s="32" t="s">
        <v>82</v>
      </c>
      <c r="E170" s="32" t="s">
        <v>83</v>
      </c>
      <c r="F170" s="32" t="s">
        <v>84</v>
      </c>
      <c r="G170" s="33">
        <v>46079</v>
      </c>
      <c r="H170" s="33">
        <v>46079</v>
      </c>
      <c r="I170" s="33">
        <v>46109</v>
      </c>
      <c r="J170" s="32" t="s">
        <v>11</v>
      </c>
      <c r="K170" s="34">
        <v>304267.5</v>
      </c>
      <c r="L170" s="34">
        <v>253556.25</v>
      </c>
      <c r="M170" s="34">
        <v>50711.25</v>
      </c>
      <c r="N170" s="34">
        <v>0</v>
      </c>
      <c r="O170" s="34">
        <v>0</v>
      </c>
      <c r="P170" s="34">
        <v>304267.5</v>
      </c>
      <c r="Q170" s="34">
        <v>304267.5</v>
      </c>
      <c r="R170" s="34">
        <v>304267.5</v>
      </c>
      <c r="S170" s="34">
        <v>5969.2832563632701</v>
      </c>
      <c r="T170" s="34">
        <v>304267.5</v>
      </c>
      <c r="U170" s="35">
        <v>304267.5</v>
      </c>
      <c r="V170" s="35">
        <v>0</v>
      </c>
      <c r="W170" s="35">
        <v>0</v>
      </c>
      <c r="X170" s="35">
        <v>0</v>
      </c>
      <c r="Y170" s="35">
        <v>0</v>
      </c>
      <c r="Z170" s="35">
        <v>0</v>
      </c>
      <c r="AA170" s="35">
        <v>0</v>
      </c>
      <c r="AB170" s="35">
        <v>0</v>
      </c>
      <c r="AC170" s="35">
        <v>0</v>
      </c>
      <c r="AD170" s="35">
        <v>0</v>
      </c>
      <c r="AE170" s="35">
        <v>0</v>
      </c>
      <c r="AF170" s="35">
        <v>0</v>
      </c>
      <c r="AG170" s="35">
        <v>0</v>
      </c>
      <c r="AH170" s="35">
        <v>0</v>
      </c>
      <c r="AI170" s="36">
        <v>5969.2832563632701</v>
      </c>
      <c r="AJ170" s="36">
        <v>0</v>
      </c>
      <c r="AK170" s="36">
        <v>0</v>
      </c>
      <c r="AL170" s="36">
        <v>0</v>
      </c>
      <c r="AM170" s="36">
        <v>0</v>
      </c>
      <c r="AN170" s="36">
        <v>0</v>
      </c>
      <c r="AO170" s="36">
        <v>0</v>
      </c>
      <c r="AP170" s="36">
        <v>0</v>
      </c>
      <c r="AQ170" s="36">
        <v>0</v>
      </c>
      <c r="AR170" s="36">
        <v>0</v>
      </c>
      <c r="AS170" s="36">
        <v>0</v>
      </c>
      <c r="AT170" s="36">
        <v>0</v>
      </c>
      <c r="AU170" s="36">
        <v>0</v>
      </c>
      <c r="AV170" s="36">
        <v>0</v>
      </c>
      <c r="AW170" s="37">
        <v>304267.5</v>
      </c>
      <c r="AX170" s="37">
        <v>0</v>
      </c>
      <c r="AY170" s="37"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2" t="s">
        <v>12</v>
      </c>
      <c r="BL170" s="32" t="s">
        <v>13</v>
      </c>
      <c r="BM170" s="33">
        <v>46078.910775462966</v>
      </c>
      <c r="BN170" s="32" t="s">
        <v>28</v>
      </c>
      <c r="BO170" s="32" t="s">
        <v>29</v>
      </c>
      <c r="BP170" s="38">
        <v>-4</v>
      </c>
      <c r="BQ170" s="42"/>
      <c r="BR170" s="39">
        <v>-4</v>
      </c>
      <c r="BS170" s="22" t="s">
        <v>221</v>
      </c>
      <c r="BT170" s="4" t="str">
        <f t="shared" si="9"/>
        <v>120</v>
      </c>
      <c r="BU170" s="4" t="str">
        <f t="shared" si="9"/>
        <v>-4</v>
      </c>
      <c r="BV170" s="4">
        <f t="shared" si="10"/>
        <v>30</v>
      </c>
      <c r="BW170" s="29">
        <f t="shared" si="11"/>
        <v>-1217070</v>
      </c>
      <c r="BX170" s="4">
        <v>51.49</v>
      </c>
      <c r="BY170" s="29">
        <f t="shared" si="12"/>
        <v>-1716.9023095890411</v>
      </c>
    </row>
    <row r="171" spans="1:77" ht="15" hidden="1" customHeight="1" x14ac:dyDescent="0.35">
      <c r="A171" s="32" t="s">
        <v>217</v>
      </c>
      <c r="B171" s="32" t="s">
        <v>676</v>
      </c>
      <c r="C171" s="32" t="s">
        <v>16</v>
      </c>
      <c r="D171" s="32" t="s">
        <v>59</v>
      </c>
      <c r="E171" s="32" t="s">
        <v>60</v>
      </c>
      <c r="F171" s="32" t="s">
        <v>61</v>
      </c>
      <c r="G171" s="33">
        <v>46079</v>
      </c>
      <c r="H171" s="33">
        <v>46079</v>
      </c>
      <c r="I171" s="33">
        <v>46139</v>
      </c>
      <c r="J171" s="32" t="s">
        <v>11</v>
      </c>
      <c r="K171" s="34">
        <v>96745.25</v>
      </c>
      <c r="L171" s="34">
        <v>94848.28</v>
      </c>
      <c r="M171" s="34">
        <v>1896.97</v>
      </c>
      <c r="N171" s="34">
        <v>0</v>
      </c>
      <c r="O171" s="34">
        <v>0</v>
      </c>
      <c r="P171" s="34">
        <v>96745.25</v>
      </c>
      <c r="Q171" s="34">
        <v>96745.25</v>
      </c>
      <c r="R171" s="34">
        <v>96745.25</v>
      </c>
      <c r="S171" s="34">
        <v>1898.00028250694</v>
      </c>
      <c r="T171" s="34">
        <v>96745.25</v>
      </c>
      <c r="U171" s="35">
        <v>0</v>
      </c>
      <c r="V171" s="35">
        <v>0</v>
      </c>
      <c r="W171" s="35">
        <v>96745.25</v>
      </c>
      <c r="X171" s="35">
        <v>0</v>
      </c>
      <c r="Y171" s="35">
        <v>0</v>
      </c>
      <c r="Z171" s="35">
        <v>0</v>
      </c>
      <c r="AA171" s="35">
        <v>0</v>
      </c>
      <c r="AB171" s="35">
        <v>0</v>
      </c>
      <c r="AC171" s="35">
        <v>0</v>
      </c>
      <c r="AD171" s="35">
        <v>0</v>
      </c>
      <c r="AE171" s="35">
        <v>0</v>
      </c>
      <c r="AF171" s="35">
        <v>0</v>
      </c>
      <c r="AG171" s="35">
        <v>0</v>
      </c>
      <c r="AH171" s="35">
        <v>0</v>
      </c>
      <c r="AI171" s="36">
        <v>0</v>
      </c>
      <c r="AJ171" s="36">
        <v>0</v>
      </c>
      <c r="AK171" s="36">
        <v>1898.00028250694</v>
      </c>
      <c r="AL171" s="36">
        <v>0</v>
      </c>
      <c r="AM171" s="36">
        <v>0</v>
      </c>
      <c r="AN171" s="36">
        <v>0</v>
      </c>
      <c r="AO171" s="36">
        <v>0</v>
      </c>
      <c r="AP171" s="36">
        <v>0</v>
      </c>
      <c r="AQ171" s="36">
        <v>0</v>
      </c>
      <c r="AR171" s="36">
        <v>0</v>
      </c>
      <c r="AS171" s="36">
        <v>0</v>
      </c>
      <c r="AT171" s="36">
        <v>0</v>
      </c>
      <c r="AU171" s="36">
        <v>0</v>
      </c>
      <c r="AV171" s="36">
        <v>0</v>
      </c>
      <c r="AW171" s="37">
        <v>0</v>
      </c>
      <c r="AX171" s="37">
        <v>0</v>
      </c>
      <c r="AY171" s="37">
        <v>96745.25</v>
      </c>
      <c r="AZ171" s="37">
        <v>0</v>
      </c>
      <c r="BA171" s="37">
        <v>0</v>
      </c>
      <c r="BB171" s="37">
        <v>0</v>
      </c>
      <c r="BC171" s="37">
        <v>0</v>
      </c>
      <c r="BD171" s="37">
        <v>0</v>
      </c>
      <c r="BE171" s="37">
        <v>0</v>
      </c>
      <c r="BF171" s="37">
        <v>0</v>
      </c>
      <c r="BG171" s="37">
        <v>0</v>
      </c>
      <c r="BH171" s="37">
        <v>0</v>
      </c>
      <c r="BI171" s="37">
        <v>0</v>
      </c>
      <c r="BJ171" s="37">
        <v>0</v>
      </c>
      <c r="BK171" s="32" t="s">
        <v>12</v>
      </c>
      <c r="BL171" s="32" t="s">
        <v>13</v>
      </c>
      <c r="BM171" s="33">
        <v>46078.911192129628</v>
      </c>
      <c r="BN171" s="32" t="s">
        <v>28</v>
      </c>
      <c r="BO171" s="32" t="s">
        <v>29</v>
      </c>
      <c r="BP171" s="38">
        <v>-34</v>
      </c>
      <c r="BQ171" s="42"/>
      <c r="BR171" s="39">
        <v>-34</v>
      </c>
      <c r="BS171" s="22" t="s">
        <v>221</v>
      </c>
      <c r="BT171" s="4" t="str">
        <f t="shared" si="9"/>
        <v>120</v>
      </c>
      <c r="BU171" s="4" t="str">
        <f t="shared" si="9"/>
        <v>-34</v>
      </c>
      <c r="BV171" s="4">
        <f t="shared" si="10"/>
        <v>60</v>
      </c>
      <c r="BW171" s="29">
        <f t="shared" si="11"/>
        <v>-3289338.5</v>
      </c>
      <c r="BX171" s="4">
        <v>51.49</v>
      </c>
      <c r="BY171" s="29">
        <f t="shared" si="12"/>
        <v>-4640.2202565753423</v>
      </c>
    </row>
    <row r="172" spans="1:77" ht="15" hidden="1" customHeight="1" x14ac:dyDescent="0.35">
      <c r="A172" s="32" t="s">
        <v>217</v>
      </c>
      <c r="B172" s="32" t="s">
        <v>677</v>
      </c>
      <c r="C172" s="32" t="s">
        <v>16</v>
      </c>
      <c r="D172" s="32" t="s">
        <v>678</v>
      </c>
      <c r="E172" s="32" t="s">
        <v>263</v>
      </c>
      <c r="F172" s="32" t="s">
        <v>46</v>
      </c>
      <c r="G172" s="33">
        <v>46079</v>
      </c>
      <c r="H172" s="33">
        <v>46079</v>
      </c>
      <c r="I172" s="33">
        <v>46094</v>
      </c>
      <c r="J172" s="32" t="s">
        <v>11</v>
      </c>
      <c r="K172" s="34">
        <v>2821517.16</v>
      </c>
      <c r="L172" s="34">
        <v>2766193.29</v>
      </c>
      <c r="M172" s="34">
        <v>55323.87</v>
      </c>
      <c r="N172" s="34">
        <v>0</v>
      </c>
      <c r="O172" s="34">
        <v>0</v>
      </c>
      <c r="P172" s="34">
        <v>2821517.16</v>
      </c>
      <c r="Q172" s="34">
        <v>0</v>
      </c>
      <c r="R172" s="34">
        <v>2821517.16</v>
      </c>
      <c r="S172" s="34">
        <v>55354.039260616599</v>
      </c>
      <c r="T172" s="34">
        <v>2821517.16</v>
      </c>
      <c r="U172" s="35">
        <v>0</v>
      </c>
      <c r="V172" s="35">
        <v>0</v>
      </c>
      <c r="W172" s="35">
        <v>0</v>
      </c>
      <c r="X172" s="35">
        <v>0</v>
      </c>
      <c r="Y172" s="35">
        <v>0</v>
      </c>
      <c r="Z172" s="35">
        <v>0</v>
      </c>
      <c r="AA172" s="35">
        <v>0</v>
      </c>
      <c r="AB172" s="35">
        <v>2821517.16</v>
      </c>
      <c r="AC172" s="35">
        <v>0</v>
      </c>
      <c r="AD172" s="35">
        <v>0</v>
      </c>
      <c r="AE172" s="35">
        <v>0</v>
      </c>
      <c r="AF172" s="35">
        <v>0</v>
      </c>
      <c r="AG172" s="35">
        <v>0</v>
      </c>
      <c r="AH172" s="35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55354.039260616599</v>
      </c>
      <c r="AQ172" s="36">
        <v>0</v>
      </c>
      <c r="AR172" s="36">
        <v>0</v>
      </c>
      <c r="AS172" s="36">
        <v>0</v>
      </c>
      <c r="AT172" s="36">
        <v>0</v>
      </c>
      <c r="AU172" s="36">
        <v>0</v>
      </c>
      <c r="AV172" s="36">
        <v>0</v>
      </c>
      <c r="AW172" s="37">
        <v>0</v>
      </c>
      <c r="AX172" s="37">
        <v>0</v>
      </c>
      <c r="AY172" s="37"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2821517.16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2" t="s">
        <v>12</v>
      </c>
      <c r="BL172" s="32" t="s">
        <v>13</v>
      </c>
      <c r="BM172" s="33">
        <v>46078.911412037036</v>
      </c>
      <c r="BN172" s="32" t="s">
        <v>28</v>
      </c>
      <c r="BO172" s="32" t="s">
        <v>29</v>
      </c>
      <c r="BP172" s="38">
        <v>11</v>
      </c>
      <c r="BQ172" s="42"/>
      <c r="BR172" s="39">
        <v>11</v>
      </c>
      <c r="BS172" s="22" t="s">
        <v>220</v>
      </c>
      <c r="BT172" s="4" t="str">
        <f t="shared" si="9"/>
        <v>120</v>
      </c>
      <c r="BU172" s="4" t="str">
        <f t="shared" si="9"/>
        <v>11</v>
      </c>
      <c r="BV172" s="4">
        <f t="shared" si="10"/>
        <v>15</v>
      </c>
      <c r="BW172" s="29">
        <f t="shared" si="11"/>
        <v>31036688.760000002</v>
      </c>
      <c r="BX172" s="4">
        <v>51.49</v>
      </c>
      <c r="BY172" s="29">
        <f t="shared" si="12"/>
        <v>43782.989157600001</v>
      </c>
    </row>
    <row r="173" spans="1:77" ht="15" hidden="1" customHeight="1" x14ac:dyDescent="0.35">
      <c r="A173" s="32" t="s">
        <v>217</v>
      </c>
      <c r="B173" s="32" t="s">
        <v>679</v>
      </c>
      <c r="C173" s="32" t="s">
        <v>7</v>
      </c>
      <c r="D173" s="32" t="s">
        <v>231</v>
      </c>
      <c r="E173" s="32" t="s">
        <v>232</v>
      </c>
      <c r="F173" s="32" t="s">
        <v>104</v>
      </c>
      <c r="G173" s="33">
        <v>46079</v>
      </c>
      <c r="H173" s="33">
        <v>46079</v>
      </c>
      <c r="I173" s="33">
        <v>46094</v>
      </c>
      <c r="J173" s="32" t="s">
        <v>11</v>
      </c>
      <c r="K173" s="34">
        <v>527057.43999999994</v>
      </c>
      <c r="L173" s="34">
        <v>516722.98</v>
      </c>
      <c r="M173" s="34">
        <v>10334.459999999999</v>
      </c>
      <c r="N173" s="34">
        <v>0</v>
      </c>
      <c r="O173" s="34">
        <v>0</v>
      </c>
      <c r="P173" s="34">
        <v>527057.43999999994</v>
      </c>
      <c r="Q173" s="34">
        <v>0</v>
      </c>
      <c r="R173" s="34">
        <v>527057.43999999994</v>
      </c>
      <c r="S173" s="34">
        <v>10340.095973883799</v>
      </c>
      <c r="T173" s="34">
        <v>527057.43999999994</v>
      </c>
      <c r="U173" s="35">
        <v>0</v>
      </c>
      <c r="V173" s="35">
        <v>0</v>
      </c>
      <c r="W173" s="35">
        <v>0</v>
      </c>
      <c r="X173" s="35">
        <v>0</v>
      </c>
      <c r="Y173" s="35">
        <v>0</v>
      </c>
      <c r="Z173" s="35">
        <v>0</v>
      </c>
      <c r="AA173" s="35">
        <v>0</v>
      </c>
      <c r="AB173" s="35">
        <v>527057.43999999994</v>
      </c>
      <c r="AC173" s="35">
        <v>0</v>
      </c>
      <c r="AD173" s="35">
        <v>0</v>
      </c>
      <c r="AE173" s="35">
        <v>0</v>
      </c>
      <c r="AF173" s="35">
        <v>0</v>
      </c>
      <c r="AG173" s="35">
        <v>0</v>
      </c>
      <c r="AH173" s="35">
        <v>0</v>
      </c>
      <c r="AI173" s="36">
        <v>0</v>
      </c>
      <c r="AJ173" s="36">
        <v>0</v>
      </c>
      <c r="AK173" s="36">
        <v>0</v>
      </c>
      <c r="AL173" s="36">
        <v>0</v>
      </c>
      <c r="AM173" s="36">
        <v>0</v>
      </c>
      <c r="AN173" s="36">
        <v>0</v>
      </c>
      <c r="AO173" s="36">
        <v>0</v>
      </c>
      <c r="AP173" s="36">
        <v>10340.095973883799</v>
      </c>
      <c r="AQ173" s="36">
        <v>0</v>
      </c>
      <c r="AR173" s="36">
        <v>0</v>
      </c>
      <c r="AS173" s="36">
        <v>0</v>
      </c>
      <c r="AT173" s="36">
        <v>0</v>
      </c>
      <c r="AU173" s="36">
        <v>0</v>
      </c>
      <c r="AV173" s="36">
        <v>0</v>
      </c>
      <c r="AW173" s="37">
        <v>0</v>
      </c>
      <c r="AX173" s="37">
        <v>0</v>
      </c>
      <c r="AY173" s="37">
        <v>0</v>
      </c>
      <c r="AZ173" s="37">
        <v>0</v>
      </c>
      <c r="BA173" s="37">
        <v>0</v>
      </c>
      <c r="BB173" s="37">
        <v>0</v>
      </c>
      <c r="BC173" s="37">
        <v>0</v>
      </c>
      <c r="BD173" s="37">
        <v>527057.43999999994</v>
      </c>
      <c r="BE173" s="37">
        <v>0</v>
      </c>
      <c r="BF173" s="37">
        <v>0</v>
      </c>
      <c r="BG173" s="37">
        <v>0</v>
      </c>
      <c r="BH173" s="37">
        <v>0</v>
      </c>
      <c r="BI173" s="37">
        <v>0</v>
      </c>
      <c r="BJ173" s="37">
        <v>0</v>
      </c>
      <c r="BK173" s="32" t="s">
        <v>12</v>
      </c>
      <c r="BL173" s="32" t="s">
        <v>13</v>
      </c>
      <c r="BM173" s="33">
        <v>46079.366493055553</v>
      </c>
      <c r="BN173" s="32" t="s">
        <v>28</v>
      </c>
      <c r="BO173" s="32" t="s">
        <v>29</v>
      </c>
      <c r="BP173" s="38">
        <v>11</v>
      </c>
      <c r="BQ173" s="42"/>
      <c r="BR173" s="39">
        <v>11</v>
      </c>
      <c r="BS173" s="22" t="s">
        <v>220</v>
      </c>
      <c r="BT173" s="4" t="str">
        <f t="shared" si="9"/>
        <v>120</v>
      </c>
      <c r="BU173" s="4" t="str">
        <f t="shared" si="9"/>
        <v>11</v>
      </c>
      <c r="BV173" s="4">
        <f t="shared" si="10"/>
        <v>15</v>
      </c>
      <c r="BW173" s="29">
        <f t="shared" si="11"/>
        <v>5797631.8399999999</v>
      </c>
      <c r="BX173" s="4">
        <v>51.49</v>
      </c>
      <c r="BY173" s="29">
        <f t="shared" si="12"/>
        <v>8178.631875112329</v>
      </c>
    </row>
    <row r="174" spans="1:77" ht="15" hidden="1" customHeight="1" x14ac:dyDescent="0.35">
      <c r="A174" s="32" t="s">
        <v>217</v>
      </c>
      <c r="B174" s="32" t="s">
        <v>680</v>
      </c>
      <c r="C174" s="32" t="s">
        <v>7</v>
      </c>
      <c r="D174" s="32" t="s">
        <v>231</v>
      </c>
      <c r="E174" s="32" t="s">
        <v>232</v>
      </c>
      <c r="F174" s="32" t="s">
        <v>104</v>
      </c>
      <c r="G174" s="33">
        <v>46079</v>
      </c>
      <c r="H174" s="33">
        <v>46079</v>
      </c>
      <c r="I174" s="33">
        <v>46094</v>
      </c>
      <c r="J174" s="32" t="s">
        <v>11</v>
      </c>
      <c r="K174" s="34">
        <v>106925.67</v>
      </c>
      <c r="L174" s="34">
        <v>104829.09</v>
      </c>
      <c r="M174" s="34">
        <v>2096.58</v>
      </c>
      <c r="N174" s="34">
        <v>0</v>
      </c>
      <c r="O174" s="34">
        <v>0</v>
      </c>
      <c r="P174" s="34">
        <v>106925.67</v>
      </c>
      <c r="Q174" s="34">
        <v>0</v>
      </c>
      <c r="R174" s="34">
        <v>106925.67</v>
      </c>
      <c r="S174" s="34">
        <v>2097.7252306158998</v>
      </c>
      <c r="T174" s="34">
        <v>106925.67</v>
      </c>
      <c r="U174" s="35">
        <v>0</v>
      </c>
      <c r="V174" s="35">
        <v>0</v>
      </c>
      <c r="W174" s="35">
        <v>0</v>
      </c>
      <c r="X174" s="35">
        <v>0</v>
      </c>
      <c r="Y174" s="35">
        <v>0</v>
      </c>
      <c r="Z174" s="35">
        <v>0</v>
      </c>
      <c r="AA174" s="35">
        <v>0</v>
      </c>
      <c r="AB174" s="35">
        <v>106925.67</v>
      </c>
      <c r="AC174" s="35">
        <v>0</v>
      </c>
      <c r="AD174" s="35">
        <v>0</v>
      </c>
      <c r="AE174" s="35">
        <v>0</v>
      </c>
      <c r="AF174" s="35">
        <v>0</v>
      </c>
      <c r="AG174" s="35">
        <v>0</v>
      </c>
      <c r="AH174" s="35">
        <v>0</v>
      </c>
      <c r="AI174" s="36">
        <v>0</v>
      </c>
      <c r="AJ174" s="36">
        <v>0</v>
      </c>
      <c r="AK174" s="36">
        <v>0</v>
      </c>
      <c r="AL174" s="36">
        <v>0</v>
      </c>
      <c r="AM174" s="36">
        <v>0</v>
      </c>
      <c r="AN174" s="36">
        <v>0</v>
      </c>
      <c r="AO174" s="36">
        <v>0</v>
      </c>
      <c r="AP174" s="36">
        <v>2097.7252306158998</v>
      </c>
      <c r="AQ174" s="36">
        <v>0</v>
      </c>
      <c r="AR174" s="36">
        <v>0</v>
      </c>
      <c r="AS174" s="36">
        <v>0</v>
      </c>
      <c r="AT174" s="36">
        <v>0</v>
      </c>
      <c r="AU174" s="36">
        <v>0</v>
      </c>
      <c r="AV174" s="36">
        <v>0</v>
      </c>
      <c r="AW174" s="37">
        <v>0</v>
      </c>
      <c r="AX174" s="37">
        <v>0</v>
      </c>
      <c r="AY174" s="37"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106925.67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2" t="s">
        <v>12</v>
      </c>
      <c r="BL174" s="32" t="s">
        <v>13</v>
      </c>
      <c r="BM174" s="33">
        <v>46079.394004629627</v>
      </c>
      <c r="BN174" s="32" t="s">
        <v>28</v>
      </c>
      <c r="BO174" s="32" t="s">
        <v>29</v>
      </c>
      <c r="BP174" s="38">
        <v>11</v>
      </c>
      <c r="BQ174" s="42"/>
      <c r="BR174" s="39">
        <v>11</v>
      </c>
      <c r="BS174" s="22" t="s">
        <v>220</v>
      </c>
      <c r="BT174" s="4" t="str">
        <f t="shared" si="9"/>
        <v>120</v>
      </c>
      <c r="BU174" s="4" t="str">
        <f t="shared" si="9"/>
        <v>11</v>
      </c>
      <c r="BV174" s="4">
        <f t="shared" si="10"/>
        <v>15</v>
      </c>
      <c r="BW174" s="29">
        <f t="shared" si="11"/>
        <v>1176182.3699999999</v>
      </c>
      <c r="BX174" s="4">
        <v>51.49</v>
      </c>
      <c r="BY174" s="29">
        <f t="shared" si="12"/>
        <v>1659.2227460630136</v>
      </c>
    </row>
    <row r="175" spans="1:77" ht="15" hidden="1" customHeight="1" x14ac:dyDescent="0.35">
      <c r="A175" s="32" t="s">
        <v>217</v>
      </c>
      <c r="B175" s="32" t="s">
        <v>681</v>
      </c>
      <c r="C175" s="32" t="s">
        <v>16</v>
      </c>
      <c r="D175" s="32" t="s">
        <v>401</v>
      </c>
      <c r="E175" s="32" t="s">
        <v>218</v>
      </c>
      <c r="F175" s="32" t="s">
        <v>402</v>
      </c>
      <c r="G175" s="33">
        <v>46079</v>
      </c>
      <c r="H175" s="33">
        <v>46079</v>
      </c>
      <c r="I175" s="33">
        <v>46109</v>
      </c>
      <c r="J175" s="32" t="s">
        <v>11</v>
      </c>
      <c r="K175" s="34">
        <v>55584</v>
      </c>
      <c r="L175" s="34">
        <v>46320</v>
      </c>
      <c r="M175" s="34">
        <v>9264</v>
      </c>
      <c r="N175" s="34">
        <v>0.08</v>
      </c>
      <c r="O175" s="34">
        <v>0</v>
      </c>
      <c r="P175" s="34">
        <v>55583.92</v>
      </c>
      <c r="Q175" s="34">
        <v>55583.92</v>
      </c>
      <c r="R175" s="34">
        <v>55583.92</v>
      </c>
      <c r="S175" s="34">
        <v>1090.47520020717</v>
      </c>
      <c r="T175" s="34">
        <v>55583.92</v>
      </c>
      <c r="U175" s="35">
        <v>55583.92</v>
      </c>
      <c r="V175" s="35">
        <v>0</v>
      </c>
      <c r="W175" s="35">
        <v>0</v>
      </c>
      <c r="X175" s="35">
        <v>0</v>
      </c>
      <c r="Y175" s="35">
        <v>0</v>
      </c>
      <c r="Z175" s="35">
        <v>0</v>
      </c>
      <c r="AA175" s="35">
        <v>0</v>
      </c>
      <c r="AB175" s="35">
        <v>0</v>
      </c>
      <c r="AC175" s="35">
        <v>0</v>
      </c>
      <c r="AD175" s="35">
        <v>0</v>
      </c>
      <c r="AE175" s="35">
        <v>0</v>
      </c>
      <c r="AF175" s="35">
        <v>0</v>
      </c>
      <c r="AG175" s="35">
        <v>0</v>
      </c>
      <c r="AH175" s="35">
        <v>0</v>
      </c>
      <c r="AI175" s="36">
        <v>1090.47520020717</v>
      </c>
      <c r="AJ175" s="36">
        <v>0</v>
      </c>
      <c r="AK175" s="36">
        <v>0</v>
      </c>
      <c r="AL175" s="36">
        <v>0</v>
      </c>
      <c r="AM175" s="36">
        <v>0</v>
      </c>
      <c r="AN175" s="36">
        <v>0</v>
      </c>
      <c r="AO175" s="36">
        <v>0</v>
      </c>
      <c r="AP175" s="36">
        <v>0</v>
      </c>
      <c r="AQ175" s="36">
        <v>0</v>
      </c>
      <c r="AR175" s="36">
        <v>0</v>
      </c>
      <c r="AS175" s="36">
        <v>0</v>
      </c>
      <c r="AT175" s="36">
        <v>0</v>
      </c>
      <c r="AU175" s="36">
        <v>0</v>
      </c>
      <c r="AV175" s="36">
        <v>0</v>
      </c>
      <c r="AW175" s="37">
        <v>55583.92</v>
      </c>
      <c r="AX175" s="37">
        <v>0</v>
      </c>
      <c r="AY175" s="37">
        <v>0</v>
      </c>
      <c r="AZ175" s="37">
        <v>0</v>
      </c>
      <c r="BA175" s="37">
        <v>0</v>
      </c>
      <c r="BB175" s="37">
        <v>0</v>
      </c>
      <c r="BC175" s="37">
        <v>0</v>
      </c>
      <c r="BD175" s="37">
        <v>0</v>
      </c>
      <c r="BE175" s="37">
        <v>0</v>
      </c>
      <c r="BF175" s="37">
        <v>0</v>
      </c>
      <c r="BG175" s="37">
        <v>0</v>
      </c>
      <c r="BH175" s="37">
        <v>0</v>
      </c>
      <c r="BI175" s="37">
        <v>0</v>
      </c>
      <c r="BJ175" s="37">
        <v>0</v>
      </c>
      <c r="BK175" s="32" t="s">
        <v>12</v>
      </c>
      <c r="BL175" s="32" t="s">
        <v>13</v>
      </c>
      <c r="BM175" s="33">
        <v>46079.426377314812</v>
      </c>
      <c r="BN175" s="32" t="s">
        <v>28</v>
      </c>
      <c r="BO175" s="32" t="s">
        <v>29</v>
      </c>
      <c r="BP175" s="38">
        <v>-4</v>
      </c>
      <c r="BQ175" s="42"/>
      <c r="BR175" s="39">
        <v>-4</v>
      </c>
      <c r="BS175" s="22" t="s">
        <v>221</v>
      </c>
      <c r="BT175" s="4" t="str">
        <f t="shared" si="9"/>
        <v>120</v>
      </c>
      <c r="BU175" s="4" t="str">
        <f t="shared" si="9"/>
        <v>-4</v>
      </c>
      <c r="BV175" s="4">
        <f t="shared" si="10"/>
        <v>30</v>
      </c>
      <c r="BW175" s="29">
        <f t="shared" si="11"/>
        <v>-222335.68</v>
      </c>
      <c r="BX175" s="4">
        <v>51.49</v>
      </c>
      <c r="BY175" s="29">
        <f t="shared" si="12"/>
        <v>-313.64559351232879</v>
      </c>
    </row>
    <row r="176" spans="1:77" ht="15" hidden="1" customHeight="1" x14ac:dyDescent="0.35">
      <c r="A176" s="32" t="s">
        <v>217</v>
      </c>
      <c r="B176" s="32" t="s">
        <v>682</v>
      </c>
      <c r="C176" s="32" t="s">
        <v>16</v>
      </c>
      <c r="D176" s="32" t="s">
        <v>374</v>
      </c>
      <c r="E176" s="32" t="s">
        <v>361</v>
      </c>
      <c r="F176" s="32" t="s">
        <v>46</v>
      </c>
      <c r="G176" s="33">
        <v>46079</v>
      </c>
      <c r="H176" s="33">
        <v>46079</v>
      </c>
      <c r="I176" s="33">
        <v>46109</v>
      </c>
      <c r="J176" s="32" t="s">
        <v>11</v>
      </c>
      <c r="K176" s="34">
        <v>1618820.58</v>
      </c>
      <c r="L176" s="34">
        <v>1587079</v>
      </c>
      <c r="M176" s="34">
        <v>31741.58</v>
      </c>
      <c r="N176" s="34">
        <v>0</v>
      </c>
      <c r="O176" s="34">
        <v>0</v>
      </c>
      <c r="P176" s="34">
        <v>1618820.58</v>
      </c>
      <c r="Q176" s="34">
        <v>1618820.58</v>
      </c>
      <c r="R176" s="34">
        <v>1618820.58</v>
      </c>
      <c r="S176" s="34">
        <v>31758.8917095986</v>
      </c>
      <c r="T176" s="34">
        <v>1618820.58</v>
      </c>
      <c r="U176" s="35">
        <v>1618820.58</v>
      </c>
      <c r="V176" s="35">
        <v>0</v>
      </c>
      <c r="W176" s="35">
        <v>0</v>
      </c>
      <c r="X176" s="35">
        <v>0</v>
      </c>
      <c r="Y176" s="35">
        <v>0</v>
      </c>
      <c r="Z176" s="35">
        <v>0</v>
      </c>
      <c r="AA176" s="35">
        <v>0</v>
      </c>
      <c r="AB176" s="35">
        <v>0</v>
      </c>
      <c r="AC176" s="35">
        <v>0</v>
      </c>
      <c r="AD176" s="35">
        <v>0</v>
      </c>
      <c r="AE176" s="35">
        <v>0</v>
      </c>
      <c r="AF176" s="35">
        <v>0</v>
      </c>
      <c r="AG176" s="35">
        <v>0</v>
      </c>
      <c r="AH176" s="35">
        <v>0</v>
      </c>
      <c r="AI176" s="36">
        <v>31758.8917095986</v>
      </c>
      <c r="AJ176" s="36">
        <v>0</v>
      </c>
      <c r="AK176" s="36">
        <v>0</v>
      </c>
      <c r="AL176" s="36">
        <v>0</v>
      </c>
      <c r="AM176" s="36">
        <v>0</v>
      </c>
      <c r="AN176" s="36">
        <v>0</v>
      </c>
      <c r="AO176" s="36">
        <v>0</v>
      </c>
      <c r="AP176" s="36">
        <v>0</v>
      </c>
      <c r="AQ176" s="36">
        <v>0</v>
      </c>
      <c r="AR176" s="36">
        <v>0</v>
      </c>
      <c r="AS176" s="36">
        <v>0</v>
      </c>
      <c r="AT176" s="36">
        <v>0</v>
      </c>
      <c r="AU176" s="36">
        <v>0</v>
      </c>
      <c r="AV176" s="36">
        <v>0</v>
      </c>
      <c r="AW176" s="37">
        <v>1618820.58</v>
      </c>
      <c r="AX176" s="37">
        <v>0</v>
      </c>
      <c r="AY176" s="37"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2" t="s">
        <v>12</v>
      </c>
      <c r="BL176" s="32" t="s">
        <v>13</v>
      </c>
      <c r="BM176" s="33">
        <v>46079.460555555554</v>
      </c>
      <c r="BN176" s="32" t="s">
        <v>28</v>
      </c>
      <c r="BO176" s="32" t="s">
        <v>29</v>
      </c>
      <c r="BP176" s="38">
        <v>-4</v>
      </c>
      <c r="BQ176" s="42"/>
      <c r="BR176" s="39">
        <v>-4</v>
      </c>
      <c r="BS176" s="22" t="s">
        <v>221</v>
      </c>
      <c r="BT176" s="4" t="str">
        <f t="shared" si="9"/>
        <v>120</v>
      </c>
      <c r="BU176" s="4" t="str">
        <f t="shared" si="9"/>
        <v>-4</v>
      </c>
      <c r="BV176" s="4">
        <f t="shared" si="10"/>
        <v>30</v>
      </c>
      <c r="BW176" s="29">
        <f t="shared" si="11"/>
        <v>-6475282.3200000003</v>
      </c>
      <c r="BX176" s="4">
        <v>51.49</v>
      </c>
      <c r="BY176" s="29">
        <f t="shared" si="12"/>
        <v>-9134.5831960767136</v>
      </c>
    </row>
    <row r="177" spans="1:77" ht="15" hidden="1" customHeight="1" x14ac:dyDescent="0.35">
      <c r="A177" s="32" t="s">
        <v>217</v>
      </c>
      <c r="B177" s="32" t="s">
        <v>683</v>
      </c>
      <c r="C177" s="32" t="s">
        <v>16</v>
      </c>
      <c r="D177" s="32" t="s">
        <v>374</v>
      </c>
      <c r="E177" s="32" t="s">
        <v>361</v>
      </c>
      <c r="F177" s="32" t="s">
        <v>46</v>
      </c>
      <c r="G177" s="33">
        <v>46079</v>
      </c>
      <c r="H177" s="33">
        <v>46079</v>
      </c>
      <c r="I177" s="33">
        <v>46109</v>
      </c>
      <c r="J177" s="32" t="s">
        <v>11</v>
      </c>
      <c r="K177" s="34">
        <v>453278.85</v>
      </c>
      <c r="L177" s="34">
        <v>444391.03</v>
      </c>
      <c r="M177" s="34">
        <v>8887.82</v>
      </c>
      <c r="N177" s="34">
        <v>0</v>
      </c>
      <c r="O177" s="34">
        <v>0</v>
      </c>
      <c r="P177" s="34">
        <v>453278.85</v>
      </c>
      <c r="Q177" s="34">
        <v>453278.85</v>
      </c>
      <c r="R177" s="34">
        <v>453278.85</v>
      </c>
      <c r="S177" s="34">
        <v>8892.66796410592</v>
      </c>
      <c r="T177" s="34">
        <v>453278.85</v>
      </c>
      <c r="U177" s="35">
        <v>453278.85</v>
      </c>
      <c r="V177" s="35">
        <v>0</v>
      </c>
      <c r="W177" s="35">
        <v>0</v>
      </c>
      <c r="X177" s="35">
        <v>0</v>
      </c>
      <c r="Y177" s="35">
        <v>0</v>
      </c>
      <c r="Z177" s="35">
        <v>0</v>
      </c>
      <c r="AA177" s="35">
        <v>0</v>
      </c>
      <c r="AB177" s="35">
        <v>0</v>
      </c>
      <c r="AC177" s="35">
        <v>0</v>
      </c>
      <c r="AD177" s="35">
        <v>0</v>
      </c>
      <c r="AE177" s="35">
        <v>0</v>
      </c>
      <c r="AF177" s="35">
        <v>0</v>
      </c>
      <c r="AG177" s="35">
        <v>0</v>
      </c>
      <c r="AH177" s="35">
        <v>0</v>
      </c>
      <c r="AI177" s="36">
        <v>8892.66796410592</v>
      </c>
      <c r="AJ177" s="36">
        <v>0</v>
      </c>
      <c r="AK177" s="36">
        <v>0</v>
      </c>
      <c r="AL177" s="36">
        <v>0</v>
      </c>
      <c r="AM177" s="36">
        <v>0</v>
      </c>
      <c r="AN177" s="36">
        <v>0</v>
      </c>
      <c r="AO177" s="36">
        <v>0</v>
      </c>
      <c r="AP177" s="36">
        <v>0</v>
      </c>
      <c r="AQ177" s="36">
        <v>0</v>
      </c>
      <c r="AR177" s="36">
        <v>0</v>
      </c>
      <c r="AS177" s="36">
        <v>0</v>
      </c>
      <c r="AT177" s="36">
        <v>0</v>
      </c>
      <c r="AU177" s="36">
        <v>0</v>
      </c>
      <c r="AV177" s="36">
        <v>0</v>
      </c>
      <c r="AW177" s="37">
        <v>453278.85</v>
      </c>
      <c r="AX177" s="37">
        <v>0</v>
      </c>
      <c r="AY177" s="37">
        <v>0</v>
      </c>
      <c r="AZ177" s="37">
        <v>0</v>
      </c>
      <c r="BA177" s="37">
        <v>0</v>
      </c>
      <c r="BB177" s="37">
        <v>0</v>
      </c>
      <c r="BC177" s="37">
        <v>0</v>
      </c>
      <c r="BD177" s="37">
        <v>0</v>
      </c>
      <c r="BE177" s="37">
        <v>0</v>
      </c>
      <c r="BF177" s="37">
        <v>0</v>
      </c>
      <c r="BG177" s="37">
        <v>0</v>
      </c>
      <c r="BH177" s="37">
        <v>0</v>
      </c>
      <c r="BI177" s="37">
        <v>0</v>
      </c>
      <c r="BJ177" s="37">
        <v>0</v>
      </c>
      <c r="BK177" s="32" t="s">
        <v>12</v>
      </c>
      <c r="BL177" s="32" t="s">
        <v>13</v>
      </c>
      <c r="BM177" s="33">
        <v>46079.463530092595</v>
      </c>
      <c r="BN177" s="32" t="s">
        <v>28</v>
      </c>
      <c r="BO177" s="32" t="s">
        <v>29</v>
      </c>
      <c r="BP177" s="38">
        <v>-4</v>
      </c>
      <c r="BQ177" s="42"/>
      <c r="BR177" s="39">
        <v>-4</v>
      </c>
      <c r="BS177" s="22" t="s">
        <v>221</v>
      </c>
      <c r="BT177" s="4" t="str">
        <f t="shared" si="9"/>
        <v>120</v>
      </c>
      <c r="BU177" s="4" t="str">
        <f t="shared" si="9"/>
        <v>-4</v>
      </c>
      <c r="BV177" s="4">
        <f t="shared" si="10"/>
        <v>30</v>
      </c>
      <c r="BW177" s="29">
        <f t="shared" si="11"/>
        <v>-1813115.4</v>
      </c>
      <c r="BX177" s="4">
        <v>51.49</v>
      </c>
      <c r="BY177" s="29">
        <f t="shared" si="12"/>
        <v>-2557.7345738630133</v>
      </c>
    </row>
    <row r="178" spans="1:77" ht="15" hidden="1" customHeight="1" x14ac:dyDescent="0.35">
      <c r="A178" s="32" t="s">
        <v>217</v>
      </c>
      <c r="B178" s="32" t="s">
        <v>684</v>
      </c>
      <c r="C178" s="32" t="s">
        <v>16</v>
      </c>
      <c r="D178" s="32" t="s">
        <v>515</v>
      </c>
      <c r="E178" s="32" t="s">
        <v>152</v>
      </c>
      <c r="F178" s="32" t="s">
        <v>516</v>
      </c>
      <c r="G178" s="33">
        <v>46079</v>
      </c>
      <c r="H178" s="33">
        <v>46079</v>
      </c>
      <c r="I178" s="33">
        <v>46124</v>
      </c>
      <c r="J178" s="32" t="s">
        <v>11</v>
      </c>
      <c r="K178" s="34">
        <v>1005552.81</v>
      </c>
      <c r="L178" s="34">
        <v>985836.09</v>
      </c>
      <c r="M178" s="34">
        <v>19716.72</v>
      </c>
      <c r="N178" s="34">
        <v>0</v>
      </c>
      <c r="O178" s="34">
        <v>0</v>
      </c>
      <c r="P178" s="34">
        <v>1005552.81</v>
      </c>
      <c r="Q178" s="34">
        <v>1005552.81</v>
      </c>
      <c r="R178" s="34">
        <v>1005552.81</v>
      </c>
      <c r="S178" s="34">
        <v>19727.4751727412</v>
      </c>
      <c r="T178" s="34">
        <v>1005552.81</v>
      </c>
      <c r="U178" s="35">
        <v>0</v>
      </c>
      <c r="V178" s="35">
        <v>1005552.81</v>
      </c>
      <c r="W178" s="35">
        <v>0</v>
      </c>
      <c r="X178" s="35">
        <v>0</v>
      </c>
      <c r="Y178" s="35">
        <v>0</v>
      </c>
      <c r="Z178" s="35">
        <v>0</v>
      </c>
      <c r="AA178" s="35">
        <v>0</v>
      </c>
      <c r="AB178" s="35">
        <v>0</v>
      </c>
      <c r="AC178" s="35">
        <v>0</v>
      </c>
      <c r="AD178" s="35">
        <v>0</v>
      </c>
      <c r="AE178" s="35">
        <v>0</v>
      </c>
      <c r="AF178" s="35">
        <v>0</v>
      </c>
      <c r="AG178" s="35">
        <v>0</v>
      </c>
      <c r="AH178" s="35">
        <v>0</v>
      </c>
      <c r="AI178" s="36">
        <v>0</v>
      </c>
      <c r="AJ178" s="36">
        <v>19727.4751727412</v>
      </c>
      <c r="AK178" s="36">
        <v>0</v>
      </c>
      <c r="AL178" s="36">
        <v>0</v>
      </c>
      <c r="AM178" s="36">
        <v>0</v>
      </c>
      <c r="AN178" s="36">
        <v>0</v>
      </c>
      <c r="AO178" s="36">
        <v>0</v>
      </c>
      <c r="AP178" s="36">
        <v>0</v>
      </c>
      <c r="AQ178" s="36">
        <v>0</v>
      </c>
      <c r="AR178" s="36">
        <v>0</v>
      </c>
      <c r="AS178" s="36">
        <v>0</v>
      </c>
      <c r="AT178" s="36">
        <v>0</v>
      </c>
      <c r="AU178" s="36">
        <v>0</v>
      </c>
      <c r="AV178" s="36">
        <v>0</v>
      </c>
      <c r="AW178" s="37">
        <v>0</v>
      </c>
      <c r="AX178" s="37">
        <v>1005552.81</v>
      </c>
      <c r="AY178" s="37"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2" t="s">
        <v>12</v>
      </c>
      <c r="BL178" s="32" t="s">
        <v>13</v>
      </c>
      <c r="BM178" s="33">
        <v>46079.466550925928</v>
      </c>
      <c r="BN178" s="32" t="s">
        <v>28</v>
      </c>
      <c r="BO178" s="32" t="s">
        <v>29</v>
      </c>
      <c r="BP178" s="38">
        <v>-19</v>
      </c>
      <c r="BQ178" s="42"/>
      <c r="BR178" s="39">
        <v>-19</v>
      </c>
      <c r="BS178" s="22" t="s">
        <v>221</v>
      </c>
      <c r="BT178" s="4" t="str">
        <f t="shared" si="9"/>
        <v>120</v>
      </c>
      <c r="BU178" s="4" t="str">
        <f t="shared" si="9"/>
        <v>-19</v>
      </c>
      <c r="BV178" s="4">
        <f t="shared" si="10"/>
        <v>45</v>
      </c>
      <c r="BW178" s="29">
        <f t="shared" si="11"/>
        <v>-19105503.390000001</v>
      </c>
      <c r="BX178" s="4">
        <v>51.49</v>
      </c>
      <c r="BY178" s="29">
        <f t="shared" si="12"/>
        <v>-26951.845741126028</v>
      </c>
    </row>
    <row r="179" spans="1:77" ht="15" hidden="1" customHeight="1" x14ac:dyDescent="0.35">
      <c r="A179" s="32" t="s">
        <v>217</v>
      </c>
      <c r="B179" s="32" t="s">
        <v>685</v>
      </c>
      <c r="C179" s="32" t="s">
        <v>16</v>
      </c>
      <c r="D179" s="32" t="s">
        <v>515</v>
      </c>
      <c r="E179" s="32" t="s">
        <v>152</v>
      </c>
      <c r="F179" s="32" t="s">
        <v>516</v>
      </c>
      <c r="G179" s="33">
        <v>46079</v>
      </c>
      <c r="H179" s="33">
        <v>46079</v>
      </c>
      <c r="I179" s="33">
        <v>46124</v>
      </c>
      <c r="J179" s="32" t="s">
        <v>11</v>
      </c>
      <c r="K179" s="34">
        <v>264563.71999999997</v>
      </c>
      <c r="L179" s="34">
        <v>259376.19</v>
      </c>
      <c r="M179" s="34">
        <v>5187.53</v>
      </c>
      <c r="N179" s="34">
        <v>0</v>
      </c>
      <c r="O179" s="34">
        <v>0</v>
      </c>
      <c r="P179" s="34">
        <v>264563.71999999997</v>
      </c>
      <c r="Q179" s="34">
        <v>264563.71999999997</v>
      </c>
      <c r="R179" s="34">
        <v>264563.71999999997</v>
      </c>
      <c r="S179" s="34">
        <v>5190.3531729060196</v>
      </c>
      <c r="T179" s="34">
        <v>264563.71999999997</v>
      </c>
      <c r="U179" s="35">
        <v>0</v>
      </c>
      <c r="V179" s="35">
        <v>264563.71999999997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0</v>
      </c>
      <c r="AH179" s="35">
        <v>0</v>
      </c>
      <c r="AI179" s="36">
        <v>0</v>
      </c>
      <c r="AJ179" s="36">
        <v>5190.3531729060196</v>
      </c>
      <c r="AK179" s="36">
        <v>0</v>
      </c>
      <c r="AL179" s="36">
        <v>0</v>
      </c>
      <c r="AM179" s="36">
        <v>0</v>
      </c>
      <c r="AN179" s="36">
        <v>0</v>
      </c>
      <c r="AO179" s="36">
        <v>0</v>
      </c>
      <c r="AP179" s="36">
        <v>0</v>
      </c>
      <c r="AQ179" s="36">
        <v>0</v>
      </c>
      <c r="AR179" s="36">
        <v>0</v>
      </c>
      <c r="AS179" s="36">
        <v>0</v>
      </c>
      <c r="AT179" s="36">
        <v>0</v>
      </c>
      <c r="AU179" s="36">
        <v>0</v>
      </c>
      <c r="AV179" s="36">
        <v>0</v>
      </c>
      <c r="AW179" s="37">
        <v>0</v>
      </c>
      <c r="AX179" s="37">
        <v>264563.71999999997</v>
      </c>
      <c r="AY179" s="37">
        <v>0</v>
      </c>
      <c r="AZ179" s="37">
        <v>0</v>
      </c>
      <c r="BA179" s="37">
        <v>0</v>
      </c>
      <c r="BB179" s="37">
        <v>0</v>
      </c>
      <c r="BC179" s="37">
        <v>0</v>
      </c>
      <c r="BD179" s="37">
        <v>0</v>
      </c>
      <c r="BE179" s="37">
        <v>0</v>
      </c>
      <c r="BF179" s="37">
        <v>0</v>
      </c>
      <c r="BG179" s="37">
        <v>0</v>
      </c>
      <c r="BH179" s="37">
        <v>0</v>
      </c>
      <c r="BI179" s="37">
        <v>0</v>
      </c>
      <c r="BJ179" s="37">
        <v>0</v>
      </c>
      <c r="BK179" s="32" t="s">
        <v>12</v>
      </c>
      <c r="BL179" s="32" t="s">
        <v>13</v>
      </c>
      <c r="BM179" s="33">
        <v>46079.467858796299</v>
      </c>
      <c r="BN179" s="32" t="s">
        <v>28</v>
      </c>
      <c r="BO179" s="32" t="s">
        <v>29</v>
      </c>
      <c r="BP179" s="38">
        <v>-19</v>
      </c>
      <c r="BQ179" s="42"/>
      <c r="BR179" s="39">
        <v>-19</v>
      </c>
      <c r="BS179" s="22" t="s">
        <v>221</v>
      </c>
      <c r="BT179" s="4" t="str">
        <f t="shared" si="9"/>
        <v>120</v>
      </c>
      <c r="BU179" s="4" t="str">
        <f t="shared" si="9"/>
        <v>-19</v>
      </c>
      <c r="BV179" s="4">
        <f t="shared" si="10"/>
        <v>45</v>
      </c>
      <c r="BW179" s="29">
        <f t="shared" si="11"/>
        <v>-5026710.68</v>
      </c>
      <c r="BX179" s="4">
        <v>51.49</v>
      </c>
      <c r="BY179" s="29">
        <f t="shared" si="12"/>
        <v>-7091.1050113205474</v>
      </c>
    </row>
    <row r="180" spans="1:77" ht="15" hidden="1" customHeight="1" x14ac:dyDescent="0.35">
      <c r="A180" s="32" t="s">
        <v>217</v>
      </c>
      <c r="B180" s="32" t="s">
        <v>686</v>
      </c>
      <c r="C180" s="32" t="s">
        <v>16</v>
      </c>
      <c r="D180" s="32" t="s">
        <v>87</v>
      </c>
      <c r="E180" s="32" t="s">
        <v>88</v>
      </c>
      <c r="F180" s="32" t="s">
        <v>89</v>
      </c>
      <c r="G180" s="33">
        <v>46079</v>
      </c>
      <c r="H180" s="33">
        <v>46079</v>
      </c>
      <c r="I180" s="33">
        <v>46139</v>
      </c>
      <c r="J180" s="32" t="s">
        <v>11</v>
      </c>
      <c r="K180" s="34">
        <v>5971306.9400000004</v>
      </c>
      <c r="L180" s="34">
        <v>5854222.5</v>
      </c>
      <c r="M180" s="34">
        <v>117084.44</v>
      </c>
      <c r="N180" s="34">
        <v>0</v>
      </c>
      <c r="O180" s="34">
        <v>0</v>
      </c>
      <c r="P180" s="34">
        <v>5971306.9400000004</v>
      </c>
      <c r="Q180" s="34">
        <v>5971306.9400000004</v>
      </c>
      <c r="R180" s="34">
        <v>5971306.9400000004</v>
      </c>
      <c r="S180" s="34">
        <v>117148.307116428</v>
      </c>
      <c r="T180" s="34">
        <v>5971306.9400000004</v>
      </c>
      <c r="U180" s="35">
        <v>0</v>
      </c>
      <c r="V180" s="35">
        <v>0</v>
      </c>
      <c r="W180" s="35">
        <v>5971306.9400000004</v>
      </c>
      <c r="X180" s="35">
        <v>0</v>
      </c>
      <c r="Y180" s="35">
        <v>0</v>
      </c>
      <c r="Z180" s="35">
        <v>0</v>
      </c>
      <c r="AA180" s="35">
        <v>0</v>
      </c>
      <c r="AB180" s="35">
        <v>0</v>
      </c>
      <c r="AC180" s="35">
        <v>0</v>
      </c>
      <c r="AD180" s="35">
        <v>0</v>
      </c>
      <c r="AE180" s="35">
        <v>0</v>
      </c>
      <c r="AF180" s="35">
        <v>0</v>
      </c>
      <c r="AG180" s="35">
        <v>0</v>
      </c>
      <c r="AH180" s="35">
        <v>0</v>
      </c>
      <c r="AI180" s="36">
        <v>0</v>
      </c>
      <c r="AJ180" s="36">
        <v>0</v>
      </c>
      <c r="AK180" s="36">
        <v>117148.307116428</v>
      </c>
      <c r="AL180" s="36">
        <v>0</v>
      </c>
      <c r="AM180" s="36">
        <v>0</v>
      </c>
      <c r="AN180" s="36">
        <v>0</v>
      </c>
      <c r="AO180" s="36">
        <v>0</v>
      </c>
      <c r="AP180" s="36">
        <v>0</v>
      </c>
      <c r="AQ180" s="36">
        <v>0</v>
      </c>
      <c r="AR180" s="36">
        <v>0</v>
      </c>
      <c r="AS180" s="36">
        <v>0</v>
      </c>
      <c r="AT180" s="36">
        <v>0</v>
      </c>
      <c r="AU180" s="36">
        <v>0</v>
      </c>
      <c r="AV180" s="36">
        <v>0</v>
      </c>
      <c r="AW180" s="37">
        <v>0</v>
      </c>
      <c r="AX180" s="37">
        <v>0</v>
      </c>
      <c r="AY180" s="37">
        <v>5971306.9400000004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2" t="s">
        <v>12</v>
      </c>
      <c r="BL180" s="32" t="s">
        <v>13</v>
      </c>
      <c r="BM180" s="33">
        <v>46079.605439814812</v>
      </c>
      <c r="BN180" s="32" t="s">
        <v>28</v>
      </c>
      <c r="BO180" s="32" t="s">
        <v>29</v>
      </c>
      <c r="BP180" s="38">
        <v>-34</v>
      </c>
      <c r="BQ180" s="42"/>
      <c r="BR180" s="39">
        <v>-34</v>
      </c>
      <c r="BS180" s="22" t="s">
        <v>221</v>
      </c>
      <c r="BT180" s="4" t="str">
        <f t="shared" si="9"/>
        <v>120</v>
      </c>
      <c r="BU180" s="4" t="str">
        <f t="shared" si="9"/>
        <v>-34</v>
      </c>
      <c r="BV180" s="4">
        <f t="shared" si="10"/>
        <v>60</v>
      </c>
      <c r="BW180" s="29">
        <f t="shared" si="11"/>
        <v>-203024435.96000001</v>
      </c>
      <c r="BX180" s="4">
        <v>51.49</v>
      </c>
      <c r="BY180" s="29">
        <f t="shared" si="12"/>
        <v>-286403.5125364493</v>
      </c>
    </row>
    <row r="181" spans="1:77" ht="15" hidden="1" customHeight="1" x14ac:dyDescent="0.35">
      <c r="A181" s="32" t="s">
        <v>217</v>
      </c>
      <c r="B181" s="32" t="s">
        <v>687</v>
      </c>
      <c r="C181" s="32" t="s">
        <v>16</v>
      </c>
      <c r="D181" s="32" t="s">
        <v>87</v>
      </c>
      <c r="E181" s="32" t="s">
        <v>88</v>
      </c>
      <c r="F181" s="32" t="s">
        <v>89</v>
      </c>
      <c r="G181" s="33">
        <v>46079</v>
      </c>
      <c r="H181" s="33">
        <v>46079</v>
      </c>
      <c r="I181" s="33">
        <v>46139</v>
      </c>
      <c r="J181" s="32" t="s">
        <v>11</v>
      </c>
      <c r="K181" s="34">
        <v>1409047.6</v>
      </c>
      <c r="L181" s="34">
        <v>1381419.21</v>
      </c>
      <c r="M181" s="34">
        <v>27628.39</v>
      </c>
      <c r="N181" s="34">
        <v>0</v>
      </c>
      <c r="O181" s="34">
        <v>0</v>
      </c>
      <c r="P181" s="34">
        <v>1409047.6</v>
      </c>
      <c r="Q181" s="34">
        <v>1409047.6</v>
      </c>
      <c r="R181" s="34">
        <v>1409047.6</v>
      </c>
      <c r="S181" s="34">
        <v>27643.452705592499</v>
      </c>
      <c r="T181" s="34">
        <v>1409047.6</v>
      </c>
      <c r="U181" s="35">
        <v>0</v>
      </c>
      <c r="V181" s="35">
        <v>0</v>
      </c>
      <c r="W181" s="35">
        <v>1409047.6</v>
      </c>
      <c r="X181" s="35">
        <v>0</v>
      </c>
      <c r="Y181" s="35">
        <v>0</v>
      </c>
      <c r="Z181" s="35">
        <v>0</v>
      </c>
      <c r="AA181" s="35">
        <v>0</v>
      </c>
      <c r="AB181" s="35">
        <v>0</v>
      </c>
      <c r="AC181" s="35">
        <v>0</v>
      </c>
      <c r="AD181" s="35">
        <v>0</v>
      </c>
      <c r="AE181" s="35">
        <v>0</v>
      </c>
      <c r="AF181" s="35">
        <v>0</v>
      </c>
      <c r="AG181" s="35">
        <v>0</v>
      </c>
      <c r="AH181" s="35">
        <v>0</v>
      </c>
      <c r="AI181" s="36">
        <v>0</v>
      </c>
      <c r="AJ181" s="36">
        <v>0</v>
      </c>
      <c r="AK181" s="36">
        <v>27643.452705592499</v>
      </c>
      <c r="AL181" s="36">
        <v>0</v>
      </c>
      <c r="AM181" s="36">
        <v>0</v>
      </c>
      <c r="AN181" s="36">
        <v>0</v>
      </c>
      <c r="AO181" s="36">
        <v>0</v>
      </c>
      <c r="AP181" s="36">
        <v>0</v>
      </c>
      <c r="AQ181" s="36">
        <v>0</v>
      </c>
      <c r="AR181" s="36">
        <v>0</v>
      </c>
      <c r="AS181" s="36">
        <v>0</v>
      </c>
      <c r="AT181" s="36">
        <v>0</v>
      </c>
      <c r="AU181" s="36">
        <v>0</v>
      </c>
      <c r="AV181" s="36">
        <v>0</v>
      </c>
      <c r="AW181" s="37">
        <v>0</v>
      </c>
      <c r="AX181" s="37">
        <v>0</v>
      </c>
      <c r="AY181" s="37">
        <v>1409047.6</v>
      </c>
      <c r="AZ181" s="37">
        <v>0</v>
      </c>
      <c r="BA181" s="37">
        <v>0</v>
      </c>
      <c r="BB181" s="37">
        <v>0</v>
      </c>
      <c r="BC181" s="37">
        <v>0</v>
      </c>
      <c r="BD181" s="37">
        <v>0</v>
      </c>
      <c r="BE181" s="37">
        <v>0</v>
      </c>
      <c r="BF181" s="37">
        <v>0</v>
      </c>
      <c r="BG181" s="37">
        <v>0</v>
      </c>
      <c r="BH181" s="37">
        <v>0</v>
      </c>
      <c r="BI181" s="37">
        <v>0</v>
      </c>
      <c r="BJ181" s="37">
        <v>0</v>
      </c>
      <c r="BK181" s="32" t="s">
        <v>12</v>
      </c>
      <c r="BL181" s="32" t="s">
        <v>13</v>
      </c>
      <c r="BM181" s="33">
        <v>46079.60564814815</v>
      </c>
      <c r="BN181" s="32" t="s">
        <v>28</v>
      </c>
      <c r="BO181" s="32" t="s">
        <v>29</v>
      </c>
      <c r="BP181" s="38">
        <v>-34</v>
      </c>
      <c r="BQ181" s="42"/>
      <c r="BR181" s="39">
        <v>-34</v>
      </c>
      <c r="BS181" s="22" t="s">
        <v>221</v>
      </c>
      <c r="BT181" s="4" t="str">
        <f t="shared" si="9"/>
        <v>120</v>
      </c>
      <c r="BU181" s="4" t="str">
        <f t="shared" si="9"/>
        <v>-34</v>
      </c>
      <c r="BV181" s="4">
        <f t="shared" si="10"/>
        <v>60</v>
      </c>
      <c r="BW181" s="29">
        <f t="shared" si="11"/>
        <v>-47907618.400000006</v>
      </c>
      <c r="BX181" s="4">
        <v>51.49</v>
      </c>
      <c r="BY181" s="29">
        <f t="shared" si="12"/>
        <v>-67582.555381260288</v>
      </c>
    </row>
    <row r="182" spans="1:77" ht="15" hidden="1" customHeight="1" x14ac:dyDescent="0.35">
      <c r="A182" s="32" t="s">
        <v>217</v>
      </c>
      <c r="B182" s="32" t="s">
        <v>688</v>
      </c>
      <c r="C182" s="32" t="s">
        <v>16</v>
      </c>
      <c r="D182" s="32" t="s">
        <v>87</v>
      </c>
      <c r="E182" s="32" t="s">
        <v>88</v>
      </c>
      <c r="F182" s="32" t="s">
        <v>89</v>
      </c>
      <c r="G182" s="33">
        <v>46079</v>
      </c>
      <c r="H182" s="33">
        <v>46079</v>
      </c>
      <c r="I182" s="33">
        <v>46139</v>
      </c>
      <c r="J182" s="32" t="s">
        <v>11</v>
      </c>
      <c r="K182" s="34">
        <v>353167.86</v>
      </c>
      <c r="L182" s="34">
        <v>346243</v>
      </c>
      <c r="M182" s="34">
        <v>6924.86</v>
      </c>
      <c r="N182" s="34">
        <v>0</v>
      </c>
      <c r="O182" s="34">
        <v>0</v>
      </c>
      <c r="P182" s="34">
        <v>353167.86</v>
      </c>
      <c r="Q182" s="34">
        <v>353167.86</v>
      </c>
      <c r="R182" s="34">
        <v>353167.86</v>
      </c>
      <c r="S182" s="34">
        <v>6928.6367863266596</v>
      </c>
      <c r="T182" s="34">
        <v>353167.86</v>
      </c>
      <c r="U182" s="35">
        <v>0</v>
      </c>
      <c r="V182" s="35">
        <v>0</v>
      </c>
      <c r="W182" s="35">
        <v>353167.86</v>
      </c>
      <c r="X182" s="35">
        <v>0</v>
      </c>
      <c r="Y182" s="35">
        <v>0</v>
      </c>
      <c r="Z182" s="35">
        <v>0</v>
      </c>
      <c r="AA182" s="35">
        <v>0</v>
      </c>
      <c r="AB182" s="35">
        <v>0</v>
      </c>
      <c r="AC182" s="35">
        <v>0</v>
      </c>
      <c r="AD182" s="35">
        <v>0</v>
      </c>
      <c r="AE182" s="35">
        <v>0</v>
      </c>
      <c r="AF182" s="35">
        <v>0</v>
      </c>
      <c r="AG182" s="35">
        <v>0</v>
      </c>
      <c r="AH182" s="35">
        <v>0</v>
      </c>
      <c r="AI182" s="36">
        <v>0</v>
      </c>
      <c r="AJ182" s="36">
        <v>0</v>
      </c>
      <c r="AK182" s="36">
        <v>6928.6367863266596</v>
      </c>
      <c r="AL182" s="36">
        <v>0</v>
      </c>
      <c r="AM182" s="36">
        <v>0</v>
      </c>
      <c r="AN182" s="36">
        <v>0</v>
      </c>
      <c r="AO182" s="36">
        <v>0</v>
      </c>
      <c r="AP182" s="36">
        <v>0</v>
      </c>
      <c r="AQ182" s="36">
        <v>0</v>
      </c>
      <c r="AR182" s="36">
        <v>0</v>
      </c>
      <c r="AS182" s="36">
        <v>0</v>
      </c>
      <c r="AT182" s="36">
        <v>0</v>
      </c>
      <c r="AU182" s="36">
        <v>0</v>
      </c>
      <c r="AV182" s="36">
        <v>0</v>
      </c>
      <c r="AW182" s="37">
        <v>0</v>
      </c>
      <c r="AX182" s="37">
        <v>0</v>
      </c>
      <c r="AY182" s="37">
        <v>353167.86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2" t="s">
        <v>12</v>
      </c>
      <c r="BL182" s="32" t="s">
        <v>13</v>
      </c>
      <c r="BM182" s="33">
        <v>46079.605856481481</v>
      </c>
      <c r="BN182" s="32" t="s">
        <v>28</v>
      </c>
      <c r="BO182" s="32" t="s">
        <v>29</v>
      </c>
      <c r="BP182" s="38">
        <v>-34</v>
      </c>
      <c r="BQ182" s="42"/>
      <c r="BR182" s="39">
        <v>-34</v>
      </c>
      <c r="BS182" s="22" t="s">
        <v>221</v>
      </c>
      <c r="BT182" s="4" t="str">
        <f t="shared" si="9"/>
        <v>120</v>
      </c>
      <c r="BU182" s="4" t="str">
        <f t="shared" si="9"/>
        <v>-34</v>
      </c>
      <c r="BV182" s="4">
        <f t="shared" si="10"/>
        <v>60</v>
      </c>
      <c r="BW182" s="29">
        <f t="shared" si="11"/>
        <v>-12007707.24</v>
      </c>
      <c r="BX182" s="4">
        <v>51.49</v>
      </c>
      <c r="BY182" s="29">
        <f t="shared" si="12"/>
        <v>-16939.0916654137</v>
      </c>
    </row>
    <row r="183" spans="1:77" ht="15" hidden="1" customHeight="1" x14ac:dyDescent="0.35">
      <c r="A183" s="32" t="s">
        <v>217</v>
      </c>
      <c r="B183" s="32" t="s">
        <v>689</v>
      </c>
      <c r="C183" s="32" t="s">
        <v>16</v>
      </c>
      <c r="D183" s="32" t="s">
        <v>87</v>
      </c>
      <c r="E183" s="32" t="s">
        <v>88</v>
      </c>
      <c r="F183" s="32" t="s">
        <v>89</v>
      </c>
      <c r="G183" s="33">
        <v>46079</v>
      </c>
      <c r="H183" s="33">
        <v>46079</v>
      </c>
      <c r="I183" s="33">
        <v>46139</v>
      </c>
      <c r="J183" s="32" t="s">
        <v>11</v>
      </c>
      <c r="K183" s="34">
        <v>82444.56</v>
      </c>
      <c r="L183" s="34">
        <v>80828</v>
      </c>
      <c r="M183" s="34">
        <v>1616.56</v>
      </c>
      <c r="N183" s="34">
        <v>0</v>
      </c>
      <c r="O183" s="34">
        <v>0</v>
      </c>
      <c r="P183" s="34">
        <v>82444.56</v>
      </c>
      <c r="Q183" s="34">
        <v>82444.56</v>
      </c>
      <c r="R183" s="34">
        <v>82444.56</v>
      </c>
      <c r="S183" s="34">
        <v>1617.4416642797401</v>
      </c>
      <c r="T183" s="34">
        <v>82444.56</v>
      </c>
      <c r="U183" s="35">
        <v>0</v>
      </c>
      <c r="V183" s="35">
        <v>0</v>
      </c>
      <c r="W183" s="35">
        <v>82444.56</v>
      </c>
      <c r="X183" s="35">
        <v>0</v>
      </c>
      <c r="Y183" s="35">
        <v>0</v>
      </c>
      <c r="Z183" s="35">
        <v>0</v>
      </c>
      <c r="AA183" s="35">
        <v>0</v>
      </c>
      <c r="AB183" s="35">
        <v>0</v>
      </c>
      <c r="AC183" s="35">
        <v>0</v>
      </c>
      <c r="AD183" s="35">
        <v>0</v>
      </c>
      <c r="AE183" s="35">
        <v>0</v>
      </c>
      <c r="AF183" s="35">
        <v>0</v>
      </c>
      <c r="AG183" s="35">
        <v>0</v>
      </c>
      <c r="AH183" s="35">
        <v>0</v>
      </c>
      <c r="AI183" s="36">
        <v>0</v>
      </c>
      <c r="AJ183" s="36">
        <v>0</v>
      </c>
      <c r="AK183" s="36">
        <v>1617.4416642797401</v>
      </c>
      <c r="AL183" s="36">
        <v>0</v>
      </c>
      <c r="AM183" s="36">
        <v>0</v>
      </c>
      <c r="AN183" s="36">
        <v>0</v>
      </c>
      <c r="AO183" s="36">
        <v>0</v>
      </c>
      <c r="AP183" s="36">
        <v>0</v>
      </c>
      <c r="AQ183" s="36">
        <v>0</v>
      </c>
      <c r="AR183" s="36">
        <v>0</v>
      </c>
      <c r="AS183" s="36">
        <v>0</v>
      </c>
      <c r="AT183" s="36">
        <v>0</v>
      </c>
      <c r="AU183" s="36">
        <v>0</v>
      </c>
      <c r="AV183" s="36">
        <v>0</v>
      </c>
      <c r="AW183" s="37">
        <v>0</v>
      </c>
      <c r="AX183" s="37">
        <v>0</v>
      </c>
      <c r="AY183" s="37">
        <v>82444.56</v>
      </c>
      <c r="AZ183" s="37">
        <v>0</v>
      </c>
      <c r="BA183" s="37">
        <v>0</v>
      </c>
      <c r="BB183" s="37">
        <v>0</v>
      </c>
      <c r="BC183" s="37">
        <v>0</v>
      </c>
      <c r="BD183" s="37">
        <v>0</v>
      </c>
      <c r="BE183" s="37">
        <v>0</v>
      </c>
      <c r="BF183" s="37">
        <v>0</v>
      </c>
      <c r="BG183" s="37">
        <v>0</v>
      </c>
      <c r="BH183" s="37">
        <v>0</v>
      </c>
      <c r="BI183" s="37">
        <v>0</v>
      </c>
      <c r="BJ183" s="37">
        <v>0</v>
      </c>
      <c r="BK183" s="32" t="s">
        <v>12</v>
      </c>
      <c r="BL183" s="32" t="s">
        <v>13</v>
      </c>
      <c r="BM183" s="33">
        <v>46079.606064814812</v>
      </c>
      <c r="BN183" s="32" t="s">
        <v>28</v>
      </c>
      <c r="BO183" s="32" t="s">
        <v>29</v>
      </c>
      <c r="BP183" s="38">
        <v>-34</v>
      </c>
      <c r="BQ183" s="42"/>
      <c r="BR183" s="39">
        <v>-34</v>
      </c>
      <c r="BS183" s="22" t="s">
        <v>221</v>
      </c>
      <c r="BT183" s="4" t="str">
        <f t="shared" si="9"/>
        <v>120</v>
      </c>
      <c r="BU183" s="4" t="str">
        <f t="shared" si="9"/>
        <v>-34</v>
      </c>
      <c r="BV183" s="4">
        <f t="shared" si="10"/>
        <v>60</v>
      </c>
      <c r="BW183" s="29">
        <f t="shared" si="11"/>
        <v>-2803115.04</v>
      </c>
      <c r="BX183" s="4">
        <v>51.49</v>
      </c>
      <c r="BY183" s="29">
        <f t="shared" si="12"/>
        <v>-3954.3121482082197</v>
      </c>
    </row>
    <row r="184" spans="1:77" ht="15" hidden="1" customHeight="1" x14ac:dyDescent="0.35">
      <c r="A184" s="32" t="s">
        <v>217</v>
      </c>
      <c r="B184" s="32" t="s">
        <v>690</v>
      </c>
      <c r="C184" s="32" t="s">
        <v>42</v>
      </c>
      <c r="D184" s="32" t="s">
        <v>399</v>
      </c>
      <c r="E184" s="32" t="s">
        <v>34</v>
      </c>
      <c r="F184" s="32" t="s">
        <v>400</v>
      </c>
      <c r="G184" s="33">
        <v>46079</v>
      </c>
      <c r="H184" s="33">
        <v>46079</v>
      </c>
      <c r="I184" s="33">
        <v>46109</v>
      </c>
      <c r="J184" s="32" t="s">
        <v>11</v>
      </c>
      <c r="K184" s="34">
        <v>66222.3</v>
      </c>
      <c r="L184" s="34">
        <v>66222.3</v>
      </c>
      <c r="M184" s="34">
        <v>0</v>
      </c>
      <c r="N184" s="34">
        <v>0</v>
      </c>
      <c r="O184" s="34">
        <v>0</v>
      </c>
      <c r="P184" s="34">
        <v>66222.3</v>
      </c>
      <c r="Q184" s="34">
        <v>66222.3</v>
      </c>
      <c r="R184" s="34">
        <v>66222.3</v>
      </c>
      <c r="S184" s="34">
        <v>1299.1846535954901</v>
      </c>
      <c r="T184" s="34">
        <v>66222.3</v>
      </c>
      <c r="U184" s="35">
        <v>66222.3</v>
      </c>
      <c r="V184" s="35">
        <v>0</v>
      </c>
      <c r="W184" s="35">
        <v>0</v>
      </c>
      <c r="X184" s="35">
        <v>0</v>
      </c>
      <c r="Y184" s="35">
        <v>0</v>
      </c>
      <c r="Z184" s="35">
        <v>0</v>
      </c>
      <c r="AA184" s="35">
        <v>0</v>
      </c>
      <c r="AB184" s="35">
        <v>0</v>
      </c>
      <c r="AC184" s="35">
        <v>0</v>
      </c>
      <c r="AD184" s="35">
        <v>0</v>
      </c>
      <c r="AE184" s="35">
        <v>0</v>
      </c>
      <c r="AF184" s="35">
        <v>0</v>
      </c>
      <c r="AG184" s="35">
        <v>0</v>
      </c>
      <c r="AH184" s="35">
        <v>0</v>
      </c>
      <c r="AI184" s="36">
        <v>1299.1846535954901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36">
        <v>0</v>
      </c>
      <c r="AR184" s="36">
        <v>0</v>
      </c>
      <c r="AS184" s="36">
        <v>0</v>
      </c>
      <c r="AT184" s="36">
        <v>0</v>
      </c>
      <c r="AU184" s="36">
        <v>0</v>
      </c>
      <c r="AV184" s="36">
        <v>0</v>
      </c>
      <c r="AW184" s="37">
        <v>66222.3</v>
      </c>
      <c r="AX184" s="37">
        <v>0</v>
      </c>
      <c r="AY184" s="37"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2" t="s">
        <v>12</v>
      </c>
      <c r="BL184" s="32" t="s">
        <v>13</v>
      </c>
      <c r="BM184" s="33">
        <v>46079.606493055559</v>
      </c>
      <c r="BN184" s="32" t="s">
        <v>28</v>
      </c>
      <c r="BO184" s="32" t="s">
        <v>29</v>
      </c>
      <c r="BP184" s="38">
        <v>-4</v>
      </c>
      <c r="BQ184" s="42"/>
      <c r="BR184" s="39">
        <v>-4</v>
      </c>
      <c r="BS184" s="22" t="s">
        <v>221</v>
      </c>
      <c r="BT184" s="4" t="str">
        <f t="shared" si="9"/>
        <v>120</v>
      </c>
      <c r="BU184" s="4" t="str">
        <f t="shared" si="9"/>
        <v>-4</v>
      </c>
      <c r="BV184" s="4">
        <f t="shared" si="10"/>
        <v>30</v>
      </c>
      <c r="BW184" s="29">
        <f t="shared" si="11"/>
        <v>-264889.2</v>
      </c>
      <c r="BX184" s="4">
        <v>51.49</v>
      </c>
      <c r="BY184" s="29">
        <f t="shared" si="12"/>
        <v>-373.67520295890415</v>
      </c>
    </row>
    <row r="185" spans="1:77" ht="15" hidden="1" customHeight="1" x14ac:dyDescent="0.35">
      <c r="A185" s="32" t="s">
        <v>217</v>
      </c>
      <c r="B185" s="32" t="s">
        <v>691</v>
      </c>
      <c r="C185" s="32" t="s">
        <v>16</v>
      </c>
      <c r="D185" s="32" t="s">
        <v>59</v>
      </c>
      <c r="E185" s="32" t="s">
        <v>60</v>
      </c>
      <c r="F185" s="32" t="s">
        <v>61</v>
      </c>
      <c r="G185" s="33">
        <v>46079</v>
      </c>
      <c r="H185" s="33">
        <v>46079</v>
      </c>
      <c r="I185" s="33">
        <v>46139</v>
      </c>
      <c r="J185" s="32" t="s">
        <v>11</v>
      </c>
      <c r="K185" s="34">
        <v>180918.97</v>
      </c>
      <c r="L185" s="34">
        <v>177371.54</v>
      </c>
      <c r="M185" s="34">
        <v>3547.43</v>
      </c>
      <c r="N185" s="34">
        <v>0</v>
      </c>
      <c r="O185" s="34">
        <v>0</v>
      </c>
      <c r="P185" s="34">
        <v>180918.97</v>
      </c>
      <c r="Q185" s="34">
        <v>180918.97</v>
      </c>
      <c r="R185" s="34">
        <v>180918.97</v>
      </c>
      <c r="S185" s="34">
        <v>3549.3655365081399</v>
      </c>
      <c r="T185" s="34">
        <v>180918.97</v>
      </c>
      <c r="U185" s="35">
        <v>0</v>
      </c>
      <c r="V185" s="35">
        <v>0</v>
      </c>
      <c r="W185" s="35">
        <v>180918.97</v>
      </c>
      <c r="X185" s="35">
        <v>0</v>
      </c>
      <c r="Y185" s="35">
        <v>0</v>
      </c>
      <c r="Z185" s="35">
        <v>0</v>
      </c>
      <c r="AA185" s="35">
        <v>0</v>
      </c>
      <c r="AB185" s="35">
        <v>0</v>
      </c>
      <c r="AC185" s="35">
        <v>0</v>
      </c>
      <c r="AD185" s="35">
        <v>0</v>
      </c>
      <c r="AE185" s="35">
        <v>0</v>
      </c>
      <c r="AF185" s="35">
        <v>0</v>
      </c>
      <c r="AG185" s="35">
        <v>0</v>
      </c>
      <c r="AH185" s="35">
        <v>0</v>
      </c>
      <c r="AI185" s="36">
        <v>0</v>
      </c>
      <c r="AJ185" s="36">
        <v>0</v>
      </c>
      <c r="AK185" s="36">
        <v>3549.3655365081399</v>
      </c>
      <c r="AL185" s="36">
        <v>0</v>
      </c>
      <c r="AM185" s="36">
        <v>0</v>
      </c>
      <c r="AN185" s="36">
        <v>0</v>
      </c>
      <c r="AO185" s="36">
        <v>0</v>
      </c>
      <c r="AP185" s="36">
        <v>0</v>
      </c>
      <c r="AQ185" s="36">
        <v>0</v>
      </c>
      <c r="AR185" s="36">
        <v>0</v>
      </c>
      <c r="AS185" s="36">
        <v>0</v>
      </c>
      <c r="AT185" s="36">
        <v>0</v>
      </c>
      <c r="AU185" s="36">
        <v>0</v>
      </c>
      <c r="AV185" s="36">
        <v>0</v>
      </c>
      <c r="AW185" s="37">
        <v>0</v>
      </c>
      <c r="AX185" s="37">
        <v>0</v>
      </c>
      <c r="AY185" s="37">
        <v>180918.97</v>
      </c>
      <c r="AZ185" s="37">
        <v>0</v>
      </c>
      <c r="BA185" s="37">
        <v>0</v>
      </c>
      <c r="BB185" s="37">
        <v>0</v>
      </c>
      <c r="BC185" s="37">
        <v>0</v>
      </c>
      <c r="BD185" s="37">
        <v>0</v>
      </c>
      <c r="BE185" s="37">
        <v>0</v>
      </c>
      <c r="BF185" s="37">
        <v>0</v>
      </c>
      <c r="BG185" s="37">
        <v>0</v>
      </c>
      <c r="BH185" s="37">
        <v>0</v>
      </c>
      <c r="BI185" s="37">
        <v>0</v>
      </c>
      <c r="BJ185" s="37">
        <v>0</v>
      </c>
      <c r="BK185" s="32" t="s">
        <v>12</v>
      </c>
      <c r="BL185" s="32" t="s">
        <v>13</v>
      </c>
      <c r="BM185" s="33">
        <v>46079.890555555554</v>
      </c>
      <c r="BN185" s="32" t="s">
        <v>28</v>
      </c>
      <c r="BO185" s="32" t="s">
        <v>29</v>
      </c>
      <c r="BP185" s="38">
        <v>-34</v>
      </c>
      <c r="BQ185" s="42"/>
      <c r="BR185" s="39">
        <v>-34</v>
      </c>
      <c r="BS185" s="22" t="s">
        <v>221</v>
      </c>
      <c r="BT185" s="4" t="str">
        <f t="shared" si="9"/>
        <v>120</v>
      </c>
      <c r="BU185" s="4" t="str">
        <f t="shared" si="9"/>
        <v>-34</v>
      </c>
      <c r="BV185" s="4">
        <f t="shared" si="10"/>
        <v>60</v>
      </c>
      <c r="BW185" s="29">
        <f t="shared" si="11"/>
        <v>-6151244.9800000004</v>
      </c>
      <c r="BX185" s="4">
        <v>51.49</v>
      </c>
      <c r="BY185" s="29">
        <f t="shared" si="12"/>
        <v>-8677.4686032931513</v>
      </c>
    </row>
    <row r="186" spans="1:77" ht="15" hidden="1" customHeight="1" x14ac:dyDescent="0.35">
      <c r="A186" s="32" t="s">
        <v>217</v>
      </c>
      <c r="B186" s="32" t="s">
        <v>692</v>
      </c>
      <c r="C186" s="32" t="s">
        <v>30</v>
      </c>
      <c r="D186" s="32" t="s">
        <v>91</v>
      </c>
      <c r="E186" s="32" t="s">
        <v>92</v>
      </c>
      <c r="F186" s="32" t="s">
        <v>493</v>
      </c>
      <c r="G186" s="33">
        <v>46081</v>
      </c>
      <c r="H186" s="33">
        <v>46081</v>
      </c>
      <c r="I186" s="33">
        <v>46096</v>
      </c>
      <c r="J186" s="32" t="s">
        <v>11</v>
      </c>
      <c r="K186" s="34">
        <v>3139618.56</v>
      </c>
      <c r="L186" s="34">
        <v>3078057.42</v>
      </c>
      <c r="M186" s="34">
        <v>61561.14</v>
      </c>
      <c r="N186" s="34">
        <v>0</v>
      </c>
      <c r="O186" s="34">
        <v>0</v>
      </c>
      <c r="P186" s="34">
        <v>3139618.56</v>
      </c>
      <c r="Q186" s="34">
        <v>0</v>
      </c>
      <c r="R186" s="34">
        <v>3139618.56</v>
      </c>
      <c r="S186" s="34">
        <v>61594.723398244503</v>
      </c>
      <c r="T186" s="34">
        <v>3139618.56</v>
      </c>
      <c r="U186" s="35">
        <v>0</v>
      </c>
      <c r="V186" s="35">
        <v>0</v>
      </c>
      <c r="W186" s="35">
        <v>0</v>
      </c>
      <c r="X186" s="35">
        <v>0</v>
      </c>
      <c r="Y186" s="35">
        <v>0</v>
      </c>
      <c r="Z186" s="35">
        <v>0</v>
      </c>
      <c r="AA186" s="35">
        <v>0</v>
      </c>
      <c r="AB186" s="35">
        <v>3139618.56</v>
      </c>
      <c r="AC186" s="35">
        <v>0</v>
      </c>
      <c r="AD186" s="35">
        <v>0</v>
      </c>
      <c r="AE186" s="35">
        <v>0</v>
      </c>
      <c r="AF186" s="35">
        <v>0</v>
      </c>
      <c r="AG186" s="35">
        <v>0</v>
      </c>
      <c r="AH186" s="35">
        <v>0</v>
      </c>
      <c r="AI186" s="36">
        <v>0</v>
      </c>
      <c r="AJ186" s="36">
        <v>0</v>
      </c>
      <c r="AK186" s="36">
        <v>0</v>
      </c>
      <c r="AL186" s="36">
        <v>0</v>
      </c>
      <c r="AM186" s="36">
        <v>0</v>
      </c>
      <c r="AN186" s="36">
        <v>0</v>
      </c>
      <c r="AO186" s="36">
        <v>0</v>
      </c>
      <c r="AP186" s="36">
        <v>61594.723398244503</v>
      </c>
      <c r="AQ186" s="36">
        <v>0</v>
      </c>
      <c r="AR186" s="36">
        <v>0</v>
      </c>
      <c r="AS186" s="36">
        <v>0</v>
      </c>
      <c r="AT186" s="36">
        <v>0</v>
      </c>
      <c r="AU186" s="36">
        <v>0</v>
      </c>
      <c r="AV186" s="36">
        <v>0</v>
      </c>
      <c r="AW186" s="37">
        <v>0</v>
      </c>
      <c r="AX186" s="37">
        <v>0</v>
      </c>
      <c r="AY186" s="37"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3139618.56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2" t="s">
        <v>12</v>
      </c>
      <c r="BL186" s="32" t="s">
        <v>13</v>
      </c>
      <c r="BM186" s="33">
        <v>46079.902858796297</v>
      </c>
      <c r="BN186" s="32" t="s">
        <v>28</v>
      </c>
      <c r="BO186" s="32" t="s">
        <v>29</v>
      </c>
      <c r="BP186" s="38">
        <v>9</v>
      </c>
      <c r="BQ186" s="42"/>
      <c r="BR186" s="39">
        <v>9</v>
      </c>
      <c r="BS186" s="22" t="s">
        <v>220</v>
      </c>
      <c r="BT186" s="4" t="str">
        <f t="shared" si="9"/>
        <v>120</v>
      </c>
      <c r="BU186" s="4" t="str">
        <f t="shared" si="9"/>
        <v>9</v>
      </c>
      <c r="BV186" s="4">
        <f t="shared" si="10"/>
        <v>15</v>
      </c>
      <c r="BW186" s="29">
        <f t="shared" si="11"/>
        <v>28256567.039999999</v>
      </c>
      <c r="BX186" s="4">
        <v>51.49</v>
      </c>
      <c r="BY186" s="29">
        <f t="shared" si="12"/>
        <v>39861.113339441094</v>
      </c>
    </row>
    <row r="187" spans="1:77" ht="15" hidden="1" customHeight="1" x14ac:dyDescent="0.35">
      <c r="A187" s="32" t="s">
        <v>217</v>
      </c>
      <c r="B187" s="32" t="s">
        <v>693</v>
      </c>
      <c r="C187" s="32" t="s">
        <v>30</v>
      </c>
      <c r="D187" s="32" t="s">
        <v>694</v>
      </c>
      <c r="E187" s="32" t="s">
        <v>79</v>
      </c>
      <c r="F187" s="32" t="s">
        <v>46</v>
      </c>
      <c r="G187" s="33">
        <v>46080</v>
      </c>
      <c r="H187" s="33">
        <v>46080</v>
      </c>
      <c r="I187" s="33">
        <v>46110</v>
      </c>
      <c r="J187" s="32" t="s">
        <v>11</v>
      </c>
      <c r="K187" s="34">
        <v>77871.899999999994</v>
      </c>
      <c r="L187" s="34">
        <v>76345</v>
      </c>
      <c r="M187" s="34">
        <v>1526.9</v>
      </c>
      <c r="N187" s="34">
        <v>0</v>
      </c>
      <c r="O187" s="34">
        <v>0</v>
      </c>
      <c r="P187" s="34">
        <v>77871.899999999994</v>
      </c>
      <c r="Q187" s="34">
        <v>77871.899999999994</v>
      </c>
      <c r="R187" s="34">
        <v>77871.899999999994</v>
      </c>
      <c r="S187" s="34">
        <v>1527.7327641341799</v>
      </c>
      <c r="T187" s="34">
        <v>77871.899999999994</v>
      </c>
      <c r="U187" s="35">
        <v>77871.899999999994</v>
      </c>
      <c r="V187" s="35">
        <v>0</v>
      </c>
      <c r="W187" s="35">
        <v>0</v>
      </c>
      <c r="X187" s="35">
        <v>0</v>
      </c>
      <c r="Y187" s="35">
        <v>0</v>
      </c>
      <c r="Z187" s="35">
        <v>0</v>
      </c>
      <c r="AA187" s="35">
        <v>0</v>
      </c>
      <c r="AB187" s="35">
        <v>0</v>
      </c>
      <c r="AC187" s="35">
        <v>0</v>
      </c>
      <c r="AD187" s="35">
        <v>0</v>
      </c>
      <c r="AE187" s="35">
        <v>0</v>
      </c>
      <c r="AF187" s="35">
        <v>0</v>
      </c>
      <c r="AG187" s="35">
        <v>0</v>
      </c>
      <c r="AH187" s="35">
        <v>0</v>
      </c>
      <c r="AI187" s="36">
        <v>1527.7327641341799</v>
      </c>
      <c r="AJ187" s="36">
        <v>0</v>
      </c>
      <c r="AK187" s="36">
        <v>0</v>
      </c>
      <c r="AL187" s="36">
        <v>0</v>
      </c>
      <c r="AM187" s="36">
        <v>0</v>
      </c>
      <c r="AN187" s="36">
        <v>0</v>
      </c>
      <c r="AO187" s="36">
        <v>0</v>
      </c>
      <c r="AP187" s="36">
        <v>0</v>
      </c>
      <c r="AQ187" s="36">
        <v>0</v>
      </c>
      <c r="AR187" s="36">
        <v>0</v>
      </c>
      <c r="AS187" s="36">
        <v>0</v>
      </c>
      <c r="AT187" s="36">
        <v>0</v>
      </c>
      <c r="AU187" s="36">
        <v>0</v>
      </c>
      <c r="AV187" s="36">
        <v>0</v>
      </c>
      <c r="AW187" s="37">
        <v>77871.899999999994</v>
      </c>
      <c r="AX187" s="37">
        <v>0</v>
      </c>
      <c r="AY187" s="37">
        <v>0</v>
      </c>
      <c r="AZ187" s="37">
        <v>0</v>
      </c>
      <c r="BA187" s="37">
        <v>0</v>
      </c>
      <c r="BB187" s="37">
        <v>0</v>
      </c>
      <c r="BC187" s="37">
        <v>0</v>
      </c>
      <c r="BD187" s="37">
        <v>0</v>
      </c>
      <c r="BE187" s="37">
        <v>0</v>
      </c>
      <c r="BF187" s="37">
        <v>0</v>
      </c>
      <c r="BG187" s="37">
        <v>0</v>
      </c>
      <c r="BH187" s="37">
        <v>0</v>
      </c>
      <c r="BI187" s="37">
        <v>0</v>
      </c>
      <c r="BJ187" s="37">
        <v>0</v>
      </c>
      <c r="BK187" s="32" t="s">
        <v>12</v>
      </c>
      <c r="BL187" s="32" t="s">
        <v>13</v>
      </c>
      <c r="BM187" s="33">
        <v>46080.543321759258</v>
      </c>
      <c r="BN187" s="32" t="s">
        <v>28</v>
      </c>
      <c r="BO187" s="32" t="s">
        <v>29</v>
      </c>
      <c r="BP187" s="38">
        <v>-5</v>
      </c>
      <c r="BQ187" s="42"/>
      <c r="BR187" s="39">
        <v>-5</v>
      </c>
      <c r="BS187" s="22" t="s">
        <v>221</v>
      </c>
      <c r="BT187" s="4" t="str">
        <f t="shared" si="9"/>
        <v>120</v>
      </c>
      <c r="BU187" s="4" t="str">
        <f t="shared" si="9"/>
        <v>-5</v>
      </c>
      <c r="BV187" s="4">
        <f t="shared" si="10"/>
        <v>30</v>
      </c>
      <c r="BW187" s="29">
        <f t="shared" si="11"/>
        <v>-389359.5</v>
      </c>
      <c r="BX187" s="4">
        <v>51.49</v>
      </c>
      <c r="BY187" s="29">
        <f t="shared" si="12"/>
        <v>-549.26357958904111</v>
      </c>
    </row>
    <row r="188" spans="1:77" ht="15" hidden="1" customHeight="1" x14ac:dyDescent="0.35">
      <c r="A188" s="32" t="s">
        <v>217</v>
      </c>
      <c r="B188" s="32" t="s">
        <v>695</v>
      </c>
      <c r="C188" s="32" t="s">
        <v>30</v>
      </c>
      <c r="D188" s="32" t="s">
        <v>353</v>
      </c>
      <c r="E188" s="32" t="s">
        <v>354</v>
      </c>
      <c r="F188" s="32" t="s">
        <v>351</v>
      </c>
      <c r="G188" s="33">
        <v>46080</v>
      </c>
      <c r="H188" s="33">
        <v>46080</v>
      </c>
      <c r="I188" s="33">
        <v>46140</v>
      </c>
      <c r="J188" s="32" t="s">
        <v>11</v>
      </c>
      <c r="K188" s="34">
        <v>2033366.39</v>
      </c>
      <c r="L188" s="34">
        <v>1993496.46</v>
      </c>
      <c r="M188" s="34">
        <v>39869.93</v>
      </c>
      <c r="N188" s="34">
        <v>0</v>
      </c>
      <c r="O188" s="34">
        <v>0</v>
      </c>
      <c r="P188" s="34">
        <v>2033366.39</v>
      </c>
      <c r="Q188" s="34">
        <v>2033366.39</v>
      </c>
      <c r="R188" s="34">
        <v>2033366.39</v>
      </c>
      <c r="S188" s="34">
        <v>39891.674089013199</v>
      </c>
      <c r="T188" s="34">
        <v>2033366.39</v>
      </c>
      <c r="U188" s="35">
        <v>0</v>
      </c>
      <c r="V188" s="35">
        <v>0</v>
      </c>
      <c r="W188" s="35">
        <v>2033366.39</v>
      </c>
      <c r="X188" s="35">
        <v>0</v>
      </c>
      <c r="Y188" s="35">
        <v>0</v>
      </c>
      <c r="Z188" s="35">
        <v>0</v>
      </c>
      <c r="AA188" s="35">
        <v>0</v>
      </c>
      <c r="AB188" s="35">
        <v>0</v>
      </c>
      <c r="AC188" s="35">
        <v>0</v>
      </c>
      <c r="AD188" s="35">
        <v>0</v>
      </c>
      <c r="AE188" s="35">
        <v>0</v>
      </c>
      <c r="AF188" s="35">
        <v>0</v>
      </c>
      <c r="AG188" s="35">
        <v>0</v>
      </c>
      <c r="AH188" s="35">
        <v>0</v>
      </c>
      <c r="AI188" s="36">
        <v>0</v>
      </c>
      <c r="AJ188" s="36">
        <v>0</v>
      </c>
      <c r="AK188" s="36">
        <v>39891.674089013199</v>
      </c>
      <c r="AL188" s="36">
        <v>0</v>
      </c>
      <c r="AM188" s="36">
        <v>0</v>
      </c>
      <c r="AN188" s="36">
        <v>0</v>
      </c>
      <c r="AO188" s="36">
        <v>0</v>
      </c>
      <c r="AP188" s="36">
        <v>0</v>
      </c>
      <c r="AQ188" s="36">
        <v>0</v>
      </c>
      <c r="AR188" s="36">
        <v>0</v>
      </c>
      <c r="AS188" s="36">
        <v>0</v>
      </c>
      <c r="AT188" s="36">
        <v>0</v>
      </c>
      <c r="AU188" s="36">
        <v>0</v>
      </c>
      <c r="AV188" s="36">
        <v>0</v>
      </c>
      <c r="AW188" s="37">
        <v>0</v>
      </c>
      <c r="AX188" s="37">
        <v>0</v>
      </c>
      <c r="AY188" s="37">
        <v>2033366.39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2" t="s">
        <v>12</v>
      </c>
      <c r="BL188" s="32" t="s">
        <v>13</v>
      </c>
      <c r="BM188" s="33">
        <v>46080.543946759259</v>
      </c>
      <c r="BN188" s="32" t="s">
        <v>28</v>
      </c>
      <c r="BO188" s="32" t="s">
        <v>29</v>
      </c>
      <c r="BP188" s="38">
        <v>-35</v>
      </c>
      <c r="BQ188" s="42"/>
      <c r="BR188" s="39">
        <v>-35</v>
      </c>
      <c r="BS188" s="22" t="s">
        <v>221</v>
      </c>
      <c r="BT188" s="4" t="str">
        <f t="shared" si="9"/>
        <v>120</v>
      </c>
      <c r="BU188" s="4" t="str">
        <f t="shared" si="9"/>
        <v>-35</v>
      </c>
      <c r="BV188" s="4">
        <f t="shared" si="10"/>
        <v>60</v>
      </c>
      <c r="BW188" s="29">
        <f t="shared" si="11"/>
        <v>-71167823.649999991</v>
      </c>
      <c r="BX188" s="4">
        <v>51.49</v>
      </c>
      <c r="BY188" s="29">
        <f t="shared" si="12"/>
        <v>-100395.37643119178</v>
      </c>
    </row>
    <row r="189" spans="1:77" ht="15" hidden="1" customHeight="1" x14ac:dyDescent="0.35">
      <c r="A189" s="32" t="s">
        <v>217</v>
      </c>
      <c r="B189" s="32" t="s">
        <v>696</v>
      </c>
      <c r="C189" s="32" t="s">
        <v>30</v>
      </c>
      <c r="D189" s="32" t="s">
        <v>353</v>
      </c>
      <c r="E189" s="32" t="s">
        <v>354</v>
      </c>
      <c r="F189" s="32" t="s">
        <v>351</v>
      </c>
      <c r="G189" s="33">
        <v>46080</v>
      </c>
      <c r="H189" s="33">
        <v>46080</v>
      </c>
      <c r="I189" s="33">
        <v>46140</v>
      </c>
      <c r="J189" s="32" t="s">
        <v>11</v>
      </c>
      <c r="K189" s="34">
        <v>417678.01</v>
      </c>
      <c r="L189" s="34">
        <v>409488.25</v>
      </c>
      <c r="M189" s="34">
        <v>8189.76</v>
      </c>
      <c r="N189" s="34">
        <v>0</v>
      </c>
      <c r="O189" s="34">
        <v>0</v>
      </c>
      <c r="P189" s="34">
        <v>417678.01</v>
      </c>
      <c r="Q189" s="34">
        <v>417678.01</v>
      </c>
      <c r="R189" s="34">
        <v>417678.01</v>
      </c>
      <c r="S189" s="34">
        <v>8194.2315615178395</v>
      </c>
      <c r="T189" s="34">
        <v>417678.01</v>
      </c>
      <c r="U189" s="35">
        <v>0</v>
      </c>
      <c r="V189" s="35">
        <v>0</v>
      </c>
      <c r="W189" s="35">
        <v>417678.01</v>
      </c>
      <c r="X189" s="35">
        <v>0</v>
      </c>
      <c r="Y189" s="35">
        <v>0</v>
      </c>
      <c r="Z189" s="35">
        <v>0</v>
      </c>
      <c r="AA189" s="35">
        <v>0</v>
      </c>
      <c r="AB189" s="35">
        <v>0</v>
      </c>
      <c r="AC189" s="35">
        <v>0</v>
      </c>
      <c r="AD189" s="35">
        <v>0</v>
      </c>
      <c r="AE189" s="35">
        <v>0</v>
      </c>
      <c r="AF189" s="35">
        <v>0</v>
      </c>
      <c r="AG189" s="35">
        <v>0</v>
      </c>
      <c r="AH189" s="35">
        <v>0</v>
      </c>
      <c r="AI189" s="36">
        <v>0</v>
      </c>
      <c r="AJ189" s="36">
        <v>0</v>
      </c>
      <c r="AK189" s="36">
        <v>8194.2315615178395</v>
      </c>
      <c r="AL189" s="36">
        <v>0</v>
      </c>
      <c r="AM189" s="36">
        <v>0</v>
      </c>
      <c r="AN189" s="36">
        <v>0</v>
      </c>
      <c r="AO189" s="36">
        <v>0</v>
      </c>
      <c r="AP189" s="36">
        <v>0</v>
      </c>
      <c r="AQ189" s="36">
        <v>0</v>
      </c>
      <c r="AR189" s="36">
        <v>0</v>
      </c>
      <c r="AS189" s="36">
        <v>0</v>
      </c>
      <c r="AT189" s="36">
        <v>0</v>
      </c>
      <c r="AU189" s="36">
        <v>0</v>
      </c>
      <c r="AV189" s="36">
        <v>0</v>
      </c>
      <c r="AW189" s="37">
        <v>0</v>
      </c>
      <c r="AX189" s="37">
        <v>0</v>
      </c>
      <c r="AY189" s="37">
        <v>417678.01</v>
      </c>
      <c r="AZ189" s="37">
        <v>0</v>
      </c>
      <c r="BA189" s="37">
        <v>0</v>
      </c>
      <c r="BB189" s="37">
        <v>0</v>
      </c>
      <c r="BC189" s="37">
        <v>0</v>
      </c>
      <c r="BD189" s="37">
        <v>0</v>
      </c>
      <c r="BE189" s="37">
        <v>0</v>
      </c>
      <c r="BF189" s="37">
        <v>0</v>
      </c>
      <c r="BG189" s="37">
        <v>0</v>
      </c>
      <c r="BH189" s="37">
        <v>0</v>
      </c>
      <c r="BI189" s="37">
        <v>0</v>
      </c>
      <c r="BJ189" s="37">
        <v>0</v>
      </c>
      <c r="BK189" s="32" t="s">
        <v>12</v>
      </c>
      <c r="BL189" s="32" t="s">
        <v>13</v>
      </c>
      <c r="BM189" s="33">
        <v>46080.54415509259</v>
      </c>
      <c r="BN189" s="32" t="s">
        <v>28</v>
      </c>
      <c r="BO189" s="32" t="s">
        <v>29</v>
      </c>
      <c r="BP189" s="38">
        <v>-35</v>
      </c>
      <c r="BQ189" s="42"/>
      <c r="BR189" s="39">
        <v>-35</v>
      </c>
      <c r="BS189" s="22" t="s">
        <v>221</v>
      </c>
      <c r="BT189" s="4" t="str">
        <f t="shared" si="9"/>
        <v>120</v>
      </c>
      <c r="BU189" s="4" t="str">
        <f t="shared" si="9"/>
        <v>-35</v>
      </c>
      <c r="BV189" s="4">
        <f t="shared" si="10"/>
        <v>60</v>
      </c>
      <c r="BW189" s="29">
        <f t="shared" si="11"/>
        <v>-14618730.35</v>
      </c>
      <c r="BX189" s="4">
        <v>51.49</v>
      </c>
      <c r="BY189" s="29">
        <f t="shared" si="12"/>
        <v>-20622.422622506849</v>
      </c>
    </row>
    <row r="190" spans="1:77" ht="15" hidden="1" customHeight="1" x14ac:dyDescent="0.35">
      <c r="A190" s="32" t="s">
        <v>217</v>
      </c>
      <c r="B190" s="32" t="s">
        <v>697</v>
      </c>
      <c r="C190" s="32" t="s">
        <v>30</v>
      </c>
      <c r="D190" s="32" t="s">
        <v>353</v>
      </c>
      <c r="E190" s="32" t="s">
        <v>354</v>
      </c>
      <c r="F190" s="32" t="s">
        <v>351</v>
      </c>
      <c r="G190" s="33">
        <v>46080</v>
      </c>
      <c r="H190" s="33">
        <v>46080</v>
      </c>
      <c r="I190" s="33">
        <v>46140</v>
      </c>
      <c r="J190" s="32" t="s">
        <v>11</v>
      </c>
      <c r="K190" s="34">
        <v>430906.39</v>
      </c>
      <c r="L190" s="34">
        <v>422457.25</v>
      </c>
      <c r="M190" s="34">
        <v>8449.14</v>
      </c>
      <c r="N190" s="34">
        <v>0</v>
      </c>
      <c r="O190" s="34">
        <v>0</v>
      </c>
      <c r="P190" s="34">
        <v>430906.39</v>
      </c>
      <c r="Q190" s="34">
        <v>430906.39</v>
      </c>
      <c r="R190" s="34">
        <v>430906.39</v>
      </c>
      <c r="S190" s="34">
        <v>8453.7530261593602</v>
      </c>
      <c r="T190" s="34">
        <v>430906.39</v>
      </c>
      <c r="U190" s="35">
        <v>0</v>
      </c>
      <c r="V190" s="35">
        <v>0</v>
      </c>
      <c r="W190" s="35">
        <v>430906.39</v>
      </c>
      <c r="X190" s="35">
        <v>0</v>
      </c>
      <c r="Y190" s="35">
        <v>0</v>
      </c>
      <c r="Z190" s="35">
        <v>0</v>
      </c>
      <c r="AA190" s="35">
        <v>0</v>
      </c>
      <c r="AB190" s="35">
        <v>0</v>
      </c>
      <c r="AC190" s="35">
        <v>0</v>
      </c>
      <c r="AD190" s="35">
        <v>0</v>
      </c>
      <c r="AE190" s="35">
        <v>0</v>
      </c>
      <c r="AF190" s="35">
        <v>0</v>
      </c>
      <c r="AG190" s="35">
        <v>0</v>
      </c>
      <c r="AH190" s="35">
        <v>0</v>
      </c>
      <c r="AI190" s="36">
        <v>0</v>
      </c>
      <c r="AJ190" s="36">
        <v>0</v>
      </c>
      <c r="AK190" s="36">
        <v>8453.7530261593602</v>
      </c>
      <c r="AL190" s="36">
        <v>0</v>
      </c>
      <c r="AM190" s="36">
        <v>0</v>
      </c>
      <c r="AN190" s="36">
        <v>0</v>
      </c>
      <c r="AO190" s="36">
        <v>0</v>
      </c>
      <c r="AP190" s="36">
        <v>0</v>
      </c>
      <c r="AQ190" s="36">
        <v>0</v>
      </c>
      <c r="AR190" s="36">
        <v>0</v>
      </c>
      <c r="AS190" s="36">
        <v>0</v>
      </c>
      <c r="AT190" s="36">
        <v>0</v>
      </c>
      <c r="AU190" s="36">
        <v>0</v>
      </c>
      <c r="AV190" s="36">
        <v>0</v>
      </c>
      <c r="AW190" s="37">
        <v>0</v>
      </c>
      <c r="AX190" s="37">
        <v>0</v>
      </c>
      <c r="AY190" s="37">
        <v>430906.39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2" t="s">
        <v>12</v>
      </c>
      <c r="BL190" s="32" t="s">
        <v>13</v>
      </c>
      <c r="BM190" s="33">
        <v>46080.544374999998</v>
      </c>
      <c r="BN190" s="32" t="s">
        <v>28</v>
      </c>
      <c r="BO190" s="32" t="s">
        <v>29</v>
      </c>
      <c r="BP190" s="38">
        <v>-35</v>
      </c>
      <c r="BQ190" s="42"/>
      <c r="BR190" s="39">
        <v>-35</v>
      </c>
      <c r="BS190" s="22" t="s">
        <v>221</v>
      </c>
      <c r="BT190" s="4" t="str">
        <f t="shared" si="9"/>
        <v>120</v>
      </c>
      <c r="BU190" s="4" t="str">
        <f t="shared" si="9"/>
        <v>-35</v>
      </c>
      <c r="BV190" s="4">
        <f t="shared" si="10"/>
        <v>60</v>
      </c>
      <c r="BW190" s="29">
        <f t="shared" si="11"/>
        <v>-15081723.65</v>
      </c>
      <c r="BX190" s="4">
        <v>51.49</v>
      </c>
      <c r="BY190" s="29">
        <f t="shared" si="12"/>
        <v>-21275.560294205479</v>
      </c>
    </row>
    <row r="191" spans="1:77" ht="15" hidden="1" customHeight="1" x14ac:dyDescent="0.35">
      <c r="A191" s="32" t="s">
        <v>217</v>
      </c>
      <c r="B191" s="32" t="s">
        <v>698</v>
      </c>
      <c r="C191" s="32" t="s">
        <v>7</v>
      </c>
      <c r="D191" s="32" t="s">
        <v>520</v>
      </c>
      <c r="E191" s="32" t="s">
        <v>230</v>
      </c>
      <c r="F191" s="32" t="s">
        <v>104</v>
      </c>
      <c r="G191" s="33">
        <v>46080</v>
      </c>
      <c r="H191" s="33">
        <v>46080</v>
      </c>
      <c r="I191" s="33">
        <v>46095</v>
      </c>
      <c r="J191" s="32" t="s">
        <v>11</v>
      </c>
      <c r="K191" s="34">
        <v>65074.16</v>
      </c>
      <c r="L191" s="34">
        <v>63798.19</v>
      </c>
      <c r="M191" s="34">
        <v>1275.97</v>
      </c>
      <c r="N191" s="34">
        <v>65074.15</v>
      </c>
      <c r="O191" s="34">
        <v>0</v>
      </c>
      <c r="P191" s="34">
        <v>0.01</v>
      </c>
      <c r="Q191" s="34">
        <v>0</v>
      </c>
      <c r="R191" s="34">
        <v>0.01</v>
      </c>
      <c r="S191" s="34">
        <v>1.9618537163394899E-4</v>
      </c>
      <c r="T191" s="34">
        <v>0.01</v>
      </c>
      <c r="U191" s="35">
        <v>0</v>
      </c>
      <c r="V191" s="35">
        <v>0</v>
      </c>
      <c r="W191" s="35">
        <v>0</v>
      </c>
      <c r="X191" s="35">
        <v>0</v>
      </c>
      <c r="Y191" s="35">
        <v>0</v>
      </c>
      <c r="Z191" s="35">
        <v>0</v>
      </c>
      <c r="AA191" s="35">
        <v>0</v>
      </c>
      <c r="AB191" s="35">
        <v>0.01</v>
      </c>
      <c r="AC191" s="35">
        <v>0</v>
      </c>
      <c r="AD191" s="35">
        <v>0</v>
      </c>
      <c r="AE191" s="35">
        <v>0</v>
      </c>
      <c r="AF191" s="35">
        <v>0</v>
      </c>
      <c r="AG191" s="35">
        <v>0</v>
      </c>
      <c r="AH191" s="35">
        <v>0</v>
      </c>
      <c r="AI191" s="36">
        <v>0</v>
      </c>
      <c r="AJ191" s="36">
        <v>0</v>
      </c>
      <c r="AK191" s="36">
        <v>0</v>
      </c>
      <c r="AL191" s="36">
        <v>0</v>
      </c>
      <c r="AM191" s="36">
        <v>0</v>
      </c>
      <c r="AN191" s="36">
        <v>0</v>
      </c>
      <c r="AO191" s="36">
        <v>0</v>
      </c>
      <c r="AP191" s="36">
        <v>1.9618537163394899E-4</v>
      </c>
      <c r="AQ191" s="36">
        <v>0</v>
      </c>
      <c r="AR191" s="36">
        <v>0</v>
      </c>
      <c r="AS191" s="36">
        <v>0</v>
      </c>
      <c r="AT191" s="36">
        <v>0</v>
      </c>
      <c r="AU191" s="36">
        <v>0</v>
      </c>
      <c r="AV191" s="36">
        <v>0</v>
      </c>
      <c r="AW191" s="37">
        <v>0</v>
      </c>
      <c r="AX191" s="37">
        <v>0</v>
      </c>
      <c r="AY191" s="37">
        <v>0</v>
      </c>
      <c r="AZ191" s="37">
        <v>0</v>
      </c>
      <c r="BA191" s="37">
        <v>0</v>
      </c>
      <c r="BB191" s="37">
        <v>0</v>
      </c>
      <c r="BC191" s="37">
        <v>0</v>
      </c>
      <c r="BD191" s="37">
        <v>0.01</v>
      </c>
      <c r="BE191" s="37">
        <v>0</v>
      </c>
      <c r="BF191" s="37">
        <v>0</v>
      </c>
      <c r="BG191" s="37">
        <v>0</v>
      </c>
      <c r="BH191" s="37">
        <v>0</v>
      </c>
      <c r="BI191" s="37">
        <v>0</v>
      </c>
      <c r="BJ191" s="37">
        <v>0</v>
      </c>
      <c r="BK191" s="32" t="s">
        <v>12</v>
      </c>
      <c r="BL191" s="32" t="s">
        <v>13</v>
      </c>
      <c r="BM191" s="33">
        <v>46080.599363425928</v>
      </c>
      <c r="BN191" s="32" t="s">
        <v>28</v>
      </c>
      <c r="BO191" s="32" t="s">
        <v>29</v>
      </c>
      <c r="BP191" s="38">
        <v>10</v>
      </c>
      <c r="BQ191" s="42"/>
      <c r="BR191" s="39">
        <v>10</v>
      </c>
      <c r="BS191" s="22" t="s">
        <v>220</v>
      </c>
      <c r="BT191" s="4" t="str">
        <f t="shared" si="9"/>
        <v>120</v>
      </c>
      <c r="BU191" s="4" t="str">
        <f t="shared" si="9"/>
        <v>10</v>
      </c>
      <c r="BV191" s="4">
        <f t="shared" si="10"/>
        <v>15</v>
      </c>
      <c r="BW191" s="29">
        <f t="shared" si="11"/>
        <v>0.1</v>
      </c>
      <c r="BX191" s="4">
        <v>51.49</v>
      </c>
      <c r="BY191" s="29">
        <f t="shared" si="12"/>
        <v>1.4106849315068495E-4</v>
      </c>
    </row>
    <row r="192" spans="1:77" ht="15" hidden="1" customHeight="1" x14ac:dyDescent="0.35">
      <c r="A192" s="32" t="s">
        <v>217</v>
      </c>
      <c r="B192" s="32" t="s">
        <v>699</v>
      </c>
      <c r="C192" s="32" t="s">
        <v>7</v>
      </c>
      <c r="D192" s="32" t="s">
        <v>700</v>
      </c>
      <c r="E192" s="32" t="s">
        <v>461</v>
      </c>
      <c r="F192" s="32" t="s">
        <v>41</v>
      </c>
      <c r="G192" s="33">
        <v>46081</v>
      </c>
      <c r="H192" s="33">
        <v>46081</v>
      </c>
      <c r="I192" s="33">
        <v>46096</v>
      </c>
      <c r="J192" s="32" t="s">
        <v>11</v>
      </c>
      <c r="K192" s="34">
        <v>1090132.53</v>
      </c>
      <c r="L192" s="34">
        <v>1068757.3799999999</v>
      </c>
      <c r="M192" s="34">
        <v>21375.15</v>
      </c>
      <c r="N192" s="34">
        <v>0.01</v>
      </c>
      <c r="O192" s="34">
        <v>0</v>
      </c>
      <c r="P192" s="34">
        <v>1090132.52</v>
      </c>
      <c r="Q192" s="34">
        <v>0</v>
      </c>
      <c r="R192" s="34">
        <v>1090132.52</v>
      </c>
      <c r="S192" s="34">
        <v>21386.8053566454</v>
      </c>
      <c r="T192" s="34">
        <v>1090132.52</v>
      </c>
      <c r="U192" s="35">
        <v>0</v>
      </c>
      <c r="V192" s="35">
        <v>0</v>
      </c>
      <c r="W192" s="35">
        <v>0</v>
      </c>
      <c r="X192" s="35">
        <v>0</v>
      </c>
      <c r="Y192" s="35">
        <v>0</v>
      </c>
      <c r="Z192" s="35">
        <v>0</v>
      </c>
      <c r="AA192" s="35">
        <v>0</v>
      </c>
      <c r="AB192" s="35">
        <v>1090132.52</v>
      </c>
      <c r="AC192" s="35">
        <v>0</v>
      </c>
      <c r="AD192" s="35">
        <v>0</v>
      </c>
      <c r="AE192" s="35">
        <v>0</v>
      </c>
      <c r="AF192" s="35">
        <v>0</v>
      </c>
      <c r="AG192" s="35">
        <v>0</v>
      </c>
      <c r="AH192" s="35">
        <v>0</v>
      </c>
      <c r="AI192" s="36">
        <v>0</v>
      </c>
      <c r="AJ192" s="36">
        <v>0</v>
      </c>
      <c r="AK192" s="36">
        <v>0</v>
      </c>
      <c r="AL192" s="36">
        <v>0</v>
      </c>
      <c r="AM192" s="36">
        <v>0</v>
      </c>
      <c r="AN192" s="36">
        <v>0</v>
      </c>
      <c r="AO192" s="36">
        <v>0</v>
      </c>
      <c r="AP192" s="36">
        <v>21386.8053566454</v>
      </c>
      <c r="AQ192" s="36">
        <v>0</v>
      </c>
      <c r="AR192" s="36">
        <v>0</v>
      </c>
      <c r="AS192" s="36">
        <v>0</v>
      </c>
      <c r="AT192" s="36">
        <v>0</v>
      </c>
      <c r="AU192" s="36">
        <v>0</v>
      </c>
      <c r="AV192" s="36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1090132.52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2" t="s">
        <v>12</v>
      </c>
      <c r="BL192" s="32" t="s">
        <v>13</v>
      </c>
      <c r="BM192" s="33">
        <v>46081.70584490741</v>
      </c>
      <c r="BN192" s="32" t="s">
        <v>28</v>
      </c>
      <c r="BO192" s="32" t="s">
        <v>29</v>
      </c>
      <c r="BP192" s="38">
        <v>9</v>
      </c>
      <c r="BQ192" s="42"/>
      <c r="BR192" s="39">
        <v>9</v>
      </c>
      <c r="BS192" s="22" t="s">
        <v>220</v>
      </c>
      <c r="BT192" s="4" t="str">
        <f t="shared" si="9"/>
        <v>120</v>
      </c>
      <c r="BU192" s="4" t="str">
        <f t="shared" si="9"/>
        <v>9</v>
      </c>
      <c r="BV192" s="4">
        <f t="shared" si="10"/>
        <v>15</v>
      </c>
      <c r="BW192" s="29">
        <f t="shared" si="11"/>
        <v>9811192.6799999997</v>
      </c>
      <c r="BX192" s="4">
        <v>51.49</v>
      </c>
      <c r="BY192" s="29">
        <f t="shared" si="12"/>
        <v>13840.501673786302</v>
      </c>
    </row>
    <row r="193" spans="1:77" ht="15" hidden="1" customHeight="1" x14ac:dyDescent="0.35">
      <c r="A193" s="32" t="s">
        <v>217</v>
      </c>
      <c r="B193" s="32" t="s">
        <v>701</v>
      </c>
      <c r="C193" s="32" t="s">
        <v>16</v>
      </c>
      <c r="D193" s="32" t="s">
        <v>413</v>
      </c>
      <c r="E193" s="32" t="s">
        <v>122</v>
      </c>
      <c r="F193" s="32" t="s">
        <v>46</v>
      </c>
      <c r="G193" s="33">
        <v>46081</v>
      </c>
      <c r="H193" s="33">
        <v>46081</v>
      </c>
      <c r="I193" s="33">
        <v>46111</v>
      </c>
      <c r="J193" s="32" t="s">
        <v>11</v>
      </c>
      <c r="K193" s="34">
        <v>670267.30000000005</v>
      </c>
      <c r="L193" s="34">
        <v>657124.80000000005</v>
      </c>
      <c r="M193" s="34">
        <v>13142.5</v>
      </c>
      <c r="N193" s="34">
        <v>0</v>
      </c>
      <c r="O193" s="34">
        <v>0</v>
      </c>
      <c r="P193" s="34">
        <v>670267.30000000005</v>
      </c>
      <c r="Q193" s="34">
        <v>670267.30000000005</v>
      </c>
      <c r="R193" s="34">
        <v>670267.30000000005</v>
      </c>
      <c r="S193" s="34">
        <v>13149.6639344584</v>
      </c>
      <c r="T193" s="34">
        <v>670267.30000000005</v>
      </c>
      <c r="U193" s="35">
        <v>670267.30000000005</v>
      </c>
      <c r="V193" s="35">
        <v>0</v>
      </c>
      <c r="W193" s="35">
        <v>0</v>
      </c>
      <c r="X193" s="35">
        <v>0</v>
      </c>
      <c r="Y193" s="35">
        <v>0</v>
      </c>
      <c r="Z193" s="35">
        <v>0</v>
      </c>
      <c r="AA193" s="35">
        <v>0</v>
      </c>
      <c r="AB193" s="35">
        <v>0</v>
      </c>
      <c r="AC193" s="35">
        <v>0</v>
      </c>
      <c r="AD193" s="35">
        <v>0</v>
      </c>
      <c r="AE193" s="35">
        <v>0</v>
      </c>
      <c r="AF193" s="35">
        <v>0</v>
      </c>
      <c r="AG193" s="35">
        <v>0</v>
      </c>
      <c r="AH193" s="35">
        <v>0</v>
      </c>
      <c r="AI193" s="36">
        <v>13149.6639344584</v>
      </c>
      <c r="AJ193" s="36">
        <v>0</v>
      </c>
      <c r="AK193" s="36">
        <v>0</v>
      </c>
      <c r="AL193" s="36">
        <v>0</v>
      </c>
      <c r="AM193" s="36">
        <v>0</v>
      </c>
      <c r="AN193" s="36">
        <v>0</v>
      </c>
      <c r="AO193" s="36">
        <v>0</v>
      </c>
      <c r="AP193" s="36">
        <v>0</v>
      </c>
      <c r="AQ193" s="36">
        <v>0</v>
      </c>
      <c r="AR193" s="36">
        <v>0</v>
      </c>
      <c r="AS193" s="36">
        <v>0</v>
      </c>
      <c r="AT193" s="36">
        <v>0</v>
      </c>
      <c r="AU193" s="36">
        <v>0</v>
      </c>
      <c r="AV193" s="36">
        <v>0</v>
      </c>
      <c r="AW193" s="37">
        <v>670267.30000000005</v>
      </c>
      <c r="AX193" s="37">
        <v>0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  <c r="BH193" s="37">
        <v>0</v>
      </c>
      <c r="BI193" s="37">
        <v>0</v>
      </c>
      <c r="BJ193" s="37">
        <v>0</v>
      </c>
      <c r="BK193" s="32" t="s">
        <v>12</v>
      </c>
      <c r="BL193" s="32" t="s">
        <v>13</v>
      </c>
      <c r="BM193" s="33">
        <v>46081.70648148148</v>
      </c>
      <c r="BN193" s="32" t="s">
        <v>28</v>
      </c>
      <c r="BO193" s="32" t="s">
        <v>29</v>
      </c>
      <c r="BP193" s="38">
        <v>-6</v>
      </c>
      <c r="BQ193" s="42"/>
      <c r="BR193" s="39">
        <v>-6</v>
      </c>
      <c r="BS193" s="22" t="s">
        <v>221</v>
      </c>
      <c r="BT193" s="4" t="str">
        <f t="shared" si="9"/>
        <v>120</v>
      </c>
      <c r="BU193" s="4" t="str">
        <f t="shared" si="9"/>
        <v>-6</v>
      </c>
      <c r="BV193" s="4">
        <f t="shared" si="10"/>
        <v>30</v>
      </c>
      <c r="BW193" s="29">
        <f t="shared" si="11"/>
        <v>-4021603.8000000003</v>
      </c>
      <c r="BX193" s="4">
        <v>51.49</v>
      </c>
      <c r="BY193" s="29">
        <f t="shared" si="12"/>
        <v>-5673.2158811506861</v>
      </c>
    </row>
    <row r="194" spans="1:77" ht="15" hidden="1" customHeight="1" x14ac:dyDescent="0.35">
      <c r="A194" s="32" t="s">
        <v>217</v>
      </c>
      <c r="B194" s="32" t="s">
        <v>702</v>
      </c>
      <c r="C194" s="32" t="s">
        <v>16</v>
      </c>
      <c r="D194" s="32" t="s">
        <v>413</v>
      </c>
      <c r="E194" s="32" t="s">
        <v>122</v>
      </c>
      <c r="F194" s="32" t="s">
        <v>46</v>
      </c>
      <c r="G194" s="33">
        <v>46081</v>
      </c>
      <c r="H194" s="33">
        <v>46081</v>
      </c>
      <c r="I194" s="33">
        <v>46111</v>
      </c>
      <c r="J194" s="32" t="s">
        <v>11</v>
      </c>
      <c r="K194" s="34">
        <v>223422.43</v>
      </c>
      <c r="L194" s="34">
        <v>219041.6</v>
      </c>
      <c r="M194" s="34">
        <v>4380.83</v>
      </c>
      <c r="N194" s="34">
        <v>0</v>
      </c>
      <c r="O194" s="34">
        <v>0</v>
      </c>
      <c r="P194" s="34">
        <v>223422.43</v>
      </c>
      <c r="Q194" s="34">
        <v>223422.43</v>
      </c>
      <c r="R194" s="34">
        <v>223422.43</v>
      </c>
      <c r="S194" s="34">
        <v>4383.2212460910096</v>
      </c>
      <c r="T194" s="34">
        <v>223422.43</v>
      </c>
      <c r="U194" s="35">
        <v>223422.43</v>
      </c>
      <c r="V194" s="35">
        <v>0</v>
      </c>
      <c r="W194" s="35">
        <v>0</v>
      </c>
      <c r="X194" s="35">
        <v>0</v>
      </c>
      <c r="Y194" s="35">
        <v>0</v>
      </c>
      <c r="Z194" s="35">
        <v>0</v>
      </c>
      <c r="AA194" s="35">
        <v>0</v>
      </c>
      <c r="AB194" s="35">
        <v>0</v>
      </c>
      <c r="AC194" s="35">
        <v>0</v>
      </c>
      <c r="AD194" s="35">
        <v>0</v>
      </c>
      <c r="AE194" s="35">
        <v>0</v>
      </c>
      <c r="AF194" s="35">
        <v>0</v>
      </c>
      <c r="AG194" s="35">
        <v>0</v>
      </c>
      <c r="AH194" s="35">
        <v>0</v>
      </c>
      <c r="AI194" s="36">
        <v>4383.2212460910096</v>
      </c>
      <c r="AJ194" s="36">
        <v>0</v>
      </c>
      <c r="AK194" s="36">
        <v>0</v>
      </c>
      <c r="AL194" s="36">
        <v>0</v>
      </c>
      <c r="AM194" s="36">
        <v>0</v>
      </c>
      <c r="AN194" s="36">
        <v>0</v>
      </c>
      <c r="AO194" s="36">
        <v>0</v>
      </c>
      <c r="AP194" s="36">
        <v>0</v>
      </c>
      <c r="AQ194" s="36">
        <v>0</v>
      </c>
      <c r="AR194" s="36">
        <v>0</v>
      </c>
      <c r="AS194" s="36">
        <v>0</v>
      </c>
      <c r="AT194" s="36">
        <v>0</v>
      </c>
      <c r="AU194" s="36">
        <v>0</v>
      </c>
      <c r="AV194" s="36">
        <v>0</v>
      </c>
      <c r="AW194" s="37">
        <v>223422.43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2" t="s">
        <v>12</v>
      </c>
      <c r="BL194" s="32" t="s">
        <v>13</v>
      </c>
      <c r="BM194" s="33">
        <v>46081.706689814811</v>
      </c>
      <c r="BN194" s="32" t="s">
        <v>28</v>
      </c>
      <c r="BO194" s="32" t="s">
        <v>29</v>
      </c>
      <c r="BP194" s="38">
        <v>-6</v>
      </c>
      <c r="BQ194" s="42"/>
      <c r="BR194" s="39">
        <v>-6</v>
      </c>
      <c r="BS194" s="22" t="s">
        <v>221</v>
      </c>
      <c r="BT194" s="4" t="str">
        <f t="shared" ref="BT194:BU257" si="13">LEFT(BO194,3)</f>
        <v>120</v>
      </c>
      <c r="BU194" s="4" t="str">
        <f t="shared" si="13"/>
        <v>-6</v>
      </c>
      <c r="BV194" s="4">
        <f t="shared" si="10"/>
        <v>30</v>
      </c>
      <c r="BW194" s="29">
        <f t="shared" si="11"/>
        <v>-1340534.58</v>
      </c>
      <c r="BX194" s="4">
        <v>51.49</v>
      </c>
      <c r="BY194" s="29">
        <f t="shared" si="12"/>
        <v>-1891.0719321698632</v>
      </c>
    </row>
    <row r="195" spans="1:77" ht="15" hidden="1" customHeight="1" x14ac:dyDescent="0.35">
      <c r="A195" s="32" t="s">
        <v>217</v>
      </c>
      <c r="B195" s="32" t="s">
        <v>703</v>
      </c>
      <c r="C195" s="32" t="s">
        <v>16</v>
      </c>
      <c r="D195" s="32" t="s">
        <v>704</v>
      </c>
      <c r="E195" s="32" t="s">
        <v>705</v>
      </c>
      <c r="F195" s="32" t="s">
        <v>46</v>
      </c>
      <c r="G195" s="33">
        <v>46081</v>
      </c>
      <c r="H195" s="33">
        <v>46081</v>
      </c>
      <c r="I195" s="33">
        <v>46111</v>
      </c>
      <c r="J195" s="32" t="s">
        <v>11</v>
      </c>
      <c r="K195" s="34">
        <v>11515.5</v>
      </c>
      <c r="L195" s="34">
        <v>9596.25</v>
      </c>
      <c r="M195" s="34">
        <v>1919.25</v>
      </c>
      <c r="N195" s="34">
        <v>0</v>
      </c>
      <c r="O195" s="34">
        <v>0</v>
      </c>
      <c r="P195" s="34">
        <v>11515.5</v>
      </c>
      <c r="Q195" s="34">
        <v>11515.5</v>
      </c>
      <c r="R195" s="34">
        <v>11515.5</v>
      </c>
      <c r="S195" s="34">
        <v>225.91726470507501</v>
      </c>
      <c r="T195" s="34">
        <v>11515.5</v>
      </c>
      <c r="U195" s="35">
        <v>11515.5</v>
      </c>
      <c r="V195" s="35">
        <v>0</v>
      </c>
      <c r="W195" s="35">
        <v>0</v>
      </c>
      <c r="X195" s="35">
        <v>0</v>
      </c>
      <c r="Y195" s="35">
        <v>0</v>
      </c>
      <c r="Z195" s="35">
        <v>0</v>
      </c>
      <c r="AA195" s="35">
        <v>0</v>
      </c>
      <c r="AB195" s="35">
        <v>0</v>
      </c>
      <c r="AC195" s="35">
        <v>0</v>
      </c>
      <c r="AD195" s="35">
        <v>0</v>
      </c>
      <c r="AE195" s="35">
        <v>0</v>
      </c>
      <c r="AF195" s="35">
        <v>0</v>
      </c>
      <c r="AG195" s="35">
        <v>0</v>
      </c>
      <c r="AH195" s="35">
        <v>0</v>
      </c>
      <c r="AI195" s="36">
        <v>225.91726470507501</v>
      </c>
      <c r="AJ195" s="36">
        <v>0</v>
      </c>
      <c r="AK195" s="36">
        <v>0</v>
      </c>
      <c r="AL195" s="36">
        <v>0</v>
      </c>
      <c r="AM195" s="36">
        <v>0</v>
      </c>
      <c r="AN195" s="36">
        <v>0</v>
      </c>
      <c r="AO195" s="36">
        <v>0</v>
      </c>
      <c r="AP195" s="36">
        <v>0</v>
      </c>
      <c r="AQ195" s="36">
        <v>0</v>
      </c>
      <c r="AR195" s="36">
        <v>0</v>
      </c>
      <c r="AS195" s="36">
        <v>0</v>
      </c>
      <c r="AT195" s="36">
        <v>0</v>
      </c>
      <c r="AU195" s="36">
        <v>0</v>
      </c>
      <c r="AV195" s="36">
        <v>0</v>
      </c>
      <c r="AW195" s="37">
        <v>11515.5</v>
      </c>
      <c r="AX195" s="37">
        <v>0</v>
      </c>
      <c r="AY195" s="37">
        <v>0</v>
      </c>
      <c r="AZ195" s="37">
        <v>0</v>
      </c>
      <c r="BA195" s="37">
        <v>0</v>
      </c>
      <c r="BB195" s="37">
        <v>0</v>
      </c>
      <c r="BC195" s="37">
        <v>0</v>
      </c>
      <c r="BD195" s="37">
        <v>0</v>
      </c>
      <c r="BE195" s="37">
        <v>0</v>
      </c>
      <c r="BF195" s="37">
        <v>0</v>
      </c>
      <c r="BG195" s="37">
        <v>0</v>
      </c>
      <c r="BH195" s="37">
        <v>0</v>
      </c>
      <c r="BI195" s="37">
        <v>0</v>
      </c>
      <c r="BJ195" s="37">
        <v>0</v>
      </c>
      <c r="BK195" s="32" t="s">
        <v>12</v>
      </c>
      <c r="BL195" s="32" t="s">
        <v>13</v>
      </c>
      <c r="BM195" s="33">
        <v>46081.70689814815</v>
      </c>
      <c r="BN195" s="32" t="s">
        <v>28</v>
      </c>
      <c r="BO195" s="32" t="s">
        <v>29</v>
      </c>
      <c r="BP195" s="38">
        <v>-6</v>
      </c>
      <c r="BQ195" s="42"/>
      <c r="BR195" s="39">
        <v>-6</v>
      </c>
      <c r="BS195" s="22" t="s">
        <v>221</v>
      </c>
      <c r="BT195" s="4" t="str">
        <f t="shared" si="13"/>
        <v>120</v>
      </c>
      <c r="BU195" s="4" t="str">
        <f t="shared" si="13"/>
        <v>-6</v>
      </c>
      <c r="BV195" s="4">
        <f t="shared" ref="BV195:BV258" si="14">I195-H195</f>
        <v>30</v>
      </c>
      <c r="BW195" s="29">
        <f t="shared" ref="BW195:BW258" si="15">BP195*R195</f>
        <v>-69093</v>
      </c>
      <c r="BX195" s="4">
        <v>51.49</v>
      </c>
      <c r="BY195" s="29">
        <f t="shared" ref="BY195:BY258" si="16">BW195*BX195/36500</f>
        <v>-97.468453972602745</v>
      </c>
    </row>
    <row r="196" spans="1:77" ht="15" hidden="1" customHeight="1" x14ac:dyDescent="0.35">
      <c r="A196" s="32" t="s">
        <v>217</v>
      </c>
      <c r="B196" s="32" t="s">
        <v>706</v>
      </c>
      <c r="C196" s="32" t="s">
        <v>16</v>
      </c>
      <c r="D196" s="32" t="s">
        <v>707</v>
      </c>
      <c r="E196" s="32" t="s">
        <v>708</v>
      </c>
      <c r="F196" s="32" t="s">
        <v>46</v>
      </c>
      <c r="G196" s="33">
        <v>46081</v>
      </c>
      <c r="H196" s="33">
        <v>46081</v>
      </c>
      <c r="I196" s="33">
        <v>46111</v>
      </c>
      <c r="J196" s="32" t="s">
        <v>11</v>
      </c>
      <c r="K196" s="34">
        <v>11515.5</v>
      </c>
      <c r="L196" s="34">
        <v>9596.25</v>
      </c>
      <c r="M196" s="34">
        <v>1919.25</v>
      </c>
      <c r="N196" s="34">
        <v>0</v>
      </c>
      <c r="O196" s="34">
        <v>0</v>
      </c>
      <c r="P196" s="34">
        <v>11515.5</v>
      </c>
      <c r="Q196" s="34">
        <v>11515.5</v>
      </c>
      <c r="R196" s="34">
        <v>11515.5</v>
      </c>
      <c r="S196" s="34">
        <v>225.91726470507501</v>
      </c>
      <c r="T196" s="34">
        <v>11515.5</v>
      </c>
      <c r="U196" s="35">
        <v>11515.5</v>
      </c>
      <c r="V196" s="35">
        <v>0</v>
      </c>
      <c r="W196" s="35">
        <v>0</v>
      </c>
      <c r="X196" s="35">
        <v>0</v>
      </c>
      <c r="Y196" s="35">
        <v>0</v>
      </c>
      <c r="Z196" s="35">
        <v>0</v>
      </c>
      <c r="AA196" s="35">
        <v>0</v>
      </c>
      <c r="AB196" s="35">
        <v>0</v>
      </c>
      <c r="AC196" s="35">
        <v>0</v>
      </c>
      <c r="AD196" s="35">
        <v>0</v>
      </c>
      <c r="AE196" s="35">
        <v>0</v>
      </c>
      <c r="AF196" s="35">
        <v>0</v>
      </c>
      <c r="AG196" s="35">
        <v>0</v>
      </c>
      <c r="AH196" s="35">
        <v>0</v>
      </c>
      <c r="AI196" s="36">
        <v>225.91726470507501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36">
        <v>0</v>
      </c>
      <c r="AR196" s="36">
        <v>0</v>
      </c>
      <c r="AS196" s="36">
        <v>0</v>
      </c>
      <c r="AT196" s="36">
        <v>0</v>
      </c>
      <c r="AU196" s="36">
        <v>0</v>
      </c>
      <c r="AV196" s="36">
        <v>0</v>
      </c>
      <c r="AW196" s="37">
        <v>11515.5</v>
      </c>
      <c r="AX196" s="37">
        <v>0</v>
      </c>
      <c r="AY196" s="37"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2" t="s">
        <v>12</v>
      </c>
      <c r="BL196" s="32" t="s">
        <v>13</v>
      </c>
      <c r="BM196" s="33">
        <v>46081.707106481481</v>
      </c>
      <c r="BN196" s="32" t="s">
        <v>28</v>
      </c>
      <c r="BO196" s="32" t="s">
        <v>29</v>
      </c>
      <c r="BP196" s="38">
        <v>-6</v>
      </c>
      <c r="BQ196" s="42"/>
      <c r="BR196" s="39">
        <v>-6</v>
      </c>
      <c r="BS196" s="22" t="s">
        <v>221</v>
      </c>
      <c r="BT196" s="4" t="str">
        <f t="shared" si="13"/>
        <v>120</v>
      </c>
      <c r="BU196" s="4" t="str">
        <f t="shared" si="13"/>
        <v>-6</v>
      </c>
      <c r="BV196" s="4">
        <f t="shared" si="14"/>
        <v>30</v>
      </c>
      <c r="BW196" s="29">
        <f t="shared" si="15"/>
        <v>-69093</v>
      </c>
      <c r="BX196" s="4">
        <v>51.49</v>
      </c>
      <c r="BY196" s="29">
        <f t="shared" si="16"/>
        <v>-97.468453972602745</v>
      </c>
    </row>
    <row r="197" spans="1:77" ht="15" hidden="1" customHeight="1" x14ac:dyDescent="0.35">
      <c r="A197" s="32" t="s">
        <v>217</v>
      </c>
      <c r="B197" s="32" t="s">
        <v>709</v>
      </c>
      <c r="C197" s="32" t="s">
        <v>16</v>
      </c>
      <c r="D197" s="32" t="s">
        <v>47</v>
      </c>
      <c r="E197" s="32" t="s">
        <v>48</v>
      </c>
      <c r="F197" s="32" t="s">
        <v>49</v>
      </c>
      <c r="G197" s="33">
        <v>46081</v>
      </c>
      <c r="H197" s="33">
        <v>46081</v>
      </c>
      <c r="I197" s="33">
        <v>46126</v>
      </c>
      <c r="J197" s="32" t="s">
        <v>11</v>
      </c>
      <c r="K197" s="34">
        <v>825268.57</v>
      </c>
      <c r="L197" s="34">
        <v>809086.83</v>
      </c>
      <c r="M197" s="34">
        <v>16181.74</v>
      </c>
      <c r="N197" s="34">
        <v>0</v>
      </c>
      <c r="O197" s="34">
        <v>0</v>
      </c>
      <c r="P197" s="34">
        <v>825268.57</v>
      </c>
      <c r="Q197" s="34">
        <v>825268.57</v>
      </c>
      <c r="R197" s="34">
        <v>825268.57</v>
      </c>
      <c r="S197" s="34">
        <v>16190.5621103268</v>
      </c>
      <c r="T197" s="34">
        <v>825268.57</v>
      </c>
      <c r="U197" s="35">
        <v>0</v>
      </c>
      <c r="V197" s="35">
        <v>825268.57</v>
      </c>
      <c r="W197" s="35">
        <v>0</v>
      </c>
      <c r="X197" s="35">
        <v>0</v>
      </c>
      <c r="Y197" s="35">
        <v>0</v>
      </c>
      <c r="Z197" s="35">
        <v>0</v>
      </c>
      <c r="AA197" s="35">
        <v>0</v>
      </c>
      <c r="AB197" s="35">
        <v>0</v>
      </c>
      <c r="AC197" s="35">
        <v>0</v>
      </c>
      <c r="AD197" s="35">
        <v>0</v>
      </c>
      <c r="AE197" s="35">
        <v>0</v>
      </c>
      <c r="AF197" s="35">
        <v>0</v>
      </c>
      <c r="AG197" s="35">
        <v>0</v>
      </c>
      <c r="AH197" s="35">
        <v>0</v>
      </c>
      <c r="AI197" s="36">
        <v>0</v>
      </c>
      <c r="AJ197" s="36">
        <v>16190.5621103268</v>
      </c>
      <c r="AK197" s="36">
        <v>0</v>
      </c>
      <c r="AL197" s="36">
        <v>0</v>
      </c>
      <c r="AM197" s="36">
        <v>0</v>
      </c>
      <c r="AN197" s="36">
        <v>0</v>
      </c>
      <c r="AO197" s="36">
        <v>0</v>
      </c>
      <c r="AP197" s="36">
        <v>0</v>
      </c>
      <c r="AQ197" s="36">
        <v>0</v>
      </c>
      <c r="AR197" s="36">
        <v>0</v>
      </c>
      <c r="AS197" s="36">
        <v>0</v>
      </c>
      <c r="AT197" s="36">
        <v>0</v>
      </c>
      <c r="AU197" s="36">
        <v>0</v>
      </c>
      <c r="AV197" s="36">
        <v>0</v>
      </c>
      <c r="AW197" s="37">
        <v>0</v>
      </c>
      <c r="AX197" s="37">
        <v>825268.57</v>
      </c>
      <c r="AY197" s="37">
        <v>0</v>
      </c>
      <c r="AZ197" s="37">
        <v>0</v>
      </c>
      <c r="BA197" s="37">
        <v>0</v>
      </c>
      <c r="BB197" s="37">
        <v>0</v>
      </c>
      <c r="BC197" s="37">
        <v>0</v>
      </c>
      <c r="BD197" s="37">
        <v>0</v>
      </c>
      <c r="BE197" s="37">
        <v>0</v>
      </c>
      <c r="BF197" s="37">
        <v>0</v>
      </c>
      <c r="BG197" s="37">
        <v>0</v>
      </c>
      <c r="BH197" s="37">
        <v>0</v>
      </c>
      <c r="BI197" s="37">
        <v>0</v>
      </c>
      <c r="BJ197" s="37">
        <v>0</v>
      </c>
      <c r="BK197" s="32" t="s">
        <v>12</v>
      </c>
      <c r="BL197" s="32" t="s">
        <v>13</v>
      </c>
      <c r="BM197" s="33">
        <v>46081.718414351853</v>
      </c>
      <c r="BN197" s="32" t="s">
        <v>28</v>
      </c>
      <c r="BO197" s="32" t="s">
        <v>29</v>
      </c>
      <c r="BP197" s="38">
        <v>-21</v>
      </c>
      <c r="BQ197" s="42"/>
      <c r="BR197" s="39">
        <v>-21</v>
      </c>
      <c r="BS197" s="22" t="s">
        <v>221</v>
      </c>
      <c r="BT197" s="4" t="str">
        <f t="shared" si="13"/>
        <v>120</v>
      </c>
      <c r="BU197" s="4" t="str">
        <f t="shared" si="13"/>
        <v>-21</v>
      </c>
      <c r="BV197" s="4">
        <f t="shared" si="14"/>
        <v>45</v>
      </c>
      <c r="BW197" s="29">
        <f t="shared" si="15"/>
        <v>-17330639.969999999</v>
      </c>
      <c r="BX197" s="4">
        <v>51.49</v>
      </c>
      <c r="BY197" s="29">
        <f t="shared" si="16"/>
        <v>-24448.072659049314</v>
      </c>
    </row>
    <row r="198" spans="1:77" ht="15" hidden="1" customHeight="1" x14ac:dyDescent="0.35">
      <c r="A198" s="32" t="s">
        <v>217</v>
      </c>
      <c r="B198" s="32" t="s">
        <v>710</v>
      </c>
      <c r="C198" s="32" t="s">
        <v>16</v>
      </c>
      <c r="D198" s="32" t="s">
        <v>47</v>
      </c>
      <c r="E198" s="32" t="s">
        <v>48</v>
      </c>
      <c r="F198" s="32" t="s">
        <v>49</v>
      </c>
      <c r="G198" s="33">
        <v>46081</v>
      </c>
      <c r="H198" s="33">
        <v>46081</v>
      </c>
      <c r="I198" s="33">
        <v>46126</v>
      </c>
      <c r="J198" s="32" t="s">
        <v>11</v>
      </c>
      <c r="K198" s="34">
        <v>173249.55</v>
      </c>
      <c r="L198" s="34">
        <v>169852.5</v>
      </c>
      <c r="M198" s="34">
        <v>3397.05</v>
      </c>
      <c r="N198" s="34">
        <v>0</v>
      </c>
      <c r="O198" s="34">
        <v>0</v>
      </c>
      <c r="P198" s="34">
        <v>173249.55</v>
      </c>
      <c r="Q198" s="34">
        <v>173249.55</v>
      </c>
      <c r="R198" s="34">
        <v>173249.55</v>
      </c>
      <c r="S198" s="34">
        <v>3398.9027352164499</v>
      </c>
      <c r="T198" s="34">
        <v>173249.55</v>
      </c>
      <c r="U198" s="35">
        <v>0</v>
      </c>
      <c r="V198" s="35">
        <v>173249.55</v>
      </c>
      <c r="W198" s="35">
        <v>0</v>
      </c>
      <c r="X198" s="35">
        <v>0</v>
      </c>
      <c r="Y198" s="35">
        <v>0</v>
      </c>
      <c r="Z198" s="35">
        <v>0</v>
      </c>
      <c r="AA198" s="35">
        <v>0</v>
      </c>
      <c r="AB198" s="35">
        <v>0</v>
      </c>
      <c r="AC198" s="35">
        <v>0</v>
      </c>
      <c r="AD198" s="35">
        <v>0</v>
      </c>
      <c r="AE198" s="35">
        <v>0</v>
      </c>
      <c r="AF198" s="35">
        <v>0</v>
      </c>
      <c r="AG198" s="35">
        <v>0</v>
      </c>
      <c r="AH198" s="35">
        <v>0</v>
      </c>
      <c r="AI198" s="36">
        <v>0</v>
      </c>
      <c r="AJ198" s="36">
        <v>3398.9027352164499</v>
      </c>
      <c r="AK198" s="36">
        <v>0</v>
      </c>
      <c r="AL198" s="36">
        <v>0</v>
      </c>
      <c r="AM198" s="36">
        <v>0</v>
      </c>
      <c r="AN198" s="36">
        <v>0</v>
      </c>
      <c r="AO198" s="36">
        <v>0</v>
      </c>
      <c r="AP198" s="36">
        <v>0</v>
      </c>
      <c r="AQ198" s="36">
        <v>0</v>
      </c>
      <c r="AR198" s="36">
        <v>0</v>
      </c>
      <c r="AS198" s="36">
        <v>0</v>
      </c>
      <c r="AT198" s="36">
        <v>0</v>
      </c>
      <c r="AU198" s="36">
        <v>0</v>
      </c>
      <c r="AV198" s="36">
        <v>0</v>
      </c>
      <c r="AW198" s="37">
        <v>0</v>
      </c>
      <c r="AX198" s="37">
        <v>173249.55</v>
      </c>
      <c r="AY198" s="37"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2" t="s">
        <v>12</v>
      </c>
      <c r="BL198" s="32" t="s">
        <v>13</v>
      </c>
      <c r="BM198" s="33">
        <v>46081.718622685185</v>
      </c>
      <c r="BN198" s="32" t="s">
        <v>28</v>
      </c>
      <c r="BO198" s="32" t="s">
        <v>29</v>
      </c>
      <c r="BP198" s="38">
        <v>-21</v>
      </c>
      <c r="BQ198" s="42"/>
      <c r="BR198" s="39">
        <v>-21</v>
      </c>
      <c r="BS198" s="22" t="s">
        <v>221</v>
      </c>
      <c r="BT198" s="4" t="str">
        <f t="shared" si="13"/>
        <v>120</v>
      </c>
      <c r="BU198" s="4" t="str">
        <f t="shared" si="13"/>
        <v>-21</v>
      </c>
      <c r="BV198" s="4">
        <f t="shared" si="14"/>
        <v>45</v>
      </c>
      <c r="BW198" s="29">
        <f t="shared" si="15"/>
        <v>-3638240.55</v>
      </c>
      <c r="BX198" s="4">
        <v>51.49</v>
      </c>
      <c r="BY198" s="29">
        <f t="shared" si="16"/>
        <v>-5132.411121082192</v>
      </c>
    </row>
    <row r="199" spans="1:77" ht="15" hidden="1" customHeight="1" x14ac:dyDescent="0.35">
      <c r="A199" s="32" t="s">
        <v>217</v>
      </c>
      <c r="B199" s="32" t="s">
        <v>711</v>
      </c>
      <c r="C199" s="32" t="s">
        <v>16</v>
      </c>
      <c r="D199" s="32" t="s">
        <v>47</v>
      </c>
      <c r="E199" s="32" t="s">
        <v>48</v>
      </c>
      <c r="F199" s="32" t="s">
        <v>49</v>
      </c>
      <c r="G199" s="33">
        <v>46081</v>
      </c>
      <c r="H199" s="33">
        <v>46081</v>
      </c>
      <c r="I199" s="33">
        <v>46126</v>
      </c>
      <c r="J199" s="32" t="s">
        <v>11</v>
      </c>
      <c r="K199" s="34">
        <v>3152306.57</v>
      </c>
      <c r="L199" s="34">
        <v>3090496.64</v>
      </c>
      <c r="M199" s="34">
        <v>61809.93</v>
      </c>
      <c r="N199" s="34">
        <v>0</v>
      </c>
      <c r="O199" s="34">
        <v>0</v>
      </c>
      <c r="P199" s="34">
        <v>3152306.57</v>
      </c>
      <c r="Q199" s="34">
        <v>3152306.57</v>
      </c>
      <c r="R199" s="34">
        <v>3152306.57</v>
      </c>
      <c r="S199" s="34">
        <v>61843.643593959103</v>
      </c>
      <c r="T199" s="34">
        <v>3152306.57</v>
      </c>
      <c r="U199" s="35">
        <v>0</v>
      </c>
      <c r="V199" s="35">
        <v>3152306.57</v>
      </c>
      <c r="W199" s="35">
        <v>0</v>
      </c>
      <c r="X199" s="35">
        <v>0</v>
      </c>
      <c r="Y199" s="35">
        <v>0</v>
      </c>
      <c r="Z199" s="35">
        <v>0</v>
      </c>
      <c r="AA199" s="35">
        <v>0</v>
      </c>
      <c r="AB199" s="35">
        <v>0</v>
      </c>
      <c r="AC199" s="35">
        <v>0</v>
      </c>
      <c r="AD199" s="35">
        <v>0</v>
      </c>
      <c r="AE199" s="35">
        <v>0</v>
      </c>
      <c r="AF199" s="35">
        <v>0</v>
      </c>
      <c r="AG199" s="35">
        <v>0</v>
      </c>
      <c r="AH199" s="35">
        <v>0</v>
      </c>
      <c r="AI199" s="36">
        <v>0</v>
      </c>
      <c r="AJ199" s="36">
        <v>61843.643593959103</v>
      </c>
      <c r="AK199" s="36">
        <v>0</v>
      </c>
      <c r="AL199" s="36">
        <v>0</v>
      </c>
      <c r="AM199" s="36">
        <v>0</v>
      </c>
      <c r="AN199" s="36">
        <v>0</v>
      </c>
      <c r="AO199" s="36">
        <v>0</v>
      </c>
      <c r="AP199" s="36">
        <v>0</v>
      </c>
      <c r="AQ199" s="36">
        <v>0</v>
      </c>
      <c r="AR199" s="36">
        <v>0</v>
      </c>
      <c r="AS199" s="36">
        <v>0</v>
      </c>
      <c r="AT199" s="36">
        <v>0</v>
      </c>
      <c r="AU199" s="36">
        <v>0</v>
      </c>
      <c r="AV199" s="36">
        <v>0</v>
      </c>
      <c r="AW199" s="37">
        <v>0</v>
      </c>
      <c r="AX199" s="37">
        <v>3152306.57</v>
      </c>
      <c r="AY199" s="37">
        <v>0</v>
      </c>
      <c r="AZ199" s="37">
        <v>0</v>
      </c>
      <c r="BA199" s="37">
        <v>0</v>
      </c>
      <c r="BB199" s="37">
        <v>0</v>
      </c>
      <c r="BC199" s="37">
        <v>0</v>
      </c>
      <c r="BD199" s="37">
        <v>0</v>
      </c>
      <c r="BE199" s="37">
        <v>0</v>
      </c>
      <c r="BF199" s="37">
        <v>0</v>
      </c>
      <c r="BG199" s="37">
        <v>0</v>
      </c>
      <c r="BH199" s="37">
        <v>0</v>
      </c>
      <c r="BI199" s="37">
        <v>0</v>
      </c>
      <c r="BJ199" s="37">
        <v>0</v>
      </c>
      <c r="BK199" s="32" t="s">
        <v>12</v>
      </c>
      <c r="BL199" s="32" t="s">
        <v>13</v>
      </c>
      <c r="BM199" s="33">
        <v>46081.718831018516</v>
      </c>
      <c r="BN199" s="32" t="s">
        <v>28</v>
      </c>
      <c r="BO199" s="32" t="s">
        <v>29</v>
      </c>
      <c r="BP199" s="38">
        <v>-21</v>
      </c>
      <c r="BQ199" s="42"/>
      <c r="BR199" s="39">
        <v>-21</v>
      </c>
      <c r="BS199" s="22" t="s">
        <v>221</v>
      </c>
      <c r="BT199" s="4" t="str">
        <f t="shared" si="13"/>
        <v>120</v>
      </c>
      <c r="BU199" s="4" t="str">
        <f t="shared" si="13"/>
        <v>-21</v>
      </c>
      <c r="BV199" s="4">
        <f t="shared" si="14"/>
        <v>45</v>
      </c>
      <c r="BW199" s="29">
        <f t="shared" si="15"/>
        <v>-66198437.969999999</v>
      </c>
      <c r="BX199" s="4">
        <v>51.49</v>
      </c>
      <c r="BY199" s="29">
        <f t="shared" si="16"/>
        <v>-93385.138933569862</v>
      </c>
    </row>
    <row r="200" spans="1:77" ht="15" hidden="1" customHeight="1" x14ac:dyDescent="0.35">
      <c r="A200" s="32" t="s">
        <v>217</v>
      </c>
      <c r="B200" s="32" t="s">
        <v>712</v>
      </c>
      <c r="C200" s="32" t="s">
        <v>16</v>
      </c>
      <c r="D200" s="32" t="s">
        <v>47</v>
      </c>
      <c r="E200" s="32" t="s">
        <v>48</v>
      </c>
      <c r="F200" s="32" t="s">
        <v>49</v>
      </c>
      <c r="G200" s="33">
        <v>46081</v>
      </c>
      <c r="H200" s="33">
        <v>46081</v>
      </c>
      <c r="I200" s="33">
        <v>46126</v>
      </c>
      <c r="J200" s="32" t="s">
        <v>11</v>
      </c>
      <c r="K200" s="34">
        <v>581755.5</v>
      </c>
      <c r="L200" s="34">
        <v>570348.53</v>
      </c>
      <c r="M200" s="34">
        <v>11406.97</v>
      </c>
      <c r="N200" s="34">
        <v>0</v>
      </c>
      <c r="O200" s="34">
        <v>0</v>
      </c>
      <c r="P200" s="34">
        <v>581755.5</v>
      </c>
      <c r="Q200" s="34">
        <v>581755.5</v>
      </c>
      <c r="R200" s="34">
        <v>581755.5</v>
      </c>
      <c r="S200" s="34">
        <v>11413.191896759399</v>
      </c>
      <c r="T200" s="34">
        <v>581755.5</v>
      </c>
      <c r="U200" s="35">
        <v>0</v>
      </c>
      <c r="V200" s="35">
        <v>581755.5</v>
      </c>
      <c r="W200" s="35">
        <v>0</v>
      </c>
      <c r="X200" s="35">
        <v>0</v>
      </c>
      <c r="Y200" s="35">
        <v>0</v>
      </c>
      <c r="Z200" s="35">
        <v>0</v>
      </c>
      <c r="AA200" s="35">
        <v>0</v>
      </c>
      <c r="AB200" s="35">
        <v>0</v>
      </c>
      <c r="AC200" s="35">
        <v>0</v>
      </c>
      <c r="AD200" s="35">
        <v>0</v>
      </c>
      <c r="AE200" s="35">
        <v>0</v>
      </c>
      <c r="AF200" s="35">
        <v>0</v>
      </c>
      <c r="AG200" s="35">
        <v>0</v>
      </c>
      <c r="AH200" s="35">
        <v>0</v>
      </c>
      <c r="AI200" s="36">
        <v>0</v>
      </c>
      <c r="AJ200" s="36">
        <v>11413.191896759399</v>
      </c>
      <c r="AK200" s="36">
        <v>0</v>
      </c>
      <c r="AL200" s="36">
        <v>0</v>
      </c>
      <c r="AM200" s="36">
        <v>0</v>
      </c>
      <c r="AN200" s="36">
        <v>0</v>
      </c>
      <c r="AO200" s="36">
        <v>0</v>
      </c>
      <c r="AP200" s="36">
        <v>0</v>
      </c>
      <c r="AQ200" s="36">
        <v>0</v>
      </c>
      <c r="AR200" s="36">
        <v>0</v>
      </c>
      <c r="AS200" s="36">
        <v>0</v>
      </c>
      <c r="AT200" s="36">
        <v>0</v>
      </c>
      <c r="AU200" s="36">
        <v>0</v>
      </c>
      <c r="AV200" s="36">
        <v>0</v>
      </c>
      <c r="AW200" s="37">
        <v>0</v>
      </c>
      <c r="AX200" s="37">
        <v>581755.5</v>
      </c>
      <c r="AY200" s="37"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2" t="s">
        <v>12</v>
      </c>
      <c r="BL200" s="32" t="s">
        <v>13</v>
      </c>
      <c r="BM200" s="33">
        <v>46081.719039351854</v>
      </c>
      <c r="BN200" s="32" t="s">
        <v>28</v>
      </c>
      <c r="BO200" s="32" t="s">
        <v>29</v>
      </c>
      <c r="BP200" s="38">
        <v>-21</v>
      </c>
      <c r="BQ200" s="42"/>
      <c r="BR200" s="39">
        <v>-21</v>
      </c>
      <c r="BS200" s="22" t="s">
        <v>221</v>
      </c>
      <c r="BT200" s="4" t="str">
        <f t="shared" si="13"/>
        <v>120</v>
      </c>
      <c r="BU200" s="4" t="str">
        <f t="shared" si="13"/>
        <v>-21</v>
      </c>
      <c r="BV200" s="4">
        <f t="shared" si="14"/>
        <v>45</v>
      </c>
      <c r="BW200" s="29">
        <f t="shared" si="15"/>
        <v>-12216865.5</v>
      </c>
      <c r="BX200" s="4">
        <v>51.49</v>
      </c>
      <c r="BY200" s="29">
        <f t="shared" si="16"/>
        <v>-17234.148071095889</v>
      </c>
    </row>
    <row r="201" spans="1:77" ht="15" hidden="1" customHeight="1" x14ac:dyDescent="0.35">
      <c r="A201" s="32" t="s">
        <v>217</v>
      </c>
      <c r="B201" s="32" t="s">
        <v>713</v>
      </c>
      <c r="C201" s="32" t="s">
        <v>16</v>
      </c>
      <c r="D201" s="32" t="s">
        <v>403</v>
      </c>
      <c r="E201" s="32" t="s">
        <v>269</v>
      </c>
      <c r="F201" s="32" t="s">
        <v>46</v>
      </c>
      <c r="G201" s="33">
        <v>46081</v>
      </c>
      <c r="H201" s="33">
        <v>46081</v>
      </c>
      <c r="I201" s="33">
        <v>46096</v>
      </c>
      <c r="J201" s="32" t="s">
        <v>11</v>
      </c>
      <c r="K201" s="34">
        <v>274708.61</v>
      </c>
      <c r="L201" s="34">
        <v>269322.17</v>
      </c>
      <c r="M201" s="34">
        <v>5386.44</v>
      </c>
      <c r="N201" s="34">
        <v>0</v>
      </c>
      <c r="O201" s="34">
        <v>0</v>
      </c>
      <c r="P201" s="34">
        <v>274708.61</v>
      </c>
      <c r="Q201" s="34">
        <v>0</v>
      </c>
      <c r="R201" s="34">
        <v>274708.61</v>
      </c>
      <c r="S201" s="34">
        <v>5389.3810743895701</v>
      </c>
      <c r="T201" s="34">
        <v>274708.61</v>
      </c>
      <c r="U201" s="35">
        <v>0</v>
      </c>
      <c r="V201" s="35">
        <v>0</v>
      </c>
      <c r="W201" s="35">
        <v>0</v>
      </c>
      <c r="X201" s="35">
        <v>0</v>
      </c>
      <c r="Y201" s="35">
        <v>0</v>
      </c>
      <c r="Z201" s="35">
        <v>0</v>
      </c>
      <c r="AA201" s="35">
        <v>0</v>
      </c>
      <c r="AB201" s="35">
        <v>274708.61</v>
      </c>
      <c r="AC201" s="35">
        <v>0</v>
      </c>
      <c r="AD201" s="35">
        <v>0</v>
      </c>
      <c r="AE201" s="35">
        <v>0</v>
      </c>
      <c r="AF201" s="35">
        <v>0</v>
      </c>
      <c r="AG201" s="35">
        <v>0</v>
      </c>
      <c r="AH201" s="35">
        <v>0</v>
      </c>
      <c r="AI201" s="36">
        <v>0</v>
      </c>
      <c r="AJ201" s="36">
        <v>0</v>
      </c>
      <c r="AK201" s="36">
        <v>0</v>
      </c>
      <c r="AL201" s="36">
        <v>0</v>
      </c>
      <c r="AM201" s="36">
        <v>0</v>
      </c>
      <c r="AN201" s="36">
        <v>0</v>
      </c>
      <c r="AO201" s="36">
        <v>0</v>
      </c>
      <c r="AP201" s="36">
        <v>5389.3810743895701</v>
      </c>
      <c r="AQ201" s="36">
        <v>0</v>
      </c>
      <c r="AR201" s="36">
        <v>0</v>
      </c>
      <c r="AS201" s="36">
        <v>0</v>
      </c>
      <c r="AT201" s="36">
        <v>0</v>
      </c>
      <c r="AU201" s="36">
        <v>0</v>
      </c>
      <c r="AV201" s="36">
        <v>0</v>
      </c>
      <c r="AW201" s="37">
        <v>0</v>
      </c>
      <c r="AX201" s="37">
        <v>0</v>
      </c>
      <c r="AY201" s="37">
        <v>0</v>
      </c>
      <c r="AZ201" s="37">
        <v>0</v>
      </c>
      <c r="BA201" s="37">
        <v>0</v>
      </c>
      <c r="BB201" s="37">
        <v>0</v>
      </c>
      <c r="BC201" s="37">
        <v>0</v>
      </c>
      <c r="BD201" s="37">
        <v>274708.61</v>
      </c>
      <c r="BE201" s="37">
        <v>0</v>
      </c>
      <c r="BF201" s="37">
        <v>0</v>
      </c>
      <c r="BG201" s="37">
        <v>0</v>
      </c>
      <c r="BH201" s="37">
        <v>0</v>
      </c>
      <c r="BI201" s="37">
        <v>0</v>
      </c>
      <c r="BJ201" s="37">
        <v>0</v>
      </c>
      <c r="BK201" s="32" t="s">
        <v>12</v>
      </c>
      <c r="BL201" s="32" t="s">
        <v>13</v>
      </c>
      <c r="BM201" s="33">
        <v>46081.721539351849</v>
      </c>
      <c r="BN201" s="32" t="s">
        <v>28</v>
      </c>
      <c r="BO201" s="32" t="s">
        <v>29</v>
      </c>
      <c r="BP201" s="38">
        <v>9</v>
      </c>
      <c r="BQ201" s="42"/>
      <c r="BR201" s="39">
        <v>9</v>
      </c>
      <c r="BS201" s="22" t="s">
        <v>220</v>
      </c>
      <c r="BT201" s="4" t="str">
        <f t="shared" si="13"/>
        <v>120</v>
      </c>
      <c r="BU201" s="4" t="str">
        <f t="shared" si="13"/>
        <v>9</v>
      </c>
      <c r="BV201" s="4">
        <f t="shared" si="14"/>
        <v>15</v>
      </c>
      <c r="BW201" s="29">
        <f t="shared" si="15"/>
        <v>2472377.4899999998</v>
      </c>
      <c r="BX201" s="4">
        <v>51.49</v>
      </c>
      <c r="BY201" s="29">
        <f t="shared" si="16"/>
        <v>3487.7456701397259</v>
      </c>
    </row>
    <row r="202" spans="1:77" ht="15" hidden="1" customHeight="1" x14ac:dyDescent="0.35">
      <c r="A202" s="32" t="s">
        <v>217</v>
      </c>
      <c r="B202" s="32" t="s">
        <v>714</v>
      </c>
      <c r="C202" s="32" t="s">
        <v>16</v>
      </c>
      <c r="D202" s="32" t="s">
        <v>715</v>
      </c>
      <c r="E202" s="32" t="s">
        <v>268</v>
      </c>
      <c r="F202" s="32" t="s">
        <v>716</v>
      </c>
      <c r="G202" s="33">
        <v>46081</v>
      </c>
      <c r="H202" s="33">
        <v>46081</v>
      </c>
      <c r="I202" s="33">
        <v>46096</v>
      </c>
      <c r="J202" s="32" t="s">
        <v>11</v>
      </c>
      <c r="K202" s="34">
        <v>1796019.94</v>
      </c>
      <c r="L202" s="34">
        <v>1760803.87</v>
      </c>
      <c r="M202" s="34">
        <v>35216.07</v>
      </c>
      <c r="N202" s="34">
        <v>0</v>
      </c>
      <c r="O202" s="34">
        <v>0</v>
      </c>
      <c r="P202" s="34">
        <v>1796019.94</v>
      </c>
      <c r="Q202" s="34">
        <v>0</v>
      </c>
      <c r="R202" s="34">
        <v>1796019.94</v>
      </c>
      <c r="S202" s="34">
        <v>35235.283939088396</v>
      </c>
      <c r="T202" s="34">
        <v>1796019.94</v>
      </c>
      <c r="U202" s="35">
        <v>0</v>
      </c>
      <c r="V202" s="35">
        <v>0</v>
      </c>
      <c r="W202" s="35">
        <v>0</v>
      </c>
      <c r="X202" s="35">
        <v>0</v>
      </c>
      <c r="Y202" s="35">
        <v>0</v>
      </c>
      <c r="Z202" s="35">
        <v>0</v>
      </c>
      <c r="AA202" s="35">
        <v>0</v>
      </c>
      <c r="AB202" s="35">
        <v>1796019.94</v>
      </c>
      <c r="AC202" s="35">
        <v>0</v>
      </c>
      <c r="AD202" s="35">
        <v>0</v>
      </c>
      <c r="AE202" s="35">
        <v>0</v>
      </c>
      <c r="AF202" s="35">
        <v>0</v>
      </c>
      <c r="AG202" s="35">
        <v>0</v>
      </c>
      <c r="AH202" s="35">
        <v>0</v>
      </c>
      <c r="AI202" s="36">
        <v>0</v>
      </c>
      <c r="AJ202" s="36">
        <v>0</v>
      </c>
      <c r="AK202" s="36">
        <v>0</v>
      </c>
      <c r="AL202" s="36">
        <v>0</v>
      </c>
      <c r="AM202" s="36">
        <v>0</v>
      </c>
      <c r="AN202" s="36">
        <v>0</v>
      </c>
      <c r="AO202" s="36">
        <v>0</v>
      </c>
      <c r="AP202" s="36">
        <v>35235.283939088396</v>
      </c>
      <c r="AQ202" s="36">
        <v>0</v>
      </c>
      <c r="AR202" s="36">
        <v>0</v>
      </c>
      <c r="AS202" s="36">
        <v>0</v>
      </c>
      <c r="AT202" s="36">
        <v>0</v>
      </c>
      <c r="AU202" s="36">
        <v>0</v>
      </c>
      <c r="AV202" s="36">
        <v>0</v>
      </c>
      <c r="AW202" s="37">
        <v>0</v>
      </c>
      <c r="AX202" s="37">
        <v>0</v>
      </c>
      <c r="AY202" s="37"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1796019.94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2" t="s">
        <v>12</v>
      </c>
      <c r="BL202" s="32" t="s">
        <v>13</v>
      </c>
      <c r="BM202" s="33">
        <v>46081.721747685187</v>
      </c>
      <c r="BN202" s="32" t="s">
        <v>28</v>
      </c>
      <c r="BO202" s="32" t="s">
        <v>29</v>
      </c>
      <c r="BP202" s="38">
        <v>9</v>
      </c>
      <c r="BQ202" s="42"/>
      <c r="BR202" s="39">
        <v>9</v>
      </c>
      <c r="BS202" s="22" t="s">
        <v>220</v>
      </c>
      <c r="BT202" s="4" t="str">
        <f t="shared" si="13"/>
        <v>120</v>
      </c>
      <c r="BU202" s="4" t="str">
        <f t="shared" si="13"/>
        <v>9</v>
      </c>
      <c r="BV202" s="4">
        <f t="shared" si="14"/>
        <v>15</v>
      </c>
      <c r="BW202" s="29">
        <f t="shared" si="15"/>
        <v>16164179.459999999</v>
      </c>
      <c r="BX202" s="4">
        <v>51.49</v>
      </c>
      <c r="BY202" s="29">
        <f t="shared" si="16"/>
        <v>22802.564394394518</v>
      </c>
    </row>
    <row r="203" spans="1:77" ht="15" hidden="1" customHeight="1" x14ac:dyDescent="0.35">
      <c r="A203" s="32" t="s">
        <v>217</v>
      </c>
      <c r="B203" s="32" t="s">
        <v>717</v>
      </c>
      <c r="C203" s="32" t="s">
        <v>16</v>
      </c>
      <c r="D203" s="32" t="s">
        <v>336</v>
      </c>
      <c r="E203" s="32" t="s">
        <v>54</v>
      </c>
      <c r="F203" s="32" t="s">
        <v>46</v>
      </c>
      <c r="G203" s="33">
        <v>46081</v>
      </c>
      <c r="H203" s="33">
        <v>46081</v>
      </c>
      <c r="I203" s="33">
        <v>46096</v>
      </c>
      <c r="J203" s="32" t="s">
        <v>11</v>
      </c>
      <c r="K203" s="34">
        <v>876837.03</v>
      </c>
      <c r="L203" s="34">
        <v>859644.15</v>
      </c>
      <c r="M203" s="34">
        <v>17192.88</v>
      </c>
      <c r="N203" s="34">
        <v>2648.54</v>
      </c>
      <c r="O203" s="34">
        <v>0</v>
      </c>
      <c r="P203" s="34">
        <v>874188.49</v>
      </c>
      <c r="Q203" s="34">
        <v>0</v>
      </c>
      <c r="R203" s="34">
        <v>874188.49</v>
      </c>
      <c r="S203" s="34">
        <v>17150.299378877098</v>
      </c>
      <c r="T203" s="34">
        <v>874188.49</v>
      </c>
      <c r="U203" s="35">
        <v>0</v>
      </c>
      <c r="V203" s="35">
        <v>0</v>
      </c>
      <c r="W203" s="35">
        <v>0</v>
      </c>
      <c r="X203" s="35">
        <v>0</v>
      </c>
      <c r="Y203" s="35">
        <v>0</v>
      </c>
      <c r="Z203" s="35">
        <v>0</v>
      </c>
      <c r="AA203" s="35">
        <v>0</v>
      </c>
      <c r="AB203" s="35">
        <v>874188.49</v>
      </c>
      <c r="AC203" s="35">
        <v>0</v>
      </c>
      <c r="AD203" s="35">
        <v>0</v>
      </c>
      <c r="AE203" s="35">
        <v>0</v>
      </c>
      <c r="AF203" s="35">
        <v>0</v>
      </c>
      <c r="AG203" s="35">
        <v>0</v>
      </c>
      <c r="AH203" s="35">
        <v>0</v>
      </c>
      <c r="AI203" s="36">
        <v>0</v>
      </c>
      <c r="AJ203" s="36">
        <v>0</v>
      </c>
      <c r="AK203" s="36">
        <v>0</v>
      </c>
      <c r="AL203" s="36">
        <v>0</v>
      </c>
      <c r="AM203" s="36">
        <v>0</v>
      </c>
      <c r="AN203" s="36">
        <v>0</v>
      </c>
      <c r="AO203" s="36">
        <v>0</v>
      </c>
      <c r="AP203" s="36">
        <v>17150.299378877098</v>
      </c>
      <c r="AQ203" s="36">
        <v>0</v>
      </c>
      <c r="AR203" s="36">
        <v>0</v>
      </c>
      <c r="AS203" s="36">
        <v>0</v>
      </c>
      <c r="AT203" s="36">
        <v>0</v>
      </c>
      <c r="AU203" s="36">
        <v>0</v>
      </c>
      <c r="AV203" s="36">
        <v>0</v>
      </c>
      <c r="AW203" s="37">
        <v>0</v>
      </c>
      <c r="AX203" s="37">
        <v>0</v>
      </c>
      <c r="AY203" s="37">
        <v>0</v>
      </c>
      <c r="AZ203" s="37">
        <v>0</v>
      </c>
      <c r="BA203" s="37">
        <v>0</v>
      </c>
      <c r="BB203" s="37">
        <v>0</v>
      </c>
      <c r="BC203" s="37">
        <v>0</v>
      </c>
      <c r="BD203" s="37">
        <v>874188.49</v>
      </c>
      <c r="BE203" s="37">
        <v>0</v>
      </c>
      <c r="BF203" s="37">
        <v>0</v>
      </c>
      <c r="BG203" s="37">
        <v>0</v>
      </c>
      <c r="BH203" s="37">
        <v>0</v>
      </c>
      <c r="BI203" s="37">
        <v>0</v>
      </c>
      <c r="BJ203" s="37">
        <v>0</v>
      </c>
      <c r="BK203" s="32" t="s">
        <v>12</v>
      </c>
      <c r="BL203" s="32" t="s">
        <v>13</v>
      </c>
      <c r="BM203" s="33">
        <v>46081.721956018519</v>
      </c>
      <c r="BN203" s="32" t="s">
        <v>28</v>
      </c>
      <c r="BO203" s="32" t="s">
        <v>29</v>
      </c>
      <c r="BP203" s="38">
        <v>9</v>
      </c>
      <c r="BQ203" s="42"/>
      <c r="BR203" s="39">
        <v>9</v>
      </c>
      <c r="BS203" s="22" t="s">
        <v>220</v>
      </c>
      <c r="BT203" s="4" t="str">
        <f t="shared" si="13"/>
        <v>120</v>
      </c>
      <c r="BU203" s="4" t="str">
        <f t="shared" si="13"/>
        <v>9</v>
      </c>
      <c r="BV203" s="4">
        <f t="shared" si="14"/>
        <v>15</v>
      </c>
      <c r="BW203" s="29">
        <f t="shared" si="15"/>
        <v>7867696.4100000001</v>
      </c>
      <c r="BX203" s="4">
        <v>51.49</v>
      </c>
      <c r="BY203" s="29">
        <f t="shared" si="16"/>
        <v>11098.840771257534</v>
      </c>
    </row>
    <row r="204" spans="1:77" ht="15" hidden="1" customHeight="1" x14ac:dyDescent="0.35">
      <c r="A204" s="32" t="s">
        <v>217</v>
      </c>
      <c r="B204" s="32" t="s">
        <v>718</v>
      </c>
      <c r="C204" s="32" t="s">
        <v>16</v>
      </c>
      <c r="D204" s="32" t="s">
        <v>309</v>
      </c>
      <c r="E204" s="32" t="s">
        <v>154</v>
      </c>
      <c r="F204" s="32" t="s">
        <v>310</v>
      </c>
      <c r="G204" s="33">
        <v>46081</v>
      </c>
      <c r="H204" s="33">
        <v>46081</v>
      </c>
      <c r="I204" s="33">
        <v>46096</v>
      </c>
      <c r="J204" s="32" t="s">
        <v>11</v>
      </c>
      <c r="K204" s="34">
        <v>237679.73</v>
      </c>
      <c r="L204" s="34">
        <v>233019.34</v>
      </c>
      <c r="M204" s="34">
        <v>4660.3900000000003</v>
      </c>
      <c r="N204" s="34">
        <v>0</v>
      </c>
      <c r="O204" s="34">
        <v>0</v>
      </c>
      <c r="P204" s="34">
        <v>237679.73</v>
      </c>
      <c r="Q204" s="34">
        <v>0</v>
      </c>
      <c r="R204" s="34">
        <v>237679.73</v>
      </c>
      <c r="S204" s="34">
        <v>4662.9286159906796</v>
      </c>
      <c r="T204" s="34">
        <v>237679.73</v>
      </c>
      <c r="U204" s="35">
        <v>0</v>
      </c>
      <c r="V204" s="35">
        <v>0</v>
      </c>
      <c r="W204" s="35">
        <v>0</v>
      </c>
      <c r="X204" s="35">
        <v>0</v>
      </c>
      <c r="Y204" s="35">
        <v>0</v>
      </c>
      <c r="Z204" s="35">
        <v>0</v>
      </c>
      <c r="AA204" s="35">
        <v>0</v>
      </c>
      <c r="AB204" s="35">
        <v>237679.73</v>
      </c>
      <c r="AC204" s="35">
        <v>0</v>
      </c>
      <c r="AD204" s="35">
        <v>0</v>
      </c>
      <c r="AE204" s="35">
        <v>0</v>
      </c>
      <c r="AF204" s="35">
        <v>0</v>
      </c>
      <c r="AG204" s="35">
        <v>0</v>
      </c>
      <c r="AH204" s="35">
        <v>0</v>
      </c>
      <c r="AI204" s="36">
        <v>0</v>
      </c>
      <c r="AJ204" s="36">
        <v>0</v>
      </c>
      <c r="AK204" s="36">
        <v>0</v>
      </c>
      <c r="AL204" s="36">
        <v>0</v>
      </c>
      <c r="AM204" s="36">
        <v>0</v>
      </c>
      <c r="AN204" s="36">
        <v>0</v>
      </c>
      <c r="AO204" s="36">
        <v>0</v>
      </c>
      <c r="AP204" s="36">
        <v>4662.9286159906796</v>
      </c>
      <c r="AQ204" s="36">
        <v>0</v>
      </c>
      <c r="AR204" s="36">
        <v>0</v>
      </c>
      <c r="AS204" s="36">
        <v>0</v>
      </c>
      <c r="AT204" s="36">
        <v>0</v>
      </c>
      <c r="AU204" s="36">
        <v>0</v>
      </c>
      <c r="AV204" s="36">
        <v>0</v>
      </c>
      <c r="AW204" s="37">
        <v>0</v>
      </c>
      <c r="AX204" s="37">
        <v>0</v>
      </c>
      <c r="AY204" s="37"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237679.73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2" t="s">
        <v>12</v>
      </c>
      <c r="BL204" s="32" t="s">
        <v>13</v>
      </c>
      <c r="BM204" s="33">
        <v>46081.722175925926</v>
      </c>
      <c r="BN204" s="32" t="s">
        <v>28</v>
      </c>
      <c r="BO204" s="32" t="s">
        <v>29</v>
      </c>
      <c r="BP204" s="38">
        <v>9</v>
      </c>
      <c r="BQ204" s="42"/>
      <c r="BR204" s="39">
        <v>9</v>
      </c>
      <c r="BS204" s="22" t="s">
        <v>220</v>
      </c>
      <c r="BT204" s="4" t="str">
        <f t="shared" si="13"/>
        <v>120</v>
      </c>
      <c r="BU204" s="4" t="str">
        <f t="shared" si="13"/>
        <v>9</v>
      </c>
      <c r="BV204" s="4">
        <f t="shared" si="14"/>
        <v>15</v>
      </c>
      <c r="BW204" s="29">
        <f t="shared" si="15"/>
        <v>2139117.5700000003</v>
      </c>
      <c r="BX204" s="4">
        <v>51.49</v>
      </c>
      <c r="BY204" s="29">
        <f t="shared" si="16"/>
        <v>3017.6209227205486</v>
      </c>
    </row>
    <row r="205" spans="1:77" ht="15" hidden="1" customHeight="1" x14ac:dyDescent="0.35">
      <c r="A205" s="32" t="s">
        <v>217</v>
      </c>
      <c r="B205" s="32" t="s">
        <v>719</v>
      </c>
      <c r="C205" s="32" t="s">
        <v>16</v>
      </c>
      <c r="D205" s="32" t="s">
        <v>336</v>
      </c>
      <c r="E205" s="32" t="s">
        <v>54</v>
      </c>
      <c r="F205" s="32" t="s">
        <v>46</v>
      </c>
      <c r="G205" s="33">
        <v>46081</v>
      </c>
      <c r="H205" s="33">
        <v>46081</v>
      </c>
      <c r="I205" s="33">
        <v>46096</v>
      </c>
      <c r="J205" s="32" t="s">
        <v>11</v>
      </c>
      <c r="K205" s="34">
        <v>643236.48</v>
      </c>
      <c r="L205" s="34">
        <v>630624</v>
      </c>
      <c r="M205" s="34">
        <v>12612.48</v>
      </c>
      <c r="N205" s="34">
        <v>0</v>
      </c>
      <c r="O205" s="34">
        <v>0</v>
      </c>
      <c r="P205" s="34">
        <v>643236.48</v>
      </c>
      <c r="Q205" s="34">
        <v>0</v>
      </c>
      <c r="R205" s="34">
        <v>643236.48</v>
      </c>
      <c r="S205" s="34">
        <v>12619.3587877314</v>
      </c>
      <c r="T205" s="34">
        <v>643236.48</v>
      </c>
      <c r="U205" s="35">
        <v>0</v>
      </c>
      <c r="V205" s="35">
        <v>0</v>
      </c>
      <c r="W205" s="35">
        <v>0</v>
      </c>
      <c r="X205" s="35">
        <v>0</v>
      </c>
      <c r="Y205" s="35">
        <v>0</v>
      </c>
      <c r="Z205" s="35">
        <v>0</v>
      </c>
      <c r="AA205" s="35">
        <v>0</v>
      </c>
      <c r="AB205" s="35">
        <v>643236.48</v>
      </c>
      <c r="AC205" s="35">
        <v>0</v>
      </c>
      <c r="AD205" s="35">
        <v>0</v>
      </c>
      <c r="AE205" s="35">
        <v>0</v>
      </c>
      <c r="AF205" s="35">
        <v>0</v>
      </c>
      <c r="AG205" s="35">
        <v>0</v>
      </c>
      <c r="AH205" s="35">
        <v>0</v>
      </c>
      <c r="AI205" s="36">
        <v>0</v>
      </c>
      <c r="AJ205" s="36">
        <v>0</v>
      </c>
      <c r="AK205" s="36">
        <v>0</v>
      </c>
      <c r="AL205" s="36">
        <v>0</v>
      </c>
      <c r="AM205" s="36">
        <v>0</v>
      </c>
      <c r="AN205" s="36">
        <v>0</v>
      </c>
      <c r="AO205" s="36">
        <v>0</v>
      </c>
      <c r="AP205" s="36">
        <v>12619.3587877314</v>
      </c>
      <c r="AQ205" s="36">
        <v>0</v>
      </c>
      <c r="AR205" s="36">
        <v>0</v>
      </c>
      <c r="AS205" s="36">
        <v>0</v>
      </c>
      <c r="AT205" s="36">
        <v>0</v>
      </c>
      <c r="AU205" s="36">
        <v>0</v>
      </c>
      <c r="AV205" s="36">
        <v>0</v>
      </c>
      <c r="AW205" s="37">
        <v>0</v>
      </c>
      <c r="AX205" s="37">
        <v>0</v>
      </c>
      <c r="AY205" s="37">
        <v>0</v>
      </c>
      <c r="AZ205" s="37">
        <v>0</v>
      </c>
      <c r="BA205" s="37">
        <v>0</v>
      </c>
      <c r="BB205" s="37">
        <v>0</v>
      </c>
      <c r="BC205" s="37">
        <v>0</v>
      </c>
      <c r="BD205" s="37">
        <v>643236.48</v>
      </c>
      <c r="BE205" s="37">
        <v>0</v>
      </c>
      <c r="BF205" s="37">
        <v>0</v>
      </c>
      <c r="BG205" s="37">
        <v>0</v>
      </c>
      <c r="BH205" s="37">
        <v>0</v>
      </c>
      <c r="BI205" s="37">
        <v>0</v>
      </c>
      <c r="BJ205" s="37">
        <v>0</v>
      </c>
      <c r="BK205" s="32" t="s">
        <v>12</v>
      </c>
      <c r="BL205" s="32" t="s">
        <v>13</v>
      </c>
      <c r="BM205" s="33">
        <v>46081.722384259258</v>
      </c>
      <c r="BN205" s="32" t="s">
        <v>28</v>
      </c>
      <c r="BO205" s="32" t="s">
        <v>29</v>
      </c>
      <c r="BP205" s="38">
        <v>9</v>
      </c>
      <c r="BQ205" s="42"/>
      <c r="BR205" s="39">
        <v>9</v>
      </c>
      <c r="BS205" s="22" t="s">
        <v>220</v>
      </c>
      <c r="BT205" s="4" t="str">
        <f t="shared" si="13"/>
        <v>120</v>
      </c>
      <c r="BU205" s="4" t="str">
        <f t="shared" si="13"/>
        <v>9</v>
      </c>
      <c r="BV205" s="4">
        <f t="shared" si="14"/>
        <v>15</v>
      </c>
      <c r="BW205" s="29">
        <f t="shared" si="15"/>
        <v>5789128.3200000003</v>
      </c>
      <c r="BX205" s="4">
        <v>51.49</v>
      </c>
      <c r="BY205" s="29">
        <f t="shared" si="16"/>
        <v>8166.6360875835635</v>
      </c>
    </row>
    <row r="206" spans="1:77" ht="15" hidden="1" customHeight="1" x14ac:dyDescent="0.35">
      <c r="A206" s="32" t="s">
        <v>217</v>
      </c>
      <c r="B206" s="32" t="s">
        <v>720</v>
      </c>
      <c r="C206" s="32" t="s">
        <v>16</v>
      </c>
      <c r="D206" s="32" t="s">
        <v>409</v>
      </c>
      <c r="E206" s="32" t="s">
        <v>100</v>
      </c>
      <c r="F206" s="32" t="s">
        <v>410</v>
      </c>
      <c r="G206" s="33">
        <v>46081</v>
      </c>
      <c r="H206" s="33">
        <v>46081</v>
      </c>
      <c r="I206" s="33">
        <v>46096</v>
      </c>
      <c r="J206" s="32" t="s">
        <v>11</v>
      </c>
      <c r="K206" s="34">
        <v>239209.38</v>
      </c>
      <c r="L206" s="34">
        <v>234519</v>
      </c>
      <c r="M206" s="34">
        <v>4690.38</v>
      </c>
      <c r="N206" s="34">
        <v>0</v>
      </c>
      <c r="O206" s="34">
        <v>0</v>
      </c>
      <c r="P206" s="34">
        <v>239209.38</v>
      </c>
      <c r="Q206" s="34">
        <v>0</v>
      </c>
      <c r="R206" s="34">
        <v>239209.38</v>
      </c>
      <c r="S206" s="34">
        <v>4692.9381113626596</v>
      </c>
      <c r="T206" s="34">
        <v>239209.38</v>
      </c>
      <c r="U206" s="35">
        <v>0</v>
      </c>
      <c r="V206" s="35">
        <v>0</v>
      </c>
      <c r="W206" s="35">
        <v>0</v>
      </c>
      <c r="X206" s="35">
        <v>0</v>
      </c>
      <c r="Y206" s="35">
        <v>0</v>
      </c>
      <c r="Z206" s="35">
        <v>0</v>
      </c>
      <c r="AA206" s="35">
        <v>0</v>
      </c>
      <c r="AB206" s="35">
        <v>239209.38</v>
      </c>
      <c r="AC206" s="35">
        <v>0</v>
      </c>
      <c r="AD206" s="35">
        <v>0</v>
      </c>
      <c r="AE206" s="35">
        <v>0</v>
      </c>
      <c r="AF206" s="35">
        <v>0</v>
      </c>
      <c r="AG206" s="35">
        <v>0</v>
      </c>
      <c r="AH206" s="35">
        <v>0</v>
      </c>
      <c r="AI206" s="36">
        <v>0</v>
      </c>
      <c r="AJ206" s="36">
        <v>0</v>
      </c>
      <c r="AK206" s="36">
        <v>0</v>
      </c>
      <c r="AL206" s="36">
        <v>0</v>
      </c>
      <c r="AM206" s="36">
        <v>0</v>
      </c>
      <c r="AN206" s="36">
        <v>0</v>
      </c>
      <c r="AO206" s="36">
        <v>0</v>
      </c>
      <c r="AP206" s="36">
        <v>4692.9381113626596</v>
      </c>
      <c r="AQ206" s="36">
        <v>0</v>
      </c>
      <c r="AR206" s="36">
        <v>0</v>
      </c>
      <c r="AS206" s="36">
        <v>0</v>
      </c>
      <c r="AT206" s="36">
        <v>0</v>
      </c>
      <c r="AU206" s="36">
        <v>0</v>
      </c>
      <c r="AV206" s="36">
        <v>0</v>
      </c>
      <c r="AW206" s="37">
        <v>0</v>
      </c>
      <c r="AX206" s="37">
        <v>0</v>
      </c>
      <c r="AY206" s="37"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239209.38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2" t="s">
        <v>12</v>
      </c>
      <c r="BL206" s="32" t="s">
        <v>13</v>
      </c>
      <c r="BM206" s="33">
        <v>46081.722592592596</v>
      </c>
      <c r="BN206" s="32" t="s">
        <v>28</v>
      </c>
      <c r="BO206" s="32" t="s">
        <v>29</v>
      </c>
      <c r="BP206" s="38">
        <v>9</v>
      </c>
      <c r="BQ206" s="42"/>
      <c r="BR206" s="39">
        <v>9</v>
      </c>
      <c r="BS206" s="22" t="s">
        <v>220</v>
      </c>
      <c r="BT206" s="4" t="str">
        <f t="shared" si="13"/>
        <v>120</v>
      </c>
      <c r="BU206" s="4" t="str">
        <f t="shared" si="13"/>
        <v>9</v>
      </c>
      <c r="BV206" s="4">
        <f t="shared" si="14"/>
        <v>15</v>
      </c>
      <c r="BW206" s="29">
        <f t="shared" si="15"/>
        <v>2152884.42</v>
      </c>
      <c r="BX206" s="4">
        <v>51.49</v>
      </c>
      <c r="BY206" s="29">
        <f t="shared" si="16"/>
        <v>3037.0416105698628</v>
      </c>
    </row>
    <row r="207" spans="1:77" ht="15" hidden="1" customHeight="1" x14ac:dyDescent="0.35">
      <c r="A207" s="32" t="s">
        <v>217</v>
      </c>
      <c r="B207" s="32" t="s">
        <v>721</v>
      </c>
      <c r="C207" s="32" t="s">
        <v>16</v>
      </c>
      <c r="D207" s="32" t="s">
        <v>409</v>
      </c>
      <c r="E207" s="32" t="s">
        <v>100</v>
      </c>
      <c r="F207" s="32" t="s">
        <v>410</v>
      </c>
      <c r="G207" s="33">
        <v>46081</v>
      </c>
      <c r="H207" s="33">
        <v>46081</v>
      </c>
      <c r="I207" s="33">
        <v>46096</v>
      </c>
      <c r="J207" s="32" t="s">
        <v>11</v>
      </c>
      <c r="K207" s="34">
        <v>237679.38</v>
      </c>
      <c r="L207" s="34">
        <v>233019</v>
      </c>
      <c r="M207" s="34">
        <v>4660.38</v>
      </c>
      <c r="N207" s="34">
        <v>0</v>
      </c>
      <c r="O207" s="34">
        <v>0</v>
      </c>
      <c r="P207" s="34">
        <v>237679.38</v>
      </c>
      <c r="Q207" s="34">
        <v>0</v>
      </c>
      <c r="R207" s="34">
        <v>237679.38</v>
      </c>
      <c r="S207" s="34">
        <v>4662.9217495026696</v>
      </c>
      <c r="T207" s="34">
        <v>237679.38</v>
      </c>
      <c r="U207" s="35">
        <v>0</v>
      </c>
      <c r="V207" s="35">
        <v>0</v>
      </c>
      <c r="W207" s="35">
        <v>0</v>
      </c>
      <c r="X207" s="35">
        <v>0</v>
      </c>
      <c r="Y207" s="35">
        <v>0</v>
      </c>
      <c r="Z207" s="35">
        <v>0</v>
      </c>
      <c r="AA207" s="35">
        <v>0</v>
      </c>
      <c r="AB207" s="35">
        <v>237679.38</v>
      </c>
      <c r="AC207" s="35">
        <v>0</v>
      </c>
      <c r="AD207" s="35">
        <v>0</v>
      </c>
      <c r="AE207" s="35">
        <v>0</v>
      </c>
      <c r="AF207" s="35">
        <v>0</v>
      </c>
      <c r="AG207" s="35">
        <v>0</v>
      </c>
      <c r="AH207" s="35">
        <v>0</v>
      </c>
      <c r="AI207" s="36">
        <v>0</v>
      </c>
      <c r="AJ207" s="36">
        <v>0</v>
      </c>
      <c r="AK207" s="36">
        <v>0</v>
      </c>
      <c r="AL207" s="36">
        <v>0</v>
      </c>
      <c r="AM207" s="36">
        <v>0</v>
      </c>
      <c r="AN207" s="36">
        <v>0</v>
      </c>
      <c r="AO207" s="36">
        <v>0</v>
      </c>
      <c r="AP207" s="36">
        <v>4662.9217495026696</v>
      </c>
      <c r="AQ207" s="36">
        <v>0</v>
      </c>
      <c r="AR207" s="36">
        <v>0</v>
      </c>
      <c r="AS207" s="36">
        <v>0</v>
      </c>
      <c r="AT207" s="36">
        <v>0</v>
      </c>
      <c r="AU207" s="36">
        <v>0</v>
      </c>
      <c r="AV207" s="36">
        <v>0</v>
      </c>
      <c r="AW207" s="37">
        <v>0</v>
      </c>
      <c r="AX207" s="37">
        <v>0</v>
      </c>
      <c r="AY207" s="37">
        <v>0</v>
      </c>
      <c r="AZ207" s="37">
        <v>0</v>
      </c>
      <c r="BA207" s="37">
        <v>0</v>
      </c>
      <c r="BB207" s="37">
        <v>0</v>
      </c>
      <c r="BC207" s="37">
        <v>0</v>
      </c>
      <c r="BD207" s="37">
        <v>237679.38</v>
      </c>
      <c r="BE207" s="37">
        <v>0</v>
      </c>
      <c r="BF207" s="37">
        <v>0</v>
      </c>
      <c r="BG207" s="37">
        <v>0</v>
      </c>
      <c r="BH207" s="37">
        <v>0</v>
      </c>
      <c r="BI207" s="37">
        <v>0</v>
      </c>
      <c r="BJ207" s="37">
        <v>0</v>
      </c>
      <c r="BK207" s="32" t="s">
        <v>12</v>
      </c>
      <c r="BL207" s="32" t="s">
        <v>13</v>
      </c>
      <c r="BM207" s="33">
        <v>46081.722800925927</v>
      </c>
      <c r="BN207" s="32" t="s">
        <v>28</v>
      </c>
      <c r="BO207" s="32" t="s">
        <v>29</v>
      </c>
      <c r="BP207" s="38">
        <v>9</v>
      </c>
      <c r="BQ207" s="42"/>
      <c r="BR207" s="39">
        <v>9</v>
      </c>
      <c r="BS207" s="22" t="s">
        <v>220</v>
      </c>
      <c r="BT207" s="4" t="str">
        <f t="shared" si="13"/>
        <v>120</v>
      </c>
      <c r="BU207" s="4" t="str">
        <f t="shared" si="13"/>
        <v>9</v>
      </c>
      <c r="BV207" s="4">
        <f t="shared" si="14"/>
        <v>15</v>
      </c>
      <c r="BW207" s="29">
        <f t="shared" si="15"/>
        <v>2139114.42</v>
      </c>
      <c r="BX207" s="4">
        <v>51.49</v>
      </c>
      <c r="BY207" s="29">
        <f t="shared" si="16"/>
        <v>3017.6164790630137</v>
      </c>
    </row>
    <row r="208" spans="1:77" ht="15" hidden="1" customHeight="1" x14ac:dyDescent="0.35">
      <c r="A208" s="32" t="s">
        <v>217</v>
      </c>
      <c r="B208" s="32" t="s">
        <v>722</v>
      </c>
      <c r="C208" s="32" t="s">
        <v>16</v>
      </c>
      <c r="D208" s="32" t="s">
        <v>336</v>
      </c>
      <c r="E208" s="32" t="s">
        <v>54</v>
      </c>
      <c r="F208" s="32" t="s">
        <v>46</v>
      </c>
      <c r="G208" s="33">
        <v>46081</v>
      </c>
      <c r="H208" s="33">
        <v>46081</v>
      </c>
      <c r="I208" s="33">
        <v>46096</v>
      </c>
      <c r="J208" s="32" t="s">
        <v>11</v>
      </c>
      <c r="K208" s="34">
        <v>643236.48</v>
      </c>
      <c r="L208" s="34">
        <v>630624</v>
      </c>
      <c r="M208" s="34">
        <v>12612.48</v>
      </c>
      <c r="N208" s="34">
        <v>0</v>
      </c>
      <c r="O208" s="34">
        <v>0</v>
      </c>
      <c r="P208" s="34">
        <v>643236.48</v>
      </c>
      <c r="Q208" s="34">
        <v>0</v>
      </c>
      <c r="R208" s="34">
        <v>643236.48</v>
      </c>
      <c r="S208" s="34">
        <v>12619.3587877314</v>
      </c>
      <c r="T208" s="34">
        <v>643236.48</v>
      </c>
      <c r="U208" s="35">
        <v>0</v>
      </c>
      <c r="V208" s="35">
        <v>0</v>
      </c>
      <c r="W208" s="35">
        <v>0</v>
      </c>
      <c r="X208" s="35">
        <v>0</v>
      </c>
      <c r="Y208" s="35">
        <v>0</v>
      </c>
      <c r="Z208" s="35">
        <v>0</v>
      </c>
      <c r="AA208" s="35">
        <v>0</v>
      </c>
      <c r="AB208" s="35">
        <v>643236.48</v>
      </c>
      <c r="AC208" s="35">
        <v>0</v>
      </c>
      <c r="AD208" s="35">
        <v>0</v>
      </c>
      <c r="AE208" s="35">
        <v>0</v>
      </c>
      <c r="AF208" s="35">
        <v>0</v>
      </c>
      <c r="AG208" s="35">
        <v>0</v>
      </c>
      <c r="AH208" s="35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12619.3587877314</v>
      </c>
      <c r="AQ208" s="36">
        <v>0</v>
      </c>
      <c r="AR208" s="36">
        <v>0</v>
      </c>
      <c r="AS208" s="36">
        <v>0</v>
      </c>
      <c r="AT208" s="36">
        <v>0</v>
      </c>
      <c r="AU208" s="36">
        <v>0</v>
      </c>
      <c r="AV208" s="36">
        <v>0</v>
      </c>
      <c r="AW208" s="37">
        <v>0</v>
      </c>
      <c r="AX208" s="37">
        <v>0</v>
      </c>
      <c r="AY208" s="37"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643236.48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2" t="s">
        <v>12</v>
      </c>
      <c r="BL208" s="32" t="s">
        <v>13</v>
      </c>
      <c r="BM208" s="33">
        <v>46081.723009259258</v>
      </c>
      <c r="BN208" s="32" t="s">
        <v>28</v>
      </c>
      <c r="BO208" s="32" t="s">
        <v>29</v>
      </c>
      <c r="BP208" s="38">
        <v>9</v>
      </c>
      <c r="BQ208" s="42"/>
      <c r="BR208" s="39">
        <v>9</v>
      </c>
      <c r="BS208" s="22" t="s">
        <v>220</v>
      </c>
      <c r="BT208" s="4" t="str">
        <f t="shared" si="13"/>
        <v>120</v>
      </c>
      <c r="BU208" s="4" t="str">
        <f t="shared" si="13"/>
        <v>9</v>
      </c>
      <c r="BV208" s="4">
        <f t="shared" si="14"/>
        <v>15</v>
      </c>
      <c r="BW208" s="29">
        <f t="shared" si="15"/>
        <v>5789128.3200000003</v>
      </c>
      <c r="BX208" s="4">
        <v>51.49</v>
      </c>
      <c r="BY208" s="29">
        <f t="shared" si="16"/>
        <v>8166.6360875835635</v>
      </c>
    </row>
    <row r="209" spans="1:77" ht="15" hidden="1" customHeight="1" x14ac:dyDescent="0.35">
      <c r="A209" s="32" t="s">
        <v>217</v>
      </c>
      <c r="B209" s="32" t="s">
        <v>723</v>
      </c>
      <c r="C209" s="32" t="s">
        <v>16</v>
      </c>
      <c r="D209" s="32" t="s">
        <v>96</v>
      </c>
      <c r="E209" s="32" t="s">
        <v>97</v>
      </c>
      <c r="F209" s="32" t="s">
        <v>46</v>
      </c>
      <c r="G209" s="33">
        <v>46081</v>
      </c>
      <c r="H209" s="33">
        <v>46081</v>
      </c>
      <c r="I209" s="33">
        <v>46111</v>
      </c>
      <c r="J209" s="32" t="s">
        <v>11</v>
      </c>
      <c r="K209" s="34">
        <v>2178461.23</v>
      </c>
      <c r="L209" s="34">
        <v>1815384.36</v>
      </c>
      <c r="M209" s="34">
        <v>363076.87</v>
      </c>
      <c r="N209" s="34">
        <v>0</v>
      </c>
      <c r="O209" s="34">
        <v>0</v>
      </c>
      <c r="P209" s="34">
        <v>2178461.23</v>
      </c>
      <c r="Q209" s="34">
        <v>2178461.23</v>
      </c>
      <c r="R209" s="34">
        <v>2178461.23</v>
      </c>
      <c r="S209" s="34">
        <v>42738.222599770103</v>
      </c>
      <c r="T209" s="34">
        <v>2178461.23</v>
      </c>
      <c r="U209" s="35">
        <v>2178461.23</v>
      </c>
      <c r="V209" s="35">
        <v>0</v>
      </c>
      <c r="W209" s="35">
        <v>0</v>
      </c>
      <c r="X209" s="35">
        <v>0</v>
      </c>
      <c r="Y209" s="35">
        <v>0</v>
      </c>
      <c r="Z209" s="35">
        <v>0</v>
      </c>
      <c r="AA209" s="35">
        <v>0</v>
      </c>
      <c r="AB209" s="35">
        <v>0</v>
      </c>
      <c r="AC209" s="35">
        <v>0</v>
      </c>
      <c r="AD209" s="35">
        <v>0</v>
      </c>
      <c r="AE209" s="35">
        <v>0</v>
      </c>
      <c r="AF209" s="35">
        <v>0</v>
      </c>
      <c r="AG209" s="35">
        <v>0</v>
      </c>
      <c r="AH209" s="35">
        <v>0</v>
      </c>
      <c r="AI209" s="36">
        <v>42738.222599770103</v>
      </c>
      <c r="AJ209" s="36">
        <v>0</v>
      </c>
      <c r="AK209" s="36">
        <v>0</v>
      </c>
      <c r="AL209" s="36">
        <v>0</v>
      </c>
      <c r="AM209" s="36">
        <v>0</v>
      </c>
      <c r="AN209" s="36">
        <v>0</v>
      </c>
      <c r="AO209" s="36">
        <v>0</v>
      </c>
      <c r="AP209" s="36">
        <v>0</v>
      </c>
      <c r="AQ209" s="36">
        <v>0</v>
      </c>
      <c r="AR209" s="36">
        <v>0</v>
      </c>
      <c r="AS209" s="36">
        <v>0</v>
      </c>
      <c r="AT209" s="36">
        <v>0</v>
      </c>
      <c r="AU209" s="36">
        <v>0</v>
      </c>
      <c r="AV209" s="36">
        <v>0</v>
      </c>
      <c r="AW209" s="37">
        <v>2178461.23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  <c r="BH209" s="37">
        <v>0</v>
      </c>
      <c r="BI209" s="37">
        <v>0</v>
      </c>
      <c r="BJ209" s="37">
        <v>0</v>
      </c>
      <c r="BK209" s="32" t="s">
        <v>12</v>
      </c>
      <c r="BL209" s="32" t="s">
        <v>13</v>
      </c>
      <c r="BM209" s="33">
        <v>46081.723217592589</v>
      </c>
      <c r="BN209" s="32" t="s">
        <v>28</v>
      </c>
      <c r="BO209" s="32" t="s">
        <v>29</v>
      </c>
      <c r="BP209" s="38">
        <v>-6</v>
      </c>
      <c r="BQ209" s="42"/>
      <c r="BR209" s="39">
        <v>-6</v>
      </c>
      <c r="BS209" s="22" t="s">
        <v>221</v>
      </c>
      <c r="BT209" s="4" t="str">
        <f t="shared" si="13"/>
        <v>120</v>
      </c>
      <c r="BU209" s="4" t="str">
        <f t="shared" si="13"/>
        <v>-6</v>
      </c>
      <c r="BV209" s="4">
        <f t="shared" si="14"/>
        <v>30</v>
      </c>
      <c r="BW209" s="29">
        <f t="shared" si="15"/>
        <v>-13070767.379999999</v>
      </c>
      <c r="BX209" s="4">
        <v>51.49</v>
      </c>
      <c r="BY209" s="29">
        <f t="shared" si="16"/>
        <v>-18438.734586197257</v>
      </c>
    </row>
    <row r="210" spans="1:77" ht="15" hidden="1" customHeight="1" x14ac:dyDescent="0.35">
      <c r="A210" s="32" t="s">
        <v>217</v>
      </c>
      <c r="B210" s="32" t="s">
        <v>724</v>
      </c>
      <c r="C210" s="32" t="s">
        <v>16</v>
      </c>
      <c r="D210" s="32" t="s">
        <v>96</v>
      </c>
      <c r="E210" s="32" t="s">
        <v>97</v>
      </c>
      <c r="F210" s="32" t="s">
        <v>46</v>
      </c>
      <c r="G210" s="33">
        <v>46081</v>
      </c>
      <c r="H210" s="33">
        <v>46081</v>
      </c>
      <c r="I210" s="33">
        <v>46111</v>
      </c>
      <c r="J210" s="32" t="s">
        <v>11</v>
      </c>
      <c r="K210" s="34">
        <v>445889.69</v>
      </c>
      <c r="L210" s="34">
        <v>371574.74</v>
      </c>
      <c r="M210" s="34">
        <v>74314.95</v>
      </c>
      <c r="N210" s="34">
        <v>0</v>
      </c>
      <c r="O210" s="34">
        <v>0</v>
      </c>
      <c r="P210" s="34">
        <v>445889.69</v>
      </c>
      <c r="Q210" s="34">
        <v>445889.69</v>
      </c>
      <c r="R210" s="34">
        <v>445889.69</v>
      </c>
      <c r="S210" s="34">
        <v>8747.7034540396508</v>
      </c>
      <c r="T210" s="34">
        <v>445889.69</v>
      </c>
      <c r="U210" s="35">
        <v>445889.69</v>
      </c>
      <c r="V210" s="35">
        <v>0</v>
      </c>
      <c r="W210" s="35">
        <v>0</v>
      </c>
      <c r="X210" s="35">
        <v>0</v>
      </c>
      <c r="Y210" s="35">
        <v>0</v>
      </c>
      <c r="Z210" s="35">
        <v>0</v>
      </c>
      <c r="AA210" s="35">
        <v>0</v>
      </c>
      <c r="AB210" s="35">
        <v>0</v>
      </c>
      <c r="AC210" s="35">
        <v>0</v>
      </c>
      <c r="AD210" s="35">
        <v>0</v>
      </c>
      <c r="AE210" s="35">
        <v>0</v>
      </c>
      <c r="AF210" s="35">
        <v>0</v>
      </c>
      <c r="AG210" s="35">
        <v>0</v>
      </c>
      <c r="AH210" s="35">
        <v>0</v>
      </c>
      <c r="AI210" s="36">
        <v>8747.7034540396508</v>
      </c>
      <c r="AJ210" s="36">
        <v>0</v>
      </c>
      <c r="AK210" s="36">
        <v>0</v>
      </c>
      <c r="AL210" s="36">
        <v>0</v>
      </c>
      <c r="AM210" s="36">
        <v>0</v>
      </c>
      <c r="AN210" s="36">
        <v>0</v>
      </c>
      <c r="AO210" s="36">
        <v>0</v>
      </c>
      <c r="AP210" s="36">
        <v>0</v>
      </c>
      <c r="AQ210" s="36">
        <v>0</v>
      </c>
      <c r="AR210" s="36">
        <v>0</v>
      </c>
      <c r="AS210" s="36">
        <v>0</v>
      </c>
      <c r="AT210" s="36">
        <v>0</v>
      </c>
      <c r="AU210" s="36">
        <v>0</v>
      </c>
      <c r="AV210" s="36">
        <v>0</v>
      </c>
      <c r="AW210" s="37">
        <v>445889.69</v>
      </c>
      <c r="AX210" s="37">
        <v>0</v>
      </c>
      <c r="AY210" s="37"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2" t="s">
        <v>12</v>
      </c>
      <c r="BL210" s="32" t="s">
        <v>13</v>
      </c>
      <c r="BM210" s="33">
        <v>46081.723425925928</v>
      </c>
      <c r="BN210" s="32" t="s">
        <v>28</v>
      </c>
      <c r="BO210" s="32" t="s">
        <v>29</v>
      </c>
      <c r="BP210" s="38">
        <v>-6</v>
      </c>
      <c r="BQ210" s="42"/>
      <c r="BR210" s="39">
        <v>-6</v>
      </c>
      <c r="BS210" s="22" t="s">
        <v>221</v>
      </c>
      <c r="BT210" s="4" t="str">
        <f t="shared" si="13"/>
        <v>120</v>
      </c>
      <c r="BU210" s="4" t="str">
        <f t="shared" si="13"/>
        <v>-6</v>
      </c>
      <c r="BV210" s="4">
        <f t="shared" si="14"/>
        <v>30</v>
      </c>
      <c r="BW210" s="29">
        <f t="shared" si="15"/>
        <v>-2675338.14</v>
      </c>
      <c r="BX210" s="4">
        <v>51.49</v>
      </c>
      <c r="BY210" s="29">
        <f t="shared" si="16"/>
        <v>-3774.0592007835621</v>
      </c>
    </row>
    <row r="211" spans="1:77" ht="15" hidden="1" customHeight="1" x14ac:dyDescent="0.35">
      <c r="A211" s="32" t="s">
        <v>217</v>
      </c>
      <c r="B211" s="32" t="s">
        <v>725</v>
      </c>
      <c r="C211" s="32" t="s">
        <v>16</v>
      </c>
      <c r="D211" s="32" t="s">
        <v>401</v>
      </c>
      <c r="E211" s="32" t="s">
        <v>218</v>
      </c>
      <c r="F211" s="32" t="s">
        <v>402</v>
      </c>
      <c r="G211" s="33">
        <v>46081</v>
      </c>
      <c r="H211" s="33">
        <v>46081</v>
      </c>
      <c r="I211" s="33">
        <v>46111</v>
      </c>
      <c r="J211" s="32" t="s">
        <v>11</v>
      </c>
      <c r="K211" s="34">
        <v>9742155.9600000009</v>
      </c>
      <c r="L211" s="34">
        <v>9551133.2899999991</v>
      </c>
      <c r="M211" s="34">
        <v>191022.67</v>
      </c>
      <c r="N211" s="34">
        <v>0</v>
      </c>
      <c r="O211" s="34">
        <v>0</v>
      </c>
      <c r="P211" s="34">
        <v>9742155.9600000009</v>
      </c>
      <c r="Q211" s="34">
        <v>9742155.9600000009</v>
      </c>
      <c r="R211" s="34">
        <v>9742155.9600000009</v>
      </c>
      <c r="S211" s="34">
        <v>191126.84875285</v>
      </c>
      <c r="T211" s="34">
        <v>9742155.9600000009</v>
      </c>
      <c r="U211" s="35">
        <v>9742155.9600000009</v>
      </c>
      <c r="V211" s="35">
        <v>0</v>
      </c>
      <c r="W211" s="35">
        <v>0</v>
      </c>
      <c r="X211" s="35">
        <v>0</v>
      </c>
      <c r="Y211" s="35">
        <v>0</v>
      </c>
      <c r="Z211" s="35">
        <v>0</v>
      </c>
      <c r="AA211" s="35">
        <v>0</v>
      </c>
      <c r="AB211" s="35">
        <v>0</v>
      </c>
      <c r="AC211" s="35">
        <v>0</v>
      </c>
      <c r="AD211" s="35">
        <v>0</v>
      </c>
      <c r="AE211" s="35">
        <v>0</v>
      </c>
      <c r="AF211" s="35">
        <v>0</v>
      </c>
      <c r="AG211" s="35">
        <v>0</v>
      </c>
      <c r="AH211" s="35">
        <v>0</v>
      </c>
      <c r="AI211" s="36">
        <v>191126.84875285</v>
      </c>
      <c r="AJ211" s="36">
        <v>0</v>
      </c>
      <c r="AK211" s="36">
        <v>0</v>
      </c>
      <c r="AL211" s="36">
        <v>0</v>
      </c>
      <c r="AM211" s="36">
        <v>0</v>
      </c>
      <c r="AN211" s="36">
        <v>0</v>
      </c>
      <c r="AO211" s="36">
        <v>0</v>
      </c>
      <c r="AP211" s="36">
        <v>0</v>
      </c>
      <c r="AQ211" s="36">
        <v>0</v>
      </c>
      <c r="AR211" s="36">
        <v>0</v>
      </c>
      <c r="AS211" s="36">
        <v>0</v>
      </c>
      <c r="AT211" s="36">
        <v>0</v>
      </c>
      <c r="AU211" s="36">
        <v>0</v>
      </c>
      <c r="AV211" s="36">
        <v>0</v>
      </c>
      <c r="AW211" s="37">
        <v>9742155.9600000009</v>
      </c>
      <c r="AX211" s="37">
        <v>0</v>
      </c>
      <c r="AY211" s="37">
        <v>0</v>
      </c>
      <c r="AZ211" s="37">
        <v>0</v>
      </c>
      <c r="BA211" s="37">
        <v>0</v>
      </c>
      <c r="BB211" s="37">
        <v>0</v>
      </c>
      <c r="BC211" s="37">
        <v>0</v>
      </c>
      <c r="BD211" s="37">
        <v>0</v>
      </c>
      <c r="BE211" s="37">
        <v>0</v>
      </c>
      <c r="BF211" s="37">
        <v>0</v>
      </c>
      <c r="BG211" s="37">
        <v>0</v>
      </c>
      <c r="BH211" s="37">
        <v>0</v>
      </c>
      <c r="BI211" s="37">
        <v>0</v>
      </c>
      <c r="BJ211" s="37">
        <v>0</v>
      </c>
      <c r="BK211" s="32" t="s">
        <v>12</v>
      </c>
      <c r="BL211" s="32" t="s">
        <v>13</v>
      </c>
      <c r="BM211" s="33">
        <v>46081.723645833335</v>
      </c>
      <c r="BN211" s="32" t="s">
        <v>28</v>
      </c>
      <c r="BO211" s="32" t="s">
        <v>29</v>
      </c>
      <c r="BP211" s="38">
        <v>-6</v>
      </c>
      <c r="BQ211" s="42"/>
      <c r="BR211" s="39">
        <v>-6</v>
      </c>
      <c r="BS211" s="22" t="s">
        <v>221</v>
      </c>
      <c r="BT211" s="4" t="str">
        <f t="shared" si="13"/>
        <v>120</v>
      </c>
      <c r="BU211" s="4" t="str">
        <f t="shared" si="13"/>
        <v>-6</v>
      </c>
      <c r="BV211" s="4">
        <f t="shared" si="14"/>
        <v>30</v>
      </c>
      <c r="BW211" s="29">
        <f t="shared" si="15"/>
        <v>-58452935.760000005</v>
      </c>
      <c r="BX211" s="4">
        <v>51.49</v>
      </c>
      <c r="BY211" s="29">
        <f t="shared" si="16"/>
        <v>-82458.675678969885</v>
      </c>
    </row>
    <row r="212" spans="1:77" ht="15" hidden="1" customHeight="1" x14ac:dyDescent="0.35">
      <c r="A212" s="32" t="s">
        <v>217</v>
      </c>
      <c r="B212" s="32" t="s">
        <v>726</v>
      </c>
      <c r="C212" s="32" t="s">
        <v>16</v>
      </c>
      <c r="D212" s="32" t="s">
        <v>401</v>
      </c>
      <c r="E212" s="32" t="s">
        <v>218</v>
      </c>
      <c r="F212" s="32" t="s">
        <v>402</v>
      </c>
      <c r="G212" s="33">
        <v>46081</v>
      </c>
      <c r="H212" s="33">
        <v>46081</v>
      </c>
      <c r="I212" s="33">
        <v>46111</v>
      </c>
      <c r="J212" s="32" t="s">
        <v>11</v>
      </c>
      <c r="K212" s="34">
        <v>6126809.3300000001</v>
      </c>
      <c r="L212" s="34">
        <v>6006675.8200000003</v>
      </c>
      <c r="M212" s="34">
        <v>120133.51</v>
      </c>
      <c r="N212" s="34">
        <v>0</v>
      </c>
      <c r="O212" s="34">
        <v>0</v>
      </c>
      <c r="P212" s="34">
        <v>6126809.3300000001</v>
      </c>
      <c r="Q212" s="34">
        <v>6126809.3300000001</v>
      </c>
      <c r="R212" s="34">
        <v>6126809.3300000001</v>
      </c>
      <c r="S212" s="34">
        <v>120199.03653364</v>
      </c>
      <c r="T212" s="34">
        <v>6126809.3300000001</v>
      </c>
      <c r="U212" s="35">
        <v>6126809.3300000001</v>
      </c>
      <c r="V212" s="35">
        <v>0</v>
      </c>
      <c r="W212" s="35">
        <v>0</v>
      </c>
      <c r="X212" s="35">
        <v>0</v>
      </c>
      <c r="Y212" s="35">
        <v>0</v>
      </c>
      <c r="Z212" s="35">
        <v>0</v>
      </c>
      <c r="AA212" s="35">
        <v>0</v>
      </c>
      <c r="AB212" s="35">
        <v>0</v>
      </c>
      <c r="AC212" s="35">
        <v>0</v>
      </c>
      <c r="AD212" s="35">
        <v>0</v>
      </c>
      <c r="AE212" s="35">
        <v>0</v>
      </c>
      <c r="AF212" s="35">
        <v>0</v>
      </c>
      <c r="AG212" s="35">
        <v>0</v>
      </c>
      <c r="AH212" s="35">
        <v>0</v>
      </c>
      <c r="AI212" s="36">
        <v>120199.03653364</v>
      </c>
      <c r="AJ212" s="36">
        <v>0</v>
      </c>
      <c r="AK212" s="36">
        <v>0</v>
      </c>
      <c r="AL212" s="36">
        <v>0</v>
      </c>
      <c r="AM212" s="36">
        <v>0</v>
      </c>
      <c r="AN212" s="36">
        <v>0</v>
      </c>
      <c r="AO212" s="36">
        <v>0</v>
      </c>
      <c r="AP212" s="36">
        <v>0</v>
      </c>
      <c r="AQ212" s="36">
        <v>0</v>
      </c>
      <c r="AR212" s="36">
        <v>0</v>
      </c>
      <c r="AS212" s="36">
        <v>0</v>
      </c>
      <c r="AT212" s="36">
        <v>0</v>
      </c>
      <c r="AU212" s="36">
        <v>0</v>
      </c>
      <c r="AV212" s="36">
        <v>0</v>
      </c>
      <c r="AW212" s="37">
        <v>6126809.3300000001</v>
      </c>
      <c r="AX212" s="37">
        <v>0</v>
      </c>
      <c r="AY212" s="37"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2" t="s">
        <v>12</v>
      </c>
      <c r="BL212" s="32" t="s">
        <v>13</v>
      </c>
      <c r="BM212" s="33">
        <v>46081.723854166667</v>
      </c>
      <c r="BN212" s="32" t="s">
        <v>28</v>
      </c>
      <c r="BO212" s="32" t="s">
        <v>29</v>
      </c>
      <c r="BP212" s="38">
        <v>-6</v>
      </c>
      <c r="BQ212" s="42"/>
      <c r="BR212" s="39">
        <v>-6</v>
      </c>
      <c r="BS212" s="22" t="s">
        <v>221</v>
      </c>
      <c r="BT212" s="4" t="str">
        <f t="shared" si="13"/>
        <v>120</v>
      </c>
      <c r="BU212" s="4" t="str">
        <f t="shared" si="13"/>
        <v>-6</v>
      </c>
      <c r="BV212" s="4">
        <f t="shared" si="14"/>
        <v>30</v>
      </c>
      <c r="BW212" s="29">
        <f t="shared" si="15"/>
        <v>-36760855.980000004</v>
      </c>
      <c r="BX212" s="4">
        <v>51.49</v>
      </c>
      <c r="BY212" s="29">
        <f t="shared" si="16"/>
        <v>-51857.985600279462</v>
      </c>
    </row>
    <row r="213" spans="1:77" ht="15" hidden="1" customHeight="1" x14ac:dyDescent="0.35">
      <c r="A213" s="32" t="s">
        <v>217</v>
      </c>
      <c r="B213" s="32" t="s">
        <v>727</v>
      </c>
      <c r="C213" s="32" t="s">
        <v>16</v>
      </c>
      <c r="D213" s="32" t="s">
        <v>498</v>
      </c>
      <c r="E213" s="32" t="s">
        <v>271</v>
      </c>
      <c r="F213" s="32" t="s">
        <v>499</v>
      </c>
      <c r="G213" s="33">
        <v>46081</v>
      </c>
      <c r="H213" s="33">
        <v>46081</v>
      </c>
      <c r="I213" s="33">
        <v>46111</v>
      </c>
      <c r="J213" s="32" t="s">
        <v>11</v>
      </c>
      <c r="K213" s="34">
        <v>2884101.12</v>
      </c>
      <c r="L213" s="34">
        <v>2403417.6</v>
      </c>
      <c r="M213" s="34">
        <v>480683.52000000002</v>
      </c>
      <c r="N213" s="34">
        <v>0</v>
      </c>
      <c r="O213" s="34">
        <v>0</v>
      </c>
      <c r="P213" s="34">
        <v>2884101.12</v>
      </c>
      <c r="Q213" s="34">
        <v>2884101.12</v>
      </c>
      <c r="R213" s="34">
        <v>2884101.12</v>
      </c>
      <c r="S213" s="34">
        <v>56581.845005709001</v>
      </c>
      <c r="T213" s="34">
        <v>2884101.12</v>
      </c>
      <c r="U213" s="35">
        <v>2884101.12</v>
      </c>
      <c r="V213" s="35">
        <v>0</v>
      </c>
      <c r="W213" s="35">
        <v>0</v>
      </c>
      <c r="X213" s="35">
        <v>0</v>
      </c>
      <c r="Y213" s="35">
        <v>0</v>
      </c>
      <c r="Z213" s="35">
        <v>0</v>
      </c>
      <c r="AA213" s="35">
        <v>0</v>
      </c>
      <c r="AB213" s="35">
        <v>0</v>
      </c>
      <c r="AC213" s="35">
        <v>0</v>
      </c>
      <c r="AD213" s="35">
        <v>0</v>
      </c>
      <c r="AE213" s="35">
        <v>0</v>
      </c>
      <c r="AF213" s="35">
        <v>0</v>
      </c>
      <c r="AG213" s="35">
        <v>0</v>
      </c>
      <c r="AH213" s="35">
        <v>0</v>
      </c>
      <c r="AI213" s="36">
        <v>56581.845005709001</v>
      </c>
      <c r="AJ213" s="36">
        <v>0</v>
      </c>
      <c r="AK213" s="36">
        <v>0</v>
      </c>
      <c r="AL213" s="36">
        <v>0</v>
      </c>
      <c r="AM213" s="36">
        <v>0</v>
      </c>
      <c r="AN213" s="36">
        <v>0</v>
      </c>
      <c r="AO213" s="36">
        <v>0</v>
      </c>
      <c r="AP213" s="36">
        <v>0</v>
      </c>
      <c r="AQ213" s="36">
        <v>0</v>
      </c>
      <c r="AR213" s="36">
        <v>0</v>
      </c>
      <c r="AS213" s="36">
        <v>0</v>
      </c>
      <c r="AT213" s="36">
        <v>0</v>
      </c>
      <c r="AU213" s="36">
        <v>0</v>
      </c>
      <c r="AV213" s="36">
        <v>0</v>
      </c>
      <c r="AW213" s="37">
        <v>2884101.12</v>
      </c>
      <c r="AX213" s="37">
        <v>0</v>
      </c>
      <c r="AY213" s="37">
        <v>0</v>
      </c>
      <c r="AZ213" s="37">
        <v>0</v>
      </c>
      <c r="BA213" s="37">
        <v>0</v>
      </c>
      <c r="BB213" s="37">
        <v>0</v>
      </c>
      <c r="BC213" s="37">
        <v>0</v>
      </c>
      <c r="BD213" s="37">
        <v>0</v>
      </c>
      <c r="BE213" s="37">
        <v>0</v>
      </c>
      <c r="BF213" s="37">
        <v>0</v>
      </c>
      <c r="BG213" s="37">
        <v>0</v>
      </c>
      <c r="BH213" s="37">
        <v>0</v>
      </c>
      <c r="BI213" s="37">
        <v>0</v>
      </c>
      <c r="BJ213" s="37">
        <v>0</v>
      </c>
      <c r="BK213" s="32" t="s">
        <v>12</v>
      </c>
      <c r="BL213" s="32" t="s">
        <v>13</v>
      </c>
      <c r="BM213" s="33">
        <v>46081.724062499998</v>
      </c>
      <c r="BN213" s="32" t="s">
        <v>28</v>
      </c>
      <c r="BO213" s="32" t="s">
        <v>29</v>
      </c>
      <c r="BP213" s="38">
        <v>-6</v>
      </c>
      <c r="BQ213" s="42"/>
      <c r="BR213" s="39">
        <v>-6</v>
      </c>
      <c r="BS213" s="22" t="s">
        <v>221</v>
      </c>
      <c r="BT213" s="4" t="str">
        <f t="shared" si="13"/>
        <v>120</v>
      </c>
      <c r="BU213" s="4" t="str">
        <f t="shared" si="13"/>
        <v>-6</v>
      </c>
      <c r="BV213" s="4">
        <f t="shared" si="14"/>
        <v>30</v>
      </c>
      <c r="BW213" s="29">
        <f t="shared" si="15"/>
        <v>-17304606.719999999</v>
      </c>
      <c r="BX213" s="4">
        <v>51.49</v>
      </c>
      <c r="BY213" s="29">
        <f t="shared" si="16"/>
        <v>-24411.347945556165</v>
      </c>
    </row>
    <row r="214" spans="1:77" ht="15" hidden="1" customHeight="1" x14ac:dyDescent="0.35">
      <c r="A214" s="32" t="s">
        <v>217</v>
      </c>
      <c r="B214" s="32" t="s">
        <v>728</v>
      </c>
      <c r="C214" s="32" t="s">
        <v>16</v>
      </c>
      <c r="D214" s="32" t="s">
        <v>319</v>
      </c>
      <c r="E214" s="32" t="s">
        <v>320</v>
      </c>
      <c r="F214" s="32" t="s">
        <v>41</v>
      </c>
      <c r="G214" s="33">
        <v>46081</v>
      </c>
      <c r="H214" s="33">
        <v>46081</v>
      </c>
      <c r="I214" s="33">
        <v>46111</v>
      </c>
      <c r="J214" s="32" t="s">
        <v>11</v>
      </c>
      <c r="K214" s="34">
        <v>2783597.27</v>
      </c>
      <c r="L214" s="34">
        <v>2729016.93</v>
      </c>
      <c r="M214" s="34">
        <v>54580.34</v>
      </c>
      <c r="N214" s="34">
        <v>0</v>
      </c>
      <c r="O214" s="34">
        <v>0</v>
      </c>
      <c r="P214" s="34">
        <v>2783597.27</v>
      </c>
      <c r="Q214" s="34">
        <v>2783597.27</v>
      </c>
      <c r="R214" s="34">
        <v>2783597.27</v>
      </c>
      <c r="S214" s="34">
        <v>54610.106489419697</v>
      </c>
      <c r="T214" s="34">
        <v>2783597.27</v>
      </c>
      <c r="U214" s="35">
        <v>2783597.27</v>
      </c>
      <c r="V214" s="35">
        <v>0</v>
      </c>
      <c r="W214" s="35">
        <v>0</v>
      </c>
      <c r="X214" s="35">
        <v>0</v>
      </c>
      <c r="Y214" s="35">
        <v>0</v>
      </c>
      <c r="Z214" s="35">
        <v>0</v>
      </c>
      <c r="AA214" s="35">
        <v>0</v>
      </c>
      <c r="AB214" s="35">
        <v>0</v>
      </c>
      <c r="AC214" s="35">
        <v>0</v>
      </c>
      <c r="AD214" s="35">
        <v>0</v>
      </c>
      <c r="AE214" s="35">
        <v>0</v>
      </c>
      <c r="AF214" s="35">
        <v>0</v>
      </c>
      <c r="AG214" s="35">
        <v>0</v>
      </c>
      <c r="AH214" s="35">
        <v>0</v>
      </c>
      <c r="AI214" s="36">
        <v>54610.106489419697</v>
      </c>
      <c r="AJ214" s="36">
        <v>0</v>
      </c>
      <c r="AK214" s="36">
        <v>0</v>
      </c>
      <c r="AL214" s="36">
        <v>0</v>
      </c>
      <c r="AM214" s="36">
        <v>0</v>
      </c>
      <c r="AN214" s="36">
        <v>0</v>
      </c>
      <c r="AO214" s="36">
        <v>0</v>
      </c>
      <c r="AP214" s="36">
        <v>0</v>
      </c>
      <c r="AQ214" s="36">
        <v>0</v>
      </c>
      <c r="AR214" s="36">
        <v>0</v>
      </c>
      <c r="AS214" s="36">
        <v>0</v>
      </c>
      <c r="AT214" s="36">
        <v>0</v>
      </c>
      <c r="AU214" s="36">
        <v>0</v>
      </c>
      <c r="AV214" s="36">
        <v>0</v>
      </c>
      <c r="AW214" s="37">
        <v>2783597.27</v>
      </c>
      <c r="AX214" s="37">
        <v>0</v>
      </c>
      <c r="AY214" s="37"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2" t="s">
        <v>12</v>
      </c>
      <c r="BL214" s="32" t="s">
        <v>13</v>
      </c>
      <c r="BM214" s="33">
        <v>46081.724270833336</v>
      </c>
      <c r="BN214" s="32" t="s">
        <v>28</v>
      </c>
      <c r="BO214" s="32" t="s">
        <v>29</v>
      </c>
      <c r="BP214" s="38">
        <v>-6</v>
      </c>
      <c r="BQ214" s="42"/>
      <c r="BR214" s="39">
        <v>-6</v>
      </c>
      <c r="BS214" s="22" t="s">
        <v>221</v>
      </c>
      <c r="BT214" s="4" t="str">
        <f t="shared" si="13"/>
        <v>120</v>
      </c>
      <c r="BU214" s="4" t="str">
        <f t="shared" si="13"/>
        <v>-6</v>
      </c>
      <c r="BV214" s="4">
        <f t="shared" si="14"/>
        <v>30</v>
      </c>
      <c r="BW214" s="29">
        <f t="shared" si="15"/>
        <v>-16701583.620000001</v>
      </c>
      <c r="BX214" s="4">
        <v>51.49</v>
      </c>
      <c r="BY214" s="29">
        <f t="shared" si="16"/>
        <v>-23560.672345035618</v>
      </c>
    </row>
    <row r="215" spans="1:77" ht="15" hidden="1" customHeight="1" x14ac:dyDescent="0.35">
      <c r="A215" s="32" t="s">
        <v>217</v>
      </c>
      <c r="B215" s="32" t="s">
        <v>729</v>
      </c>
      <c r="C215" s="32" t="s">
        <v>16</v>
      </c>
      <c r="D215" s="32" t="s">
        <v>346</v>
      </c>
      <c r="E215" s="32" t="s">
        <v>347</v>
      </c>
      <c r="F215" s="32" t="s">
        <v>46</v>
      </c>
      <c r="G215" s="33">
        <v>46081</v>
      </c>
      <c r="H215" s="33">
        <v>46081</v>
      </c>
      <c r="I215" s="33">
        <v>46141</v>
      </c>
      <c r="J215" s="32" t="s">
        <v>11</v>
      </c>
      <c r="K215" s="34">
        <v>1800531.33</v>
      </c>
      <c r="L215" s="34">
        <v>1765226.79</v>
      </c>
      <c r="M215" s="34">
        <v>35304.54</v>
      </c>
      <c r="N215" s="34">
        <v>0</v>
      </c>
      <c r="O215" s="34">
        <v>0</v>
      </c>
      <c r="P215" s="34">
        <v>1800531.33</v>
      </c>
      <c r="Q215" s="34">
        <v>1800531.33</v>
      </c>
      <c r="R215" s="34">
        <v>1800531.33</v>
      </c>
      <c r="S215" s="34">
        <v>35323.790811461899</v>
      </c>
      <c r="T215" s="34">
        <v>1800531.33</v>
      </c>
      <c r="U215" s="35">
        <v>0</v>
      </c>
      <c r="V215" s="35">
        <v>0</v>
      </c>
      <c r="W215" s="35">
        <v>1800531.33</v>
      </c>
      <c r="X215" s="35">
        <v>0</v>
      </c>
      <c r="Y215" s="35">
        <v>0</v>
      </c>
      <c r="Z215" s="35">
        <v>0</v>
      </c>
      <c r="AA215" s="35">
        <v>0</v>
      </c>
      <c r="AB215" s="35">
        <v>0</v>
      </c>
      <c r="AC215" s="35">
        <v>0</v>
      </c>
      <c r="AD215" s="35">
        <v>0</v>
      </c>
      <c r="AE215" s="35">
        <v>0</v>
      </c>
      <c r="AF215" s="35">
        <v>0</v>
      </c>
      <c r="AG215" s="35">
        <v>0</v>
      </c>
      <c r="AH215" s="35">
        <v>0</v>
      </c>
      <c r="AI215" s="36">
        <v>0</v>
      </c>
      <c r="AJ215" s="36">
        <v>0</v>
      </c>
      <c r="AK215" s="36">
        <v>35323.790811461899</v>
      </c>
      <c r="AL215" s="36">
        <v>0</v>
      </c>
      <c r="AM215" s="36">
        <v>0</v>
      </c>
      <c r="AN215" s="36">
        <v>0</v>
      </c>
      <c r="AO215" s="36">
        <v>0</v>
      </c>
      <c r="AP215" s="36">
        <v>0</v>
      </c>
      <c r="AQ215" s="36">
        <v>0</v>
      </c>
      <c r="AR215" s="36">
        <v>0</v>
      </c>
      <c r="AS215" s="36">
        <v>0</v>
      </c>
      <c r="AT215" s="36">
        <v>0</v>
      </c>
      <c r="AU215" s="36">
        <v>0</v>
      </c>
      <c r="AV215" s="36">
        <v>0</v>
      </c>
      <c r="AW215" s="37">
        <v>0</v>
      </c>
      <c r="AX215" s="37">
        <v>0</v>
      </c>
      <c r="AY215" s="37">
        <v>1800531.33</v>
      </c>
      <c r="AZ215" s="37">
        <v>0</v>
      </c>
      <c r="BA215" s="37">
        <v>0</v>
      </c>
      <c r="BB215" s="37">
        <v>0</v>
      </c>
      <c r="BC215" s="37">
        <v>0</v>
      </c>
      <c r="BD215" s="37">
        <v>0</v>
      </c>
      <c r="BE215" s="37">
        <v>0</v>
      </c>
      <c r="BF215" s="37">
        <v>0</v>
      </c>
      <c r="BG215" s="37">
        <v>0</v>
      </c>
      <c r="BH215" s="37">
        <v>0</v>
      </c>
      <c r="BI215" s="37">
        <v>0</v>
      </c>
      <c r="BJ215" s="37">
        <v>0</v>
      </c>
      <c r="BK215" s="32" t="s">
        <v>12</v>
      </c>
      <c r="BL215" s="32" t="s">
        <v>13</v>
      </c>
      <c r="BM215" s="33">
        <v>46081.724687499998</v>
      </c>
      <c r="BN215" s="32" t="s">
        <v>28</v>
      </c>
      <c r="BO215" s="32" t="s">
        <v>29</v>
      </c>
      <c r="BP215" s="38">
        <v>-36</v>
      </c>
      <c r="BQ215" s="42"/>
      <c r="BR215" s="39">
        <v>-36</v>
      </c>
      <c r="BS215" s="22" t="s">
        <v>221</v>
      </c>
      <c r="BT215" s="4" t="str">
        <f t="shared" si="13"/>
        <v>120</v>
      </c>
      <c r="BU215" s="4" t="str">
        <f t="shared" si="13"/>
        <v>-36</v>
      </c>
      <c r="BV215" s="4">
        <f t="shared" si="14"/>
        <v>60</v>
      </c>
      <c r="BW215" s="29">
        <f t="shared" si="15"/>
        <v>-64819127.880000003</v>
      </c>
      <c r="BX215" s="4">
        <v>51.49</v>
      </c>
      <c r="BY215" s="29">
        <f t="shared" si="16"/>
        <v>-91439.366973731507</v>
      </c>
    </row>
    <row r="216" spans="1:77" ht="15" hidden="1" customHeight="1" x14ac:dyDescent="0.35">
      <c r="A216" s="32" t="s">
        <v>217</v>
      </c>
      <c r="B216" s="32" t="s">
        <v>730</v>
      </c>
      <c r="C216" s="32" t="s">
        <v>16</v>
      </c>
      <c r="D216" s="32" t="s">
        <v>348</v>
      </c>
      <c r="E216" s="32" t="s">
        <v>349</v>
      </c>
      <c r="F216" s="32" t="s">
        <v>46</v>
      </c>
      <c r="G216" s="33">
        <v>46081</v>
      </c>
      <c r="H216" s="33">
        <v>46081</v>
      </c>
      <c r="I216" s="33">
        <v>46126</v>
      </c>
      <c r="J216" s="32" t="s">
        <v>11</v>
      </c>
      <c r="K216" s="34">
        <v>130205.04</v>
      </c>
      <c r="L216" s="34">
        <v>127652</v>
      </c>
      <c r="M216" s="34">
        <v>2553.04</v>
      </c>
      <c r="N216" s="34">
        <v>0</v>
      </c>
      <c r="O216" s="34">
        <v>0</v>
      </c>
      <c r="P216" s="34">
        <v>130205.04</v>
      </c>
      <c r="Q216" s="34">
        <v>130205.04</v>
      </c>
      <c r="R216" s="34">
        <v>130205.04</v>
      </c>
      <c r="S216" s="34">
        <v>2554.4324161013301</v>
      </c>
      <c r="T216" s="34">
        <v>130205.04</v>
      </c>
      <c r="U216" s="35">
        <v>0</v>
      </c>
      <c r="V216" s="35">
        <v>130205.04</v>
      </c>
      <c r="W216" s="35">
        <v>0</v>
      </c>
      <c r="X216" s="35">
        <v>0</v>
      </c>
      <c r="Y216" s="35">
        <v>0</v>
      </c>
      <c r="Z216" s="35">
        <v>0</v>
      </c>
      <c r="AA216" s="35">
        <v>0</v>
      </c>
      <c r="AB216" s="35">
        <v>0</v>
      </c>
      <c r="AC216" s="35">
        <v>0</v>
      </c>
      <c r="AD216" s="35">
        <v>0</v>
      </c>
      <c r="AE216" s="35">
        <v>0</v>
      </c>
      <c r="AF216" s="35">
        <v>0</v>
      </c>
      <c r="AG216" s="35">
        <v>0</v>
      </c>
      <c r="AH216" s="35">
        <v>0</v>
      </c>
      <c r="AI216" s="36">
        <v>0</v>
      </c>
      <c r="AJ216" s="36">
        <v>2554.4324161013301</v>
      </c>
      <c r="AK216" s="36">
        <v>0</v>
      </c>
      <c r="AL216" s="36">
        <v>0</v>
      </c>
      <c r="AM216" s="36">
        <v>0</v>
      </c>
      <c r="AN216" s="36">
        <v>0</v>
      </c>
      <c r="AO216" s="36">
        <v>0</v>
      </c>
      <c r="AP216" s="36">
        <v>0</v>
      </c>
      <c r="AQ216" s="36">
        <v>0</v>
      </c>
      <c r="AR216" s="36">
        <v>0</v>
      </c>
      <c r="AS216" s="36">
        <v>0</v>
      </c>
      <c r="AT216" s="36">
        <v>0</v>
      </c>
      <c r="AU216" s="36">
        <v>0</v>
      </c>
      <c r="AV216" s="36">
        <v>0</v>
      </c>
      <c r="AW216" s="37">
        <v>0</v>
      </c>
      <c r="AX216" s="37">
        <v>130205.04</v>
      </c>
      <c r="AY216" s="37"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2" t="s">
        <v>12</v>
      </c>
      <c r="BL216" s="32" t="s">
        <v>13</v>
      </c>
      <c r="BM216" s="33">
        <v>46081.724907407406</v>
      </c>
      <c r="BN216" s="32" t="s">
        <v>28</v>
      </c>
      <c r="BO216" s="32" t="s">
        <v>29</v>
      </c>
      <c r="BP216" s="38">
        <v>-21</v>
      </c>
      <c r="BQ216" s="42"/>
      <c r="BR216" s="39">
        <v>-21</v>
      </c>
      <c r="BS216" s="22" t="s">
        <v>221</v>
      </c>
      <c r="BT216" s="4" t="str">
        <f t="shared" si="13"/>
        <v>120</v>
      </c>
      <c r="BU216" s="4" t="str">
        <f t="shared" si="13"/>
        <v>-21</v>
      </c>
      <c r="BV216" s="4">
        <f t="shared" si="14"/>
        <v>45</v>
      </c>
      <c r="BW216" s="29">
        <f t="shared" si="15"/>
        <v>-2734305.84</v>
      </c>
      <c r="BX216" s="4">
        <v>51.49</v>
      </c>
      <c r="BY216" s="29">
        <f t="shared" si="16"/>
        <v>-3857.2440466191779</v>
      </c>
    </row>
    <row r="217" spans="1:77" ht="15" hidden="1" customHeight="1" x14ac:dyDescent="0.35">
      <c r="A217" s="32" t="s">
        <v>217</v>
      </c>
      <c r="B217" s="32" t="s">
        <v>731</v>
      </c>
      <c r="C217" s="32" t="s">
        <v>16</v>
      </c>
      <c r="D217" s="32" t="s">
        <v>562</v>
      </c>
      <c r="E217" s="32" t="s">
        <v>462</v>
      </c>
      <c r="F217" s="32" t="s">
        <v>46</v>
      </c>
      <c r="G217" s="33">
        <v>46081</v>
      </c>
      <c r="H217" s="33">
        <v>46081</v>
      </c>
      <c r="I217" s="33">
        <v>46096</v>
      </c>
      <c r="J217" s="32" t="s">
        <v>11</v>
      </c>
      <c r="K217" s="34">
        <v>2740176.04</v>
      </c>
      <c r="L217" s="34">
        <v>2686447.1</v>
      </c>
      <c r="M217" s="34">
        <v>53728.94</v>
      </c>
      <c r="N217" s="34">
        <v>0</v>
      </c>
      <c r="O217" s="34">
        <v>0</v>
      </c>
      <c r="P217" s="34">
        <v>2740176.04</v>
      </c>
      <c r="Q217" s="34">
        <v>0</v>
      </c>
      <c r="R217" s="34">
        <v>2740176.04</v>
      </c>
      <c r="S217" s="34">
        <v>53758.245474984396</v>
      </c>
      <c r="T217" s="34">
        <v>2740176.04</v>
      </c>
      <c r="U217" s="35">
        <v>0</v>
      </c>
      <c r="V217" s="35">
        <v>0</v>
      </c>
      <c r="W217" s="35">
        <v>0</v>
      </c>
      <c r="X217" s="35">
        <v>0</v>
      </c>
      <c r="Y217" s="35">
        <v>0</v>
      </c>
      <c r="Z217" s="35">
        <v>0</v>
      </c>
      <c r="AA217" s="35">
        <v>0</v>
      </c>
      <c r="AB217" s="35">
        <v>2740176.04</v>
      </c>
      <c r="AC217" s="35">
        <v>0</v>
      </c>
      <c r="AD217" s="35">
        <v>0</v>
      </c>
      <c r="AE217" s="35">
        <v>0</v>
      </c>
      <c r="AF217" s="35">
        <v>0</v>
      </c>
      <c r="AG217" s="35">
        <v>0</v>
      </c>
      <c r="AH217" s="35">
        <v>0</v>
      </c>
      <c r="AI217" s="36">
        <v>0</v>
      </c>
      <c r="AJ217" s="36">
        <v>0</v>
      </c>
      <c r="AK217" s="36">
        <v>0</v>
      </c>
      <c r="AL217" s="36">
        <v>0</v>
      </c>
      <c r="AM217" s="36">
        <v>0</v>
      </c>
      <c r="AN217" s="36">
        <v>0</v>
      </c>
      <c r="AO217" s="36">
        <v>0</v>
      </c>
      <c r="AP217" s="36">
        <v>53758.245474984396</v>
      </c>
      <c r="AQ217" s="36">
        <v>0</v>
      </c>
      <c r="AR217" s="36">
        <v>0</v>
      </c>
      <c r="AS217" s="36">
        <v>0</v>
      </c>
      <c r="AT217" s="36">
        <v>0</v>
      </c>
      <c r="AU217" s="36">
        <v>0</v>
      </c>
      <c r="AV217" s="36">
        <v>0</v>
      </c>
      <c r="AW217" s="37">
        <v>0</v>
      </c>
      <c r="AX217" s="37">
        <v>0</v>
      </c>
      <c r="AY217" s="37">
        <v>0</v>
      </c>
      <c r="AZ217" s="37">
        <v>0</v>
      </c>
      <c r="BA217" s="37">
        <v>0</v>
      </c>
      <c r="BB217" s="37">
        <v>0</v>
      </c>
      <c r="BC217" s="37">
        <v>0</v>
      </c>
      <c r="BD217" s="37">
        <v>2740176.04</v>
      </c>
      <c r="BE217" s="37">
        <v>0</v>
      </c>
      <c r="BF217" s="37">
        <v>0</v>
      </c>
      <c r="BG217" s="37">
        <v>0</v>
      </c>
      <c r="BH217" s="37">
        <v>0</v>
      </c>
      <c r="BI217" s="37">
        <v>0</v>
      </c>
      <c r="BJ217" s="37">
        <v>0</v>
      </c>
      <c r="BK217" s="32" t="s">
        <v>12</v>
      </c>
      <c r="BL217" s="32" t="s">
        <v>13</v>
      </c>
      <c r="BM217" s="33">
        <v>46081.725115740737</v>
      </c>
      <c r="BN217" s="32" t="s">
        <v>28</v>
      </c>
      <c r="BO217" s="32" t="s">
        <v>29</v>
      </c>
      <c r="BP217" s="38">
        <v>9</v>
      </c>
      <c r="BQ217" s="42"/>
      <c r="BR217" s="39">
        <v>9</v>
      </c>
      <c r="BS217" s="22" t="s">
        <v>220</v>
      </c>
      <c r="BT217" s="4" t="str">
        <f t="shared" si="13"/>
        <v>120</v>
      </c>
      <c r="BU217" s="4" t="str">
        <f t="shared" si="13"/>
        <v>9</v>
      </c>
      <c r="BV217" s="4">
        <f t="shared" si="14"/>
        <v>15</v>
      </c>
      <c r="BW217" s="29">
        <f t="shared" si="15"/>
        <v>24661584.359999999</v>
      </c>
      <c r="BX217" s="4">
        <v>51.49</v>
      </c>
      <c r="BY217" s="29">
        <f t="shared" si="16"/>
        <v>34789.725443736985</v>
      </c>
    </row>
    <row r="218" spans="1:77" ht="15" hidden="1" customHeight="1" x14ac:dyDescent="0.35">
      <c r="A218" s="32" t="s">
        <v>217</v>
      </c>
      <c r="B218" s="32" t="s">
        <v>732</v>
      </c>
      <c r="C218" s="32" t="s">
        <v>7</v>
      </c>
      <c r="D218" s="32" t="s">
        <v>562</v>
      </c>
      <c r="E218" s="32" t="s">
        <v>462</v>
      </c>
      <c r="F218" s="32" t="s">
        <v>46</v>
      </c>
      <c r="G218" s="33">
        <v>46081</v>
      </c>
      <c r="H218" s="33">
        <v>46081</v>
      </c>
      <c r="I218" s="33">
        <v>46096</v>
      </c>
      <c r="J218" s="32" t="s">
        <v>11</v>
      </c>
      <c r="K218" s="34">
        <v>432941.04</v>
      </c>
      <c r="L218" s="34">
        <v>424452</v>
      </c>
      <c r="M218" s="34">
        <v>8489.0400000000009</v>
      </c>
      <c r="N218" s="34">
        <v>0</v>
      </c>
      <c r="O218" s="34">
        <v>0</v>
      </c>
      <c r="P218" s="34">
        <v>432941.04</v>
      </c>
      <c r="Q218" s="34">
        <v>0</v>
      </c>
      <c r="R218" s="34">
        <v>432941.04</v>
      </c>
      <c r="S218" s="34">
        <v>8493.6698827988603</v>
      </c>
      <c r="T218" s="34">
        <v>432941.04</v>
      </c>
      <c r="U218" s="35">
        <v>0</v>
      </c>
      <c r="V218" s="35">
        <v>0</v>
      </c>
      <c r="W218" s="35">
        <v>0</v>
      </c>
      <c r="X218" s="35">
        <v>0</v>
      </c>
      <c r="Y218" s="35">
        <v>0</v>
      </c>
      <c r="Z218" s="35">
        <v>0</v>
      </c>
      <c r="AA218" s="35">
        <v>0</v>
      </c>
      <c r="AB218" s="35">
        <v>432941.04</v>
      </c>
      <c r="AC218" s="35">
        <v>0</v>
      </c>
      <c r="AD218" s="35">
        <v>0</v>
      </c>
      <c r="AE218" s="35">
        <v>0</v>
      </c>
      <c r="AF218" s="35">
        <v>0</v>
      </c>
      <c r="AG218" s="35">
        <v>0</v>
      </c>
      <c r="AH218" s="35">
        <v>0</v>
      </c>
      <c r="AI218" s="36">
        <v>0</v>
      </c>
      <c r="AJ218" s="36">
        <v>0</v>
      </c>
      <c r="AK218" s="36">
        <v>0</v>
      </c>
      <c r="AL218" s="36">
        <v>0</v>
      </c>
      <c r="AM218" s="36">
        <v>0</v>
      </c>
      <c r="AN218" s="36">
        <v>0</v>
      </c>
      <c r="AO218" s="36">
        <v>0</v>
      </c>
      <c r="AP218" s="36">
        <v>8493.6698827988603</v>
      </c>
      <c r="AQ218" s="36">
        <v>0</v>
      </c>
      <c r="AR218" s="36">
        <v>0</v>
      </c>
      <c r="AS218" s="36">
        <v>0</v>
      </c>
      <c r="AT218" s="36">
        <v>0</v>
      </c>
      <c r="AU218" s="36">
        <v>0</v>
      </c>
      <c r="AV218" s="36">
        <v>0</v>
      </c>
      <c r="AW218" s="37">
        <v>0</v>
      </c>
      <c r="AX218" s="37">
        <v>0</v>
      </c>
      <c r="AY218" s="37"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432941.04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2" t="s">
        <v>12</v>
      </c>
      <c r="BL218" s="32" t="s">
        <v>13</v>
      </c>
      <c r="BM218" s="33">
        <v>46081.725324074076</v>
      </c>
      <c r="BN218" s="32" t="s">
        <v>28</v>
      </c>
      <c r="BO218" s="32" t="s">
        <v>29</v>
      </c>
      <c r="BP218" s="38">
        <v>9</v>
      </c>
      <c r="BQ218" s="42"/>
      <c r="BR218" s="39">
        <v>9</v>
      </c>
      <c r="BS218" s="22" t="s">
        <v>220</v>
      </c>
      <c r="BT218" s="4" t="str">
        <f t="shared" si="13"/>
        <v>120</v>
      </c>
      <c r="BU218" s="4" t="str">
        <f t="shared" si="13"/>
        <v>9</v>
      </c>
      <c r="BV218" s="4">
        <f t="shared" si="14"/>
        <v>15</v>
      </c>
      <c r="BW218" s="29">
        <f t="shared" si="15"/>
        <v>3896469.36</v>
      </c>
      <c r="BX218" s="4">
        <v>51.49</v>
      </c>
      <c r="BY218" s="29">
        <f t="shared" si="16"/>
        <v>5496.690612230137</v>
      </c>
    </row>
    <row r="219" spans="1:77" ht="15" hidden="1" customHeight="1" x14ac:dyDescent="0.35">
      <c r="A219" s="32" t="s">
        <v>217</v>
      </c>
      <c r="B219" s="32" t="s">
        <v>733</v>
      </c>
      <c r="C219" s="32" t="s">
        <v>7</v>
      </c>
      <c r="D219" s="32" t="s">
        <v>101</v>
      </c>
      <c r="E219" s="32" t="s">
        <v>102</v>
      </c>
      <c r="F219" s="32" t="s">
        <v>46</v>
      </c>
      <c r="G219" s="33">
        <v>46081</v>
      </c>
      <c r="H219" s="33">
        <v>46081</v>
      </c>
      <c r="I219" s="33">
        <v>46111</v>
      </c>
      <c r="J219" s="32" t="s">
        <v>11</v>
      </c>
      <c r="K219" s="34">
        <v>12655785.82</v>
      </c>
      <c r="L219" s="34">
        <v>12407633.16</v>
      </c>
      <c r="M219" s="34">
        <v>248152.66</v>
      </c>
      <c r="N219" s="34">
        <v>0</v>
      </c>
      <c r="O219" s="34">
        <v>0</v>
      </c>
      <c r="P219" s="34">
        <v>12655785.82</v>
      </c>
      <c r="Q219" s="34">
        <v>12655785.82</v>
      </c>
      <c r="R219" s="34">
        <v>12655785.82</v>
      </c>
      <c r="S219" s="34">
        <v>248288.00444163699</v>
      </c>
      <c r="T219" s="34">
        <v>12655785.82</v>
      </c>
      <c r="U219" s="35">
        <v>12655785.82</v>
      </c>
      <c r="V219" s="35">
        <v>0</v>
      </c>
      <c r="W219" s="35">
        <v>0</v>
      </c>
      <c r="X219" s="35">
        <v>0</v>
      </c>
      <c r="Y219" s="35">
        <v>0</v>
      </c>
      <c r="Z219" s="35">
        <v>0</v>
      </c>
      <c r="AA219" s="35">
        <v>0</v>
      </c>
      <c r="AB219" s="35">
        <v>0</v>
      </c>
      <c r="AC219" s="35">
        <v>0</v>
      </c>
      <c r="AD219" s="35">
        <v>0</v>
      </c>
      <c r="AE219" s="35">
        <v>0</v>
      </c>
      <c r="AF219" s="35">
        <v>0</v>
      </c>
      <c r="AG219" s="35">
        <v>0</v>
      </c>
      <c r="AH219" s="35">
        <v>0</v>
      </c>
      <c r="AI219" s="36">
        <v>248288.00444163699</v>
      </c>
      <c r="AJ219" s="36">
        <v>0</v>
      </c>
      <c r="AK219" s="36">
        <v>0</v>
      </c>
      <c r="AL219" s="36">
        <v>0</v>
      </c>
      <c r="AM219" s="36">
        <v>0</v>
      </c>
      <c r="AN219" s="36">
        <v>0</v>
      </c>
      <c r="AO219" s="36">
        <v>0</v>
      </c>
      <c r="AP219" s="36">
        <v>0</v>
      </c>
      <c r="AQ219" s="36">
        <v>0</v>
      </c>
      <c r="AR219" s="36">
        <v>0</v>
      </c>
      <c r="AS219" s="36">
        <v>0</v>
      </c>
      <c r="AT219" s="36">
        <v>0</v>
      </c>
      <c r="AU219" s="36">
        <v>0</v>
      </c>
      <c r="AV219" s="36">
        <v>0</v>
      </c>
      <c r="AW219" s="37">
        <v>12655785.82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  <c r="BH219" s="37">
        <v>0</v>
      </c>
      <c r="BI219" s="37">
        <v>0</v>
      </c>
      <c r="BJ219" s="37">
        <v>0</v>
      </c>
      <c r="BK219" s="32" t="s">
        <v>12</v>
      </c>
      <c r="BL219" s="32" t="s">
        <v>13</v>
      </c>
      <c r="BM219" s="33">
        <v>46081.725740740738</v>
      </c>
      <c r="BN219" s="32" t="s">
        <v>103</v>
      </c>
      <c r="BO219" s="32" t="s">
        <v>29</v>
      </c>
      <c r="BP219" s="38">
        <v>-6</v>
      </c>
      <c r="BQ219" s="42"/>
      <c r="BR219" s="39">
        <v>-6</v>
      </c>
      <c r="BS219" s="22" t="s">
        <v>221</v>
      </c>
      <c r="BT219" s="4" t="str">
        <f t="shared" si="13"/>
        <v>120</v>
      </c>
      <c r="BU219" s="4" t="str">
        <f t="shared" si="13"/>
        <v>-6</v>
      </c>
      <c r="BV219" s="4">
        <f t="shared" si="14"/>
        <v>30</v>
      </c>
      <c r="BW219" s="29">
        <f t="shared" si="15"/>
        <v>-75934714.920000002</v>
      </c>
      <c r="BX219" s="4">
        <v>51.49</v>
      </c>
      <c r="BY219" s="29">
        <f t="shared" si="16"/>
        <v>-107119.95811591233</v>
      </c>
    </row>
    <row r="220" spans="1:77" ht="15" hidden="1" customHeight="1" x14ac:dyDescent="0.35">
      <c r="A220" s="32" t="s">
        <v>217</v>
      </c>
      <c r="B220" s="32" t="s">
        <v>734</v>
      </c>
      <c r="C220" s="32" t="s">
        <v>7</v>
      </c>
      <c r="D220" s="32" t="s">
        <v>101</v>
      </c>
      <c r="E220" s="32" t="s">
        <v>102</v>
      </c>
      <c r="F220" s="32" t="s">
        <v>46</v>
      </c>
      <c r="G220" s="33">
        <v>46081</v>
      </c>
      <c r="H220" s="33">
        <v>46081</v>
      </c>
      <c r="I220" s="33">
        <v>46111</v>
      </c>
      <c r="J220" s="32" t="s">
        <v>11</v>
      </c>
      <c r="K220" s="34">
        <v>418756.88</v>
      </c>
      <c r="L220" s="34">
        <v>410545.96</v>
      </c>
      <c r="M220" s="34">
        <v>8210.92</v>
      </c>
      <c r="N220" s="34">
        <v>0</v>
      </c>
      <c r="O220" s="34">
        <v>0</v>
      </c>
      <c r="P220" s="34">
        <v>418756.88</v>
      </c>
      <c r="Q220" s="34">
        <v>418756.88</v>
      </c>
      <c r="R220" s="34">
        <v>418756.88</v>
      </c>
      <c r="S220" s="34">
        <v>8215.3974127073197</v>
      </c>
      <c r="T220" s="34">
        <v>418756.88</v>
      </c>
      <c r="U220" s="35">
        <v>418756.88</v>
      </c>
      <c r="V220" s="35">
        <v>0</v>
      </c>
      <c r="W220" s="35">
        <v>0</v>
      </c>
      <c r="X220" s="35">
        <v>0</v>
      </c>
      <c r="Y220" s="35">
        <v>0</v>
      </c>
      <c r="Z220" s="35">
        <v>0</v>
      </c>
      <c r="AA220" s="35">
        <v>0</v>
      </c>
      <c r="AB220" s="35">
        <v>0</v>
      </c>
      <c r="AC220" s="35">
        <v>0</v>
      </c>
      <c r="AD220" s="35">
        <v>0</v>
      </c>
      <c r="AE220" s="35">
        <v>0</v>
      </c>
      <c r="AF220" s="35">
        <v>0</v>
      </c>
      <c r="AG220" s="35">
        <v>0</v>
      </c>
      <c r="AH220" s="35">
        <v>0</v>
      </c>
      <c r="AI220" s="36">
        <v>8215.3974127073197</v>
      </c>
      <c r="AJ220" s="36">
        <v>0</v>
      </c>
      <c r="AK220" s="36">
        <v>0</v>
      </c>
      <c r="AL220" s="36">
        <v>0</v>
      </c>
      <c r="AM220" s="36">
        <v>0</v>
      </c>
      <c r="AN220" s="36">
        <v>0</v>
      </c>
      <c r="AO220" s="36">
        <v>0</v>
      </c>
      <c r="AP220" s="36">
        <v>0</v>
      </c>
      <c r="AQ220" s="36">
        <v>0</v>
      </c>
      <c r="AR220" s="36">
        <v>0</v>
      </c>
      <c r="AS220" s="36">
        <v>0</v>
      </c>
      <c r="AT220" s="36">
        <v>0</v>
      </c>
      <c r="AU220" s="36">
        <v>0</v>
      </c>
      <c r="AV220" s="36">
        <v>0</v>
      </c>
      <c r="AW220" s="37">
        <v>418756.88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2" t="s">
        <v>12</v>
      </c>
      <c r="BL220" s="32" t="s">
        <v>13</v>
      </c>
      <c r="BM220" s="33">
        <v>46081.725949074076</v>
      </c>
      <c r="BN220" s="32" t="s">
        <v>103</v>
      </c>
      <c r="BO220" s="32" t="s">
        <v>29</v>
      </c>
      <c r="BP220" s="38">
        <v>-6</v>
      </c>
      <c r="BQ220" s="42"/>
      <c r="BR220" s="39">
        <v>-6</v>
      </c>
      <c r="BS220" s="22" t="s">
        <v>221</v>
      </c>
      <c r="BT220" s="4" t="str">
        <f t="shared" si="13"/>
        <v>120</v>
      </c>
      <c r="BU220" s="4" t="str">
        <f t="shared" si="13"/>
        <v>-6</v>
      </c>
      <c r="BV220" s="4">
        <f t="shared" si="14"/>
        <v>30</v>
      </c>
      <c r="BW220" s="29">
        <f t="shared" si="15"/>
        <v>-2512541.2800000003</v>
      </c>
      <c r="BX220" s="4">
        <v>51.49</v>
      </c>
      <c r="BY220" s="29">
        <f t="shared" si="16"/>
        <v>-3544.4041234849319</v>
      </c>
    </row>
    <row r="221" spans="1:77" ht="15" hidden="1" customHeight="1" x14ac:dyDescent="0.35">
      <c r="A221" s="32" t="s">
        <v>217</v>
      </c>
      <c r="B221" s="32" t="s">
        <v>735</v>
      </c>
      <c r="C221" s="32" t="s">
        <v>7</v>
      </c>
      <c r="D221" s="32" t="s">
        <v>101</v>
      </c>
      <c r="E221" s="32" t="s">
        <v>102</v>
      </c>
      <c r="F221" s="32" t="s">
        <v>46</v>
      </c>
      <c r="G221" s="33">
        <v>46081</v>
      </c>
      <c r="H221" s="33">
        <v>46081</v>
      </c>
      <c r="I221" s="33">
        <v>46111</v>
      </c>
      <c r="J221" s="32" t="s">
        <v>11</v>
      </c>
      <c r="K221" s="34">
        <v>316559.48</v>
      </c>
      <c r="L221" s="34">
        <v>310352.43</v>
      </c>
      <c r="M221" s="34">
        <v>6207.05</v>
      </c>
      <c r="N221" s="34">
        <v>0</v>
      </c>
      <c r="O221" s="34">
        <v>0</v>
      </c>
      <c r="P221" s="34">
        <v>316559.48</v>
      </c>
      <c r="Q221" s="34">
        <v>316559.48</v>
      </c>
      <c r="R221" s="34">
        <v>316559.48</v>
      </c>
      <c r="S221" s="34">
        <v>6210.4339228049803</v>
      </c>
      <c r="T221" s="34">
        <v>316559.48</v>
      </c>
      <c r="U221" s="35">
        <v>316559.48</v>
      </c>
      <c r="V221" s="35">
        <v>0</v>
      </c>
      <c r="W221" s="35">
        <v>0</v>
      </c>
      <c r="X221" s="35">
        <v>0</v>
      </c>
      <c r="Y221" s="35">
        <v>0</v>
      </c>
      <c r="Z221" s="35">
        <v>0</v>
      </c>
      <c r="AA221" s="35">
        <v>0</v>
      </c>
      <c r="AB221" s="35">
        <v>0</v>
      </c>
      <c r="AC221" s="35">
        <v>0</v>
      </c>
      <c r="AD221" s="35">
        <v>0</v>
      </c>
      <c r="AE221" s="35">
        <v>0</v>
      </c>
      <c r="AF221" s="35">
        <v>0</v>
      </c>
      <c r="AG221" s="35">
        <v>0</v>
      </c>
      <c r="AH221" s="35">
        <v>0</v>
      </c>
      <c r="AI221" s="36">
        <v>6210.4339228049803</v>
      </c>
      <c r="AJ221" s="36">
        <v>0</v>
      </c>
      <c r="AK221" s="36">
        <v>0</v>
      </c>
      <c r="AL221" s="36">
        <v>0</v>
      </c>
      <c r="AM221" s="36">
        <v>0</v>
      </c>
      <c r="AN221" s="36">
        <v>0</v>
      </c>
      <c r="AO221" s="36">
        <v>0</v>
      </c>
      <c r="AP221" s="36">
        <v>0</v>
      </c>
      <c r="AQ221" s="36">
        <v>0</v>
      </c>
      <c r="AR221" s="36">
        <v>0</v>
      </c>
      <c r="AS221" s="36">
        <v>0</v>
      </c>
      <c r="AT221" s="36">
        <v>0</v>
      </c>
      <c r="AU221" s="36">
        <v>0</v>
      </c>
      <c r="AV221" s="36">
        <v>0</v>
      </c>
      <c r="AW221" s="37">
        <v>316559.48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  <c r="BH221" s="37">
        <v>0</v>
      </c>
      <c r="BI221" s="37">
        <v>0</v>
      </c>
      <c r="BJ221" s="37">
        <v>0</v>
      </c>
      <c r="BK221" s="32" t="s">
        <v>12</v>
      </c>
      <c r="BL221" s="32" t="s">
        <v>13</v>
      </c>
      <c r="BM221" s="33">
        <v>46081.726168981484</v>
      </c>
      <c r="BN221" s="32" t="s">
        <v>103</v>
      </c>
      <c r="BO221" s="32" t="s">
        <v>29</v>
      </c>
      <c r="BP221" s="38">
        <v>-6</v>
      </c>
      <c r="BQ221" s="42"/>
      <c r="BR221" s="39">
        <v>-6</v>
      </c>
      <c r="BS221" s="22" t="s">
        <v>221</v>
      </c>
      <c r="BT221" s="4" t="str">
        <f t="shared" si="13"/>
        <v>120</v>
      </c>
      <c r="BU221" s="4" t="str">
        <f t="shared" si="13"/>
        <v>-6</v>
      </c>
      <c r="BV221" s="4">
        <f t="shared" si="14"/>
        <v>30</v>
      </c>
      <c r="BW221" s="29">
        <f t="shared" si="15"/>
        <v>-1899356.88</v>
      </c>
      <c r="BX221" s="4">
        <v>51.49</v>
      </c>
      <c r="BY221" s="29">
        <f t="shared" si="16"/>
        <v>-2679.3941301698633</v>
      </c>
    </row>
    <row r="222" spans="1:77" ht="15" hidden="1" customHeight="1" x14ac:dyDescent="0.35">
      <c r="A222" s="32" t="s">
        <v>217</v>
      </c>
      <c r="B222" s="32" t="s">
        <v>736</v>
      </c>
      <c r="C222" s="32" t="s">
        <v>16</v>
      </c>
      <c r="D222" s="32" t="s">
        <v>715</v>
      </c>
      <c r="E222" s="32" t="s">
        <v>268</v>
      </c>
      <c r="F222" s="32" t="s">
        <v>716</v>
      </c>
      <c r="G222" s="33">
        <v>46081</v>
      </c>
      <c r="H222" s="33">
        <v>46081</v>
      </c>
      <c r="I222" s="33">
        <v>46096</v>
      </c>
      <c r="J222" s="32" t="s">
        <v>11</v>
      </c>
      <c r="K222" s="34">
        <v>192057.98</v>
      </c>
      <c r="L222" s="34">
        <v>188292.14</v>
      </c>
      <c r="M222" s="34">
        <v>3765.84</v>
      </c>
      <c r="N222" s="34">
        <v>0</v>
      </c>
      <c r="O222" s="34">
        <v>0</v>
      </c>
      <c r="P222" s="34">
        <v>192057.98</v>
      </c>
      <c r="Q222" s="34">
        <v>0</v>
      </c>
      <c r="R222" s="34">
        <v>192057.98</v>
      </c>
      <c r="S222" s="34">
        <v>3767.8966181565602</v>
      </c>
      <c r="T222" s="34">
        <v>192057.98</v>
      </c>
      <c r="U222" s="35">
        <v>0</v>
      </c>
      <c r="V222" s="35">
        <v>0</v>
      </c>
      <c r="W222" s="35">
        <v>0</v>
      </c>
      <c r="X222" s="35">
        <v>0</v>
      </c>
      <c r="Y222" s="35">
        <v>0</v>
      </c>
      <c r="Z222" s="35">
        <v>0</v>
      </c>
      <c r="AA222" s="35">
        <v>0</v>
      </c>
      <c r="AB222" s="35">
        <v>192057.98</v>
      </c>
      <c r="AC222" s="35">
        <v>0</v>
      </c>
      <c r="AD222" s="35">
        <v>0</v>
      </c>
      <c r="AE222" s="35">
        <v>0</v>
      </c>
      <c r="AF222" s="35">
        <v>0</v>
      </c>
      <c r="AG222" s="35">
        <v>0</v>
      </c>
      <c r="AH222" s="35">
        <v>0</v>
      </c>
      <c r="AI222" s="36">
        <v>0</v>
      </c>
      <c r="AJ222" s="36">
        <v>0</v>
      </c>
      <c r="AK222" s="36">
        <v>0</v>
      </c>
      <c r="AL222" s="36">
        <v>0</v>
      </c>
      <c r="AM222" s="36">
        <v>0</v>
      </c>
      <c r="AN222" s="36">
        <v>0</v>
      </c>
      <c r="AO222" s="36">
        <v>0</v>
      </c>
      <c r="AP222" s="36">
        <v>3767.8966181565602</v>
      </c>
      <c r="AQ222" s="36">
        <v>0</v>
      </c>
      <c r="AR222" s="36">
        <v>0</v>
      </c>
      <c r="AS222" s="36">
        <v>0</v>
      </c>
      <c r="AT222" s="36">
        <v>0</v>
      </c>
      <c r="AU222" s="36">
        <v>0</v>
      </c>
      <c r="AV222" s="36">
        <v>0</v>
      </c>
      <c r="AW222" s="37">
        <v>0</v>
      </c>
      <c r="AX222" s="37">
        <v>0</v>
      </c>
      <c r="AY222" s="37"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192057.98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2" t="s">
        <v>12</v>
      </c>
      <c r="BL222" s="32" t="s">
        <v>13</v>
      </c>
      <c r="BM222" s="33">
        <v>46082.787094907406</v>
      </c>
      <c r="BN222" s="32" t="s">
        <v>28</v>
      </c>
      <c r="BO222" s="32" t="s">
        <v>29</v>
      </c>
      <c r="BP222" s="38">
        <v>9</v>
      </c>
      <c r="BQ222" s="42"/>
      <c r="BR222" s="39">
        <v>9</v>
      </c>
      <c r="BS222" s="22" t="s">
        <v>220</v>
      </c>
      <c r="BT222" s="4" t="str">
        <f t="shared" si="13"/>
        <v>120</v>
      </c>
      <c r="BU222" s="4" t="str">
        <f t="shared" si="13"/>
        <v>9</v>
      </c>
      <c r="BV222" s="4">
        <f t="shared" si="14"/>
        <v>15</v>
      </c>
      <c r="BW222" s="29">
        <f t="shared" si="15"/>
        <v>1728521.82</v>
      </c>
      <c r="BX222" s="4">
        <v>51.49</v>
      </c>
      <c r="BY222" s="29">
        <f t="shared" si="16"/>
        <v>2438.3996852547948</v>
      </c>
    </row>
    <row r="223" spans="1:77" ht="15" hidden="1" customHeight="1" x14ac:dyDescent="0.35">
      <c r="A223" s="32" t="s">
        <v>217</v>
      </c>
      <c r="B223" s="32" t="s">
        <v>737</v>
      </c>
      <c r="C223" s="32" t="s">
        <v>38</v>
      </c>
      <c r="D223" s="32" t="s">
        <v>94</v>
      </c>
      <c r="E223" s="32" t="s">
        <v>95</v>
      </c>
      <c r="F223" s="32" t="s">
        <v>46</v>
      </c>
      <c r="G223" s="33">
        <v>46081</v>
      </c>
      <c r="H223" s="33">
        <v>46081</v>
      </c>
      <c r="I223" s="33">
        <v>46111</v>
      </c>
      <c r="J223" s="32" t="s">
        <v>11</v>
      </c>
      <c r="K223" s="34">
        <v>35000</v>
      </c>
      <c r="L223" s="34">
        <v>35000</v>
      </c>
      <c r="M223" s="34">
        <v>0</v>
      </c>
      <c r="N223" s="34">
        <v>0</v>
      </c>
      <c r="O223" s="34">
        <v>0</v>
      </c>
      <c r="P223" s="34">
        <v>35000</v>
      </c>
      <c r="Q223" s="34">
        <v>35000</v>
      </c>
      <c r="R223" s="34">
        <v>35000</v>
      </c>
      <c r="S223" s="34">
        <v>686.64880071882305</v>
      </c>
      <c r="T223" s="34">
        <v>35000</v>
      </c>
      <c r="U223" s="35">
        <v>35000</v>
      </c>
      <c r="V223" s="35">
        <v>0</v>
      </c>
      <c r="W223" s="35">
        <v>0</v>
      </c>
      <c r="X223" s="35">
        <v>0</v>
      </c>
      <c r="Y223" s="35">
        <v>0</v>
      </c>
      <c r="Z223" s="35">
        <v>0</v>
      </c>
      <c r="AA223" s="35">
        <v>0</v>
      </c>
      <c r="AB223" s="35">
        <v>0</v>
      </c>
      <c r="AC223" s="35">
        <v>0</v>
      </c>
      <c r="AD223" s="35">
        <v>0</v>
      </c>
      <c r="AE223" s="35">
        <v>0</v>
      </c>
      <c r="AF223" s="35">
        <v>0</v>
      </c>
      <c r="AG223" s="35">
        <v>0</v>
      </c>
      <c r="AH223" s="35">
        <v>0</v>
      </c>
      <c r="AI223" s="36">
        <v>686.64880071882305</v>
      </c>
      <c r="AJ223" s="36">
        <v>0</v>
      </c>
      <c r="AK223" s="36">
        <v>0</v>
      </c>
      <c r="AL223" s="36">
        <v>0</v>
      </c>
      <c r="AM223" s="36">
        <v>0</v>
      </c>
      <c r="AN223" s="36">
        <v>0</v>
      </c>
      <c r="AO223" s="36">
        <v>0</v>
      </c>
      <c r="AP223" s="36">
        <v>0</v>
      </c>
      <c r="AQ223" s="36">
        <v>0</v>
      </c>
      <c r="AR223" s="36">
        <v>0</v>
      </c>
      <c r="AS223" s="36">
        <v>0</v>
      </c>
      <c r="AT223" s="36">
        <v>0</v>
      </c>
      <c r="AU223" s="36">
        <v>0</v>
      </c>
      <c r="AV223" s="36">
        <v>0</v>
      </c>
      <c r="AW223" s="37">
        <v>35000</v>
      </c>
      <c r="AX223" s="37">
        <v>0</v>
      </c>
      <c r="AY223" s="37">
        <v>0</v>
      </c>
      <c r="AZ223" s="37">
        <v>0</v>
      </c>
      <c r="BA223" s="37">
        <v>0</v>
      </c>
      <c r="BB223" s="37">
        <v>0</v>
      </c>
      <c r="BC223" s="37">
        <v>0</v>
      </c>
      <c r="BD223" s="37">
        <v>0</v>
      </c>
      <c r="BE223" s="37">
        <v>0</v>
      </c>
      <c r="BF223" s="37">
        <v>0</v>
      </c>
      <c r="BG223" s="37">
        <v>0</v>
      </c>
      <c r="BH223" s="37">
        <v>0</v>
      </c>
      <c r="BI223" s="37">
        <v>0</v>
      </c>
      <c r="BJ223" s="37">
        <v>0</v>
      </c>
      <c r="BK223" s="32" t="s">
        <v>12</v>
      </c>
      <c r="BL223" s="32" t="s">
        <v>13</v>
      </c>
      <c r="BM223" s="33">
        <v>46083.367986111109</v>
      </c>
      <c r="BN223" s="32" t="s">
        <v>28</v>
      </c>
      <c r="BO223" s="32" t="s">
        <v>29</v>
      </c>
      <c r="BP223" s="38">
        <v>-6</v>
      </c>
      <c r="BQ223" s="42"/>
      <c r="BR223" s="39">
        <v>-6</v>
      </c>
      <c r="BS223" s="22" t="s">
        <v>221</v>
      </c>
      <c r="BT223" s="4" t="str">
        <f t="shared" si="13"/>
        <v>120</v>
      </c>
      <c r="BU223" s="4" t="str">
        <f t="shared" si="13"/>
        <v>-6</v>
      </c>
      <c r="BV223" s="4">
        <f t="shared" si="14"/>
        <v>30</v>
      </c>
      <c r="BW223" s="29">
        <f t="shared" si="15"/>
        <v>-210000</v>
      </c>
      <c r="BX223" s="4">
        <v>51.49</v>
      </c>
      <c r="BY223" s="29">
        <f t="shared" si="16"/>
        <v>-296.24383561643833</v>
      </c>
    </row>
    <row r="224" spans="1:77" ht="15" hidden="1" customHeight="1" x14ac:dyDescent="0.35">
      <c r="A224" s="32" t="s">
        <v>217</v>
      </c>
      <c r="B224" s="32" t="s">
        <v>738</v>
      </c>
      <c r="C224" s="32" t="s">
        <v>42</v>
      </c>
      <c r="D224" s="32" t="s">
        <v>94</v>
      </c>
      <c r="E224" s="32" t="s">
        <v>95</v>
      </c>
      <c r="F224" s="32" t="s">
        <v>46</v>
      </c>
      <c r="G224" s="33">
        <v>46081</v>
      </c>
      <c r="H224" s="33">
        <v>46081</v>
      </c>
      <c r="I224" s="33">
        <v>46111</v>
      </c>
      <c r="J224" s="32" t="s">
        <v>11</v>
      </c>
      <c r="K224" s="34">
        <v>415800</v>
      </c>
      <c r="L224" s="34">
        <v>415800</v>
      </c>
      <c r="M224" s="34">
        <v>0</v>
      </c>
      <c r="N224" s="34">
        <v>0</v>
      </c>
      <c r="O224" s="34">
        <v>0</v>
      </c>
      <c r="P224" s="34">
        <v>415800</v>
      </c>
      <c r="Q224" s="34">
        <v>415800</v>
      </c>
      <c r="R224" s="34">
        <v>415800</v>
      </c>
      <c r="S224" s="34">
        <v>8157.3877525396201</v>
      </c>
      <c r="T224" s="34">
        <v>415800</v>
      </c>
      <c r="U224" s="35">
        <v>415800</v>
      </c>
      <c r="V224" s="35">
        <v>0</v>
      </c>
      <c r="W224" s="35">
        <v>0</v>
      </c>
      <c r="X224" s="35">
        <v>0</v>
      </c>
      <c r="Y224" s="35">
        <v>0</v>
      </c>
      <c r="Z224" s="35">
        <v>0</v>
      </c>
      <c r="AA224" s="35">
        <v>0</v>
      </c>
      <c r="AB224" s="35">
        <v>0</v>
      </c>
      <c r="AC224" s="35">
        <v>0</v>
      </c>
      <c r="AD224" s="35">
        <v>0</v>
      </c>
      <c r="AE224" s="35">
        <v>0</v>
      </c>
      <c r="AF224" s="35">
        <v>0</v>
      </c>
      <c r="AG224" s="35">
        <v>0</v>
      </c>
      <c r="AH224" s="35">
        <v>0</v>
      </c>
      <c r="AI224" s="36">
        <v>8157.3877525396201</v>
      </c>
      <c r="AJ224" s="36">
        <v>0</v>
      </c>
      <c r="AK224" s="36">
        <v>0</v>
      </c>
      <c r="AL224" s="36">
        <v>0</v>
      </c>
      <c r="AM224" s="36">
        <v>0</v>
      </c>
      <c r="AN224" s="36">
        <v>0</v>
      </c>
      <c r="AO224" s="36">
        <v>0</v>
      </c>
      <c r="AP224" s="36">
        <v>0</v>
      </c>
      <c r="AQ224" s="36">
        <v>0</v>
      </c>
      <c r="AR224" s="36">
        <v>0</v>
      </c>
      <c r="AS224" s="36">
        <v>0</v>
      </c>
      <c r="AT224" s="36">
        <v>0</v>
      </c>
      <c r="AU224" s="36">
        <v>0</v>
      </c>
      <c r="AV224" s="36">
        <v>0</v>
      </c>
      <c r="AW224" s="37">
        <v>415800</v>
      </c>
      <c r="AX224" s="37">
        <v>0</v>
      </c>
      <c r="AY224" s="37"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2" t="s">
        <v>12</v>
      </c>
      <c r="BL224" s="32" t="s">
        <v>13</v>
      </c>
      <c r="BM224" s="33">
        <v>46083.369201388887</v>
      </c>
      <c r="BN224" s="32" t="s">
        <v>28</v>
      </c>
      <c r="BO224" s="32" t="s">
        <v>29</v>
      </c>
      <c r="BP224" s="38">
        <v>-6</v>
      </c>
      <c r="BQ224" s="42"/>
      <c r="BR224" s="39">
        <v>-6</v>
      </c>
      <c r="BS224" s="4" t="s">
        <v>221</v>
      </c>
      <c r="BT224" s="4" t="str">
        <f t="shared" si="13"/>
        <v>120</v>
      </c>
      <c r="BU224" s="4" t="str">
        <f t="shared" si="13"/>
        <v>-6</v>
      </c>
      <c r="BV224" s="4">
        <f t="shared" si="14"/>
        <v>30</v>
      </c>
      <c r="BW224" s="29">
        <f t="shared" si="15"/>
        <v>-2494800</v>
      </c>
      <c r="BX224" s="4">
        <v>51.49</v>
      </c>
      <c r="BY224" s="29">
        <f t="shared" si="16"/>
        <v>-3519.3767671232877</v>
      </c>
    </row>
    <row r="225" spans="1:77" ht="15" hidden="1" customHeight="1" x14ac:dyDescent="0.35">
      <c r="A225" s="32" t="s">
        <v>217</v>
      </c>
      <c r="B225" s="32" t="s">
        <v>739</v>
      </c>
      <c r="C225" s="32" t="s">
        <v>42</v>
      </c>
      <c r="D225" s="32" t="s">
        <v>94</v>
      </c>
      <c r="E225" s="32" t="s">
        <v>95</v>
      </c>
      <c r="F225" s="32" t="s">
        <v>46</v>
      </c>
      <c r="G225" s="33">
        <v>46081</v>
      </c>
      <c r="H225" s="33">
        <v>46081</v>
      </c>
      <c r="I225" s="33">
        <v>46111</v>
      </c>
      <c r="J225" s="32" t="s">
        <v>11</v>
      </c>
      <c r="K225" s="34">
        <v>37624.35</v>
      </c>
      <c r="L225" s="34">
        <v>37624.35</v>
      </c>
      <c r="M225" s="34">
        <v>0</v>
      </c>
      <c r="N225" s="34">
        <v>0</v>
      </c>
      <c r="O225" s="34">
        <v>0</v>
      </c>
      <c r="P225" s="34">
        <v>37624.35</v>
      </c>
      <c r="Q225" s="34">
        <v>37624.35</v>
      </c>
      <c r="R225" s="34">
        <v>37624.35</v>
      </c>
      <c r="S225" s="34">
        <v>738.13470872357902</v>
      </c>
      <c r="T225" s="34">
        <v>37624.35</v>
      </c>
      <c r="U225" s="35">
        <v>37624.35</v>
      </c>
      <c r="V225" s="35">
        <v>0</v>
      </c>
      <c r="W225" s="35">
        <v>0</v>
      </c>
      <c r="X225" s="35">
        <v>0</v>
      </c>
      <c r="Y225" s="35">
        <v>0</v>
      </c>
      <c r="Z225" s="35">
        <v>0</v>
      </c>
      <c r="AA225" s="35">
        <v>0</v>
      </c>
      <c r="AB225" s="35">
        <v>0</v>
      </c>
      <c r="AC225" s="35">
        <v>0</v>
      </c>
      <c r="AD225" s="35">
        <v>0</v>
      </c>
      <c r="AE225" s="35">
        <v>0</v>
      </c>
      <c r="AF225" s="35">
        <v>0</v>
      </c>
      <c r="AG225" s="35">
        <v>0</v>
      </c>
      <c r="AH225" s="35">
        <v>0</v>
      </c>
      <c r="AI225" s="36">
        <v>738.13470872357902</v>
      </c>
      <c r="AJ225" s="36">
        <v>0</v>
      </c>
      <c r="AK225" s="36">
        <v>0</v>
      </c>
      <c r="AL225" s="36">
        <v>0</v>
      </c>
      <c r="AM225" s="36">
        <v>0</v>
      </c>
      <c r="AN225" s="36">
        <v>0</v>
      </c>
      <c r="AO225" s="36">
        <v>0</v>
      </c>
      <c r="AP225" s="36">
        <v>0</v>
      </c>
      <c r="AQ225" s="36">
        <v>0</v>
      </c>
      <c r="AR225" s="36">
        <v>0</v>
      </c>
      <c r="AS225" s="36">
        <v>0</v>
      </c>
      <c r="AT225" s="36">
        <v>0</v>
      </c>
      <c r="AU225" s="36">
        <v>0</v>
      </c>
      <c r="AV225" s="36">
        <v>0</v>
      </c>
      <c r="AW225" s="37">
        <v>37624.35</v>
      </c>
      <c r="AX225" s="37">
        <v>0</v>
      </c>
      <c r="AY225" s="37">
        <v>0</v>
      </c>
      <c r="AZ225" s="37">
        <v>0</v>
      </c>
      <c r="BA225" s="37">
        <v>0</v>
      </c>
      <c r="BB225" s="37">
        <v>0</v>
      </c>
      <c r="BC225" s="37">
        <v>0</v>
      </c>
      <c r="BD225" s="37">
        <v>0</v>
      </c>
      <c r="BE225" s="37">
        <v>0</v>
      </c>
      <c r="BF225" s="37">
        <v>0</v>
      </c>
      <c r="BG225" s="37">
        <v>0</v>
      </c>
      <c r="BH225" s="37">
        <v>0</v>
      </c>
      <c r="BI225" s="37">
        <v>0</v>
      </c>
      <c r="BJ225" s="37">
        <v>0</v>
      </c>
      <c r="BK225" s="32" t="s">
        <v>12</v>
      </c>
      <c r="BL225" s="32" t="s">
        <v>13</v>
      </c>
      <c r="BM225" s="33">
        <v>46083.37091435185</v>
      </c>
      <c r="BN225" s="32" t="s">
        <v>28</v>
      </c>
      <c r="BO225" s="32" t="s">
        <v>29</v>
      </c>
      <c r="BP225" s="38">
        <v>-6</v>
      </c>
      <c r="BQ225" s="42"/>
      <c r="BR225" s="39">
        <v>-6</v>
      </c>
      <c r="BS225" s="4" t="s">
        <v>221</v>
      </c>
      <c r="BT225" s="4" t="str">
        <f t="shared" si="13"/>
        <v>120</v>
      </c>
      <c r="BU225" s="4" t="str">
        <f t="shared" si="13"/>
        <v>-6</v>
      </c>
      <c r="BV225" s="4">
        <f t="shared" si="14"/>
        <v>30</v>
      </c>
      <c r="BW225" s="29">
        <f t="shared" si="15"/>
        <v>-225746.09999999998</v>
      </c>
      <c r="BX225" s="4">
        <v>51.49</v>
      </c>
      <c r="BY225" s="29">
        <f t="shared" si="16"/>
        <v>-318.45662161643833</v>
      </c>
    </row>
    <row r="226" spans="1:77" ht="15" hidden="1" customHeight="1" x14ac:dyDescent="0.35">
      <c r="A226" s="32" t="s">
        <v>217</v>
      </c>
      <c r="B226" s="32" t="s">
        <v>740</v>
      </c>
      <c r="C226" s="32" t="s">
        <v>38</v>
      </c>
      <c r="D226" s="32" t="s">
        <v>741</v>
      </c>
      <c r="E226" s="32" t="s">
        <v>364</v>
      </c>
      <c r="F226" s="32" t="s">
        <v>46</v>
      </c>
      <c r="G226" s="33">
        <v>46081</v>
      </c>
      <c r="H226" s="33">
        <v>46081</v>
      </c>
      <c r="I226" s="33">
        <v>46096</v>
      </c>
      <c r="J226" s="32" t="s">
        <v>37</v>
      </c>
      <c r="K226" s="34">
        <v>22</v>
      </c>
      <c r="L226" s="34">
        <v>22</v>
      </c>
      <c r="M226" s="34">
        <v>0</v>
      </c>
      <c r="N226" s="34">
        <v>0</v>
      </c>
      <c r="O226" s="34">
        <v>0</v>
      </c>
      <c r="P226" s="34">
        <v>22</v>
      </c>
      <c r="Q226" s="34">
        <v>0</v>
      </c>
      <c r="R226" s="34">
        <v>22</v>
      </c>
      <c r="S226" s="34">
        <v>22</v>
      </c>
      <c r="T226" s="34">
        <v>1121.3884</v>
      </c>
      <c r="U226" s="35">
        <v>0</v>
      </c>
      <c r="V226" s="35">
        <v>0</v>
      </c>
      <c r="W226" s="35">
        <v>0</v>
      </c>
      <c r="X226" s="35">
        <v>0</v>
      </c>
      <c r="Y226" s="35">
        <v>0</v>
      </c>
      <c r="Z226" s="35">
        <v>0</v>
      </c>
      <c r="AA226" s="35">
        <v>0</v>
      </c>
      <c r="AB226" s="35">
        <v>22</v>
      </c>
      <c r="AC226" s="35">
        <v>0</v>
      </c>
      <c r="AD226" s="35">
        <v>0</v>
      </c>
      <c r="AE226" s="35">
        <v>0</v>
      </c>
      <c r="AF226" s="35">
        <v>0</v>
      </c>
      <c r="AG226" s="35">
        <v>0</v>
      </c>
      <c r="AH226" s="35">
        <v>0</v>
      </c>
      <c r="AI226" s="36">
        <v>0</v>
      </c>
      <c r="AJ226" s="36">
        <v>0</v>
      </c>
      <c r="AK226" s="36">
        <v>0</v>
      </c>
      <c r="AL226" s="36">
        <v>0</v>
      </c>
      <c r="AM226" s="36">
        <v>0</v>
      </c>
      <c r="AN226" s="36">
        <v>0</v>
      </c>
      <c r="AO226" s="36">
        <v>0</v>
      </c>
      <c r="AP226" s="36">
        <v>22</v>
      </c>
      <c r="AQ226" s="36">
        <v>0</v>
      </c>
      <c r="AR226" s="36">
        <v>0</v>
      </c>
      <c r="AS226" s="36">
        <v>0</v>
      </c>
      <c r="AT226" s="36">
        <v>0</v>
      </c>
      <c r="AU226" s="36">
        <v>0</v>
      </c>
      <c r="AV226" s="36">
        <v>0</v>
      </c>
      <c r="AW226" s="37">
        <v>0</v>
      </c>
      <c r="AX226" s="37">
        <v>0</v>
      </c>
      <c r="AY226" s="37"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1121.3884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2" t="s">
        <v>12</v>
      </c>
      <c r="BL226" s="32" t="s">
        <v>13</v>
      </c>
      <c r="BM226" s="33">
        <v>46083.372581018521</v>
      </c>
      <c r="BN226" s="32" t="s">
        <v>28</v>
      </c>
      <c r="BO226" s="32" t="s">
        <v>29</v>
      </c>
      <c r="BP226" s="38">
        <v>9</v>
      </c>
      <c r="BQ226" s="42"/>
      <c r="BR226" s="39">
        <v>9</v>
      </c>
      <c r="BS226" s="4" t="s">
        <v>220</v>
      </c>
      <c r="BT226" s="4" t="str">
        <f t="shared" si="13"/>
        <v>120</v>
      </c>
      <c r="BU226" s="4" t="str">
        <f t="shared" si="13"/>
        <v>9</v>
      </c>
      <c r="BV226" s="4">
        <f t="shared" si="14"/>
        <v>15</v>
      </c>
      <c r="BW226" s="29">
        <f t="shared" si="15"/>
        <v>198</v>
      </c>
      <c r="BX226" s="4">
        <v>51.49</v>
      </c>
      <c r="BY226" s="29">
        <f t="shared" si="16"/>
        <v>0.27931561643835617</v>
      </c>
    </row>
    <row r="227" spans="1:77" ht="15" hidden="1" customHeight="1" x14ac:dyDescent="0.35">
      <c r="A227" s="32" t="s">
        <v>217</v>
      </c>
      <c r="B227" s="32" t="s">
        <v>742</v>
      </c>
      <c r="C227" s="32" t="s">
        <v>42</v>
      </c>
      <c r="D227" s="32" t="s">
        <v>743</v>
      </c>
      <c r="E227" s="32" t="s">
        <v>93</v>
      </c>
      <c r="F227" s="32" t="s">
        <v>744</v>
      </c>
      <c r="G227" s="33">
        <v>46081</v>
      </c>
      <c r="H227" s="33">
        <v>46081</v>
      </c>
      <c r="I227" s="33">
        <v>46111</v>
      </c>
      <c r="J227" s="32" t="s">
        <v>37</v>
      </c>
      <c r="K227" s="34">
        <v>341</v>
      </c>
      <c r="L227" s="34">
        <v>341</v>
      </c>
      <c r="M227" s="34">
        <v>0</v>
      </c>
      <c r="N227" s="34">
        <v>0</v>
      </c>
      <c r="O227" s="34">
        <v>0</v>
      </c>
      <c r="P227" s="34">
        <v>341</v>
      </c>
      <c r="Q227" s="34">
        <v>341</v>
      </c>
      <c r="R227" s="34">
        <v>341</v>
      </c>
      <c r="S227" s="34">
        <v>341</v>
      </c>
      <c r="T227" s="34">
        <v>17381.520199999999</v>
      </c>
      <c r="U227" s="35">
        <v>341</v>
      </c>
      <c r="V227" s="35">
        <v>0</v>
      </c>
      <c r="W227" s="35">
        <v>0</v>
      </c>
      <c r="X227" s="35">
        <v>0</v>
      </c>
      <c r="Y227" s="35">
        <v>0</v>
      </c>
      <c r="Z227" s="35">
        <v>0</v>
      </c>
      <c r="AA227" s="35">
        <v>0</v>
      </c>
      <c r="AB227" s="35">
        <v>0</v>
      </c>
      <c r="AC227" s="35">
        <v>0</v>
      </c>
      <c r="AD227" s="35">
        <v>0</v>
      </c>
      <c r="AE227" s="35">
        <v>0</v>
      </c>
      <c r="AF227" s="35">
        <v>0</v>
      </c>
      <c r="AG227" s="35">
        <v>0</v>
      </c>
      <c r="AH227" s="35">
        <v>0</v>
      </c>
      <c r="AI227" s="36">
        <v>341</v>
      </c>
      <c r="AJ227" s="36">
        <v>0</v>
      </c>
      <c r="AK227" s="36">
        <v>0</v>
      </c>
      <c r="AL227" s="36">
        <v>0</v>
      </c>
      <c r="AM227" s="36">
        <v>0</v>
      </c>
      <c r="AN227" s="36">
        <v>0</v>
      </c>
      <c r="AO227" s="36">
        <v>0</v>
      </c>
      <c r="AP227" s="36">
        <v>0</v>
      </c>
      <c r="AQ227" s="36">
        <v>0</v>
      </c>
      <c r="AR227" s="36">
        <v>0</v>
      </c>
      <c r="AS227" s="36">
        <v>0</v>
      </c>
      <c r="AT227" s="36">
        <v>0</v>
      </c>
      <c r="AU227" s="36">
        <v>0</v>
      </c>
      <c r="AV227" s="36">
        <v>0</v>
      </c>
      <c r="AW227" s="37">
        <v>17381.520199999999</v>
      </c>
      <c r="AX227" s="37">
        <v>0</v>
      </c>
      <c r="AY227" s="37">
        <v>0</v>
      </c>
      <c r="AZ227" s="37">
        <v>0</v>
      </c>
      <c r="BA227" s="37">
        <v>0</v>
      </c>
      <c r="BB227" s="37">
        <v>0</v>
      </c>
      <c r="BC227" s="37">
        <v>0</v>
      </c>
      <c r="BD227" s="37">
        <v>0</v>
      </c>
      <c r="BE227" s="37">
        <v>0</v>
      </c>
      <c r="BF227" s="37">
        <v>0</v>
      </c>
      <c r="BG227" s="37">
        <v>0</v>
      </c>
      <c r="BH227" s="37">
        <v>0</v>
      </c>
      <c r="BI227" s="37">
        <v>0</v>
      </c>
      <c r="BJ227" s="37">
        <v>0</v>
      </c>
      <c r="BK227" s="32" t="s">
        <v>12</v>
      </c>
      <c r="BL227" s="32" t="s">
        <v>13</v>
      </c>
      <c r="BM227" s="33">
        <v>46083.378622685188</v>
      </c>
      <c r="BN227" s="32" t="s">
        <v>28</v>
      </c>
      <c r="BO227" s="32" t="s">
        <v>29</v>
      </c>
      <c r="BP227" s="38">
        <v>-6</v>
      </c>
      <c r="BQ227" s="42"/>
      <c r="BR227" s="39">
        <v>-6</v>
      </c>
      <c r="BS227" s="4" t="s">
        <v>221</v>
      </c>
      <c r="BT227" s="4" t="str">
        <f t="shared" si="13"/>
        <v>120</v>
      </c>
      <c r="BU227" s="4" t="str">
        <f t="shared" si="13"/>
        <v>-6</v>
      </c>
      <c r="BV227" s="4">
        <f t="shared" si="14"/>
        <v>30</v>
      </c>
      <c r="BW227" s="29">
        <f t="shared" si="15"/>
        <v>-2046</v>
      </c>
      <c r="BX227" s="4">
        <v>51.49</v>
      </c>
      <c r="BY227" s="29">
        <f t="shared" si="16"/>
        <v>-2.8862613698630137</v>
      </c>
    </row>
    <row r="228" spans="1:77" ht="15" hidden="1" customHeight="1" x14ac:dyDescent="0.35">
      <c r="A228" s="32" t="s">
        <v>217</v>
      </c>
      <c r="B228" s="32" t="s">
        <v>745</v>
      </c>
      <c r="C228" s="32" t="s">
        <v>38</v>
      </c>
      <c r="D228" s="32" t="s">
        <v>39</v>
      </c>
      <c r="E228" s="32" t="s">
        <v>40</v>
      </c>
      <c r="F228" s="32" t="s">
        <v>41</v>
      </c>
      <c r="G228" s="33">
        <v>46081</v>
      </c>
      <c r="H228" s="33">
        <v>46081</v>
      </c>
      <c r="I228" s="33">
        <v>46111</v>
      </c>
      <c r="J228" s="32" t="s">
        <v>37</v>
      </c>
      <c r="K228" s="34">
        <v>56</v>
      </c>
      <c r="L228" s="34">
        <v>56</v>
      </c>
      <c r="M228" s="34">
        <v>0</v>
      </c>
      <c r="N228" s="34">
        <v>0</v>
      </c>
      <c r="O228" s="34">
        <v>0</v>
      </c>
      <c r="P228" s="34">
        <v>56</v>
      </c>
      <c r="Q228" s="34">
        <v>56</v>
      </c>
      <c r="R228" s="34">
        <v>56</v>
      </c>
      <c r="S228" s="34">
        <v>56</v>
      </c>
      <c r="T228" s="34">
        <v>2854.4432000000002</v>
      </c>
      <c r="U228" s="35">
        <v>56</v>
      </c>
      <c r="V228" s="35">
        <v>0</v>
      </c>
      <c r="W228" s="35">
        <v>0</v>
      </c>
      <c r="X228" s="35">
        <v>0</v>
      </c>
      <c r="Y228" s="35">
        <v>0</v>
      </c>
      <c r="Z228" s="35">
        <v>0</v>
      </c>
      <c r="AA228" s="35">
        <v>0</v>
      </c>
      <c r="AB228" s="35">
        <v>0</v>
      </c>
      <c r="AC228" s="35">
        <v>0</v>
      </c>
      <c r="AD228" s="35">
        <v>0</v>
      </c>
      <c r="AE228" s="35">
        <v>0</v>
      </c>
      <c r="AF228" s="35">
        <v>0</v>
      </c>
      <c r="AG228" s="35">
        <v>0</v>
      </c>
      <c r="AH228" s="35">
        <v>0</v>
      </c>
      <c r="AI228" s="36">
        <v>56</v>
      </c>
      <c r="AJ228" s="36">
        <v>0</v>
      </c>
      <c r="AK228" s="36">
        <v>0</v>
      </c>
      <c r="AL228" s="36">
        <v>0</v>
      </c>
      <c r="AM228" s="36">
        <v>0</v>
      </c>
      <c r="AN228" s="36">
        <v>0</v>
      </c>
      <c r="AO228" s="36">
        <v>0</v>
      </c>
      <c r="AP228" s="36">
        <v>0</v>
      </c>
      <c r="AQ228" s="36">
        <v>0</v>
      </c>
      <c r="AR228" s="36">
        <v>0</v>
      </c>
      <c r="AS228" s="36">
        <v>0</v>
      </c>
      <c r="AT228" s="36">
        <v>0</v>
      </c>
      <c r="AU228" s="36">
        <v>0</v>
      </c>
      <c r="AV228" s="36">
        <v>0</v>
      </c>
      <c r="AW228" s="37">
        <v>2854.4432000000002</v>
      </c>
      <c r="AX228" s="37">
        <v>0</v>
      </c>
      <c r="AY228" s="37"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2" t="s">
        <v>12</v>
      </c>
      <c r="BL228" s="32" t="s">
        <v>13</v>
      </c>
      <c r="BM228" s="33">
        <v>46083.38175925926</v>
      </c>
      <c r="BN228" s="32" t="s">
        <v>28</v>
      </c>
      <c r="BO228" s="32" t="s">
        <v>29</v>
      </c>
      <c r="BP228" s="38">
        <v>-6</v>
      </c>
      <c r="BQ228" s="42"/>
      <c r="BR228" s="39">
        <v>-6</v>
      </c>
      <c r="BS228" s="4" t="s">
        <v>221</v>
      </c>
      <c r="BT228" s="4" t="str">
        <f t="shared" si="13"/>
        <v>120</v>
      </c>
      <c r="BU228" s="4" t="str">
        <f t="shared" si="13"/>
        <v>-6</v>
      </c>
      <c r="BV228" s="4">
        <f t="shared" si="14"/>
        <v>30</v>
      </c>
      <c r="BW228" s="29">
        <f t="shared" si="15"/>
        <v>-336</v>
      </c>
      <c r="BX228" s="4">
        <v>51.49</v>
      </c>
      <c r="BY228" s="29">
        <f t="shared" si="16"/>
        <v>-0.47399013698630138</v>
      </c>
    </row>
    <row r="229" spans="1:77" ht="15" hidden="1" customHeight="1" x14ac:dyDescent="0.35">
      <c r="A229" s="32" t="s">
        <v>217</v>
      </c>
      <c r="B229" s="32" t="s">
        <v>746</v>
      </c>
      <c r="C229" s="32" t="s">
        <v>35</v>
      </c>
      <c r="D229" s="32" t="s">
        <v>297</v>
      </c>
      <c r="E229" s="32" t="s">
        <v>328</v>
      </c>
      <c r="F229" s="32" t="s">
        <v>337</v>
      </c>
      <c r="G229" s="33">
        <v>46081</v>
      </c>
      <c r="H229" s="33">
        <v>46081</v>
      </c>
      <c r="I229" s="33">
        <v>46111</v>
      </c>
      <c r="J229" s="32" t="s">
        <v>37</v>
      </c>
      <c r="K229" s="34">
        <v>3848</v>
      </c>
      <c r="L229" s="34">
        <v>3848</v>
      </c>
      <c r="M229" s="34">
        <v>0</v>
      </c>
      <c r="N229" s="34">
        <v>0</v>
      </c>
      <c r="O229" s="34">
        <v>0</v>
      </c>
      <c r="P229" s="34">
        <v>3848</v>
      </c>
      <c r="Q229" s="34">
        <v>3848</v>
      </c>
      <c r="R229" s="34">
        <v>3848</v>
      </c>
      <c r="S229" s="34">
        <v>3848</v>
      </c>
      <c r="T229" s="34">
        <v>196141.02559999999</v>
      </c>
      <c r="U229" s="35">
        <v>3848</v>
      </c>
      <c r="V229" s="35">
        <v>0</v>
      </c>
      <c r="W229" s="35">
        <v>0</v>
      </c>
      <c r="X229" s="35">
        <v>0</v>
      </c>
      <c r="Y229" s="35">
        <v>0</v>
      </c>
      <c r="Z229" s="35">
        <v>0</v>
      </c>
      <c r="AA229" s="35">
        <v>0</v>
      </c>
      <c r="AB229" s="35">
        <v>0</v>
      </c>
      <c r="AC229" s="35">
        <v>0</v>
      </c>
      <c r="AD229" s="35">
        <v>0</v>
      </c>
      <c r="AE229" s="35">
        <v>0</v>
      </c>
      <c r="AF229" s="35">
        <v>0</v>
      </c>
      <c r="AG229" s="35">
        <v>0</v>
      </c>
      <c r="AH229" s="35">
        <v>0</v>
      </c>
      <c r="AI229" s="36">
        <v>3848</v>
      </c>
      <c r="AJ229" s="36">
        <v>0</v>
      </c>
      <c r="AK229" s="36">
        <v>0</v>
      </c>
      <c r="AL229" s="36">
        <v>0</v>
      </c>
      <c r="AM229" s="36">
        <v>0</v>
      </c>
      <c r="AN229" s="36">
        <v>0</v>
      </c>
      <c r="AO229" s="36">
        <v>0</v>
      </c>
      <c r="AP229" s="36">
        <v>0</v>
      </c>
      <c r="AQ229" s="36">
        <v>0</v>
      </c>
      <c r="AR229" s="36">
        <v>0</v>
      </c>
      <c r="AS229" s="36">
        <v>0</v>
      </c>
      <c r="AT229" s="36">
        <v>0</v>
      </c>
      <c r="AU229" s="36">
        <v>0</v>
      </c>
      <c r="AV229" s="36">
        <v>0</v>
      </c>
      <c r="AW229" s="37">
        <v>196141.02559999999</v>
      </c>
      <c r="AX229" s="37">
        <v>0</v>
      </c>
      <c r="AY229" s="37">
        <v>0</v>
      </c>
      <c r="AZ229" s="37">
        <v>0</v>
      </c>
      <c r="BA229" s="37">
        <v>0</v>
      </c>
      <c r="BB229" s="37">
        <v>0</v>
      </c>
      <c r="BC229" s="37">
        <v>0</v>
      </c>
      <c r="BD229" s="37">
        <v>0</v>
      </c>
      <c r="BE229" s="37">
        <v>0</v>
      </c>
      <c r="BF229" s="37">
        <v>0</v>
      </c>
      <c r="BG229" s="37">
        <v>0</v>
      </c>
      <c r="BH229" s="37">
        <v>0</v>
      </c>
      <c r="BI229" s="37">
        <v>0</v>
      </c>
      <c r="BJ229" s="37">
        <v>0</v>
      </c>
      <c r="BK229" s="32" t="s">
        <v>12</v>
      </c>
      <c r="BL229" s="32" t="s">
        <v>13</v>
      </c>
      <c r="BM229" s="33">
        <v>46083.384039351855</v>
      </c>
      <c r="BN229" s="32" t="s">
        <v>28</v>
      </c>
      <c r="BO229" s="32" t="s">
        <v>29</v>
      </c>
      <c r="BP229" s="38">
        <v>-6</v>
      </c>
      <c r="BQ229" s="42"/>
      <c r="BR229" s="39">
        <v>-6</v>
      </c>
      <c r="BS229" s="4" t="s">
        <v>221</v>
      </c>
      <c r="BT229" s="4" t="str">
        <f t="shared" si="13"/>
        <v>120</v>
      </c>
      <c r="BU229" s="4" t="str">
        <f t="shared" si="13"/>
        <v>-6</v>
      </c>
      <c r="BV229" s="4">
        <f t="shared" si="14"/>
        <v>30</v>
      </c>
      <c r="BW229" s="29">
        <f t="shared" si="15"/>
        <v>-23088</v>
      </c>
      <c r="BX229" s="4">
        <v>51.49</v>
      </c>
      <c r="BY229" s="29">
        <f t="shared" si="16"/>
        <v>-32.569893698630139</v>
      </c>
    </row>
    <row r="230" spans="1:77" ht="15" hidden="1" customHeight="1" x14ac:dyDescent="0.35">
      <c r="A230" s="32" t="s">
        <v>217</v>
      </c>
      <c r="B230" s="32" t="s">
        <v>747</v>
      </c>
      <c r="C230" s="32" t="s">
        <v>35</v>
      </c>
      <c r="D230" s="32" t="s">
        <v>297</v>
      </c>
      <c r="E230" s="32" t="s">
        <v>328</v>
      </c>
      <c r="F230" s="32" t="s">
        <v>337</v>
      </c>
      <c r="G230" s="33">
        <v>46081</v>
      </c>
      <c r="H230" s="33">
        <v>46081</v>
      </c>
      <c r="I230" s="33">
        <v>46111</v>
      </c>
      <c r="J230" s="32" t="s">
        <v>37</v>
      </c>
      <c r="K230" s="34">
        <v>3848</v>
      </c>
      <c r="L230" s="34">
        <v>3848</v>
      </c>
      <c r="M230" s="34">
        <v>0</v>
      </c>
      <c r="N230" s="34">
        <v>0</v>
      </c>
      <c r="O230" s="34">
        <v>0</v>
      </c>
      <c r="P230" s="34">
        <v>3848</v>
      </c>
      <c r="Q230" s="34">
        <v>3848</v>
      </c>
      <c r="R230" s="34">
        <v>3848</v>
      </c>
      <c r="S230" s="34">
        <v>3848</v>
      </c>
      <c r="T230" s="34">
        <v>196141.02559999999</v>
      </c>
      <c r="U230" s="35">
        <v>3848</v>
      </c>
      <c r="V230" s="35">
        <v>0</v>
      </c>
      <c r="W230" s="35">
        <v>0</v>
      </c>
      <c r="X230" s="35">
        <v>0</v>
      </c>
      <c r="Y230" s="35">
        <v>0</v>
      </c>
      <c r="Z230" s="35">
        <v>0</v>
      </c>
      <c r="AA230" s="35">
        <v>0</v>
      </c>
      <c r="AB230" s="35">
        <v>0</v>
      </c>
      <c r="AC230" s="35">
        <v>0</v>
      </c>
      <c r="AD230" s="35">
        <v>0</v>
      </c>
      <c r="AE230" s="35">
        <v>0</v>
      </c>
      <c r="AF230" s="35">
        <v>0</v>
      </c>
      <c r="AG230" s="35">
        <v>0</v>
      </c>
      <c r="AH230" s="35">
        <v>0</v>
      </c>
      <c r="AI230" s="36">
        <v>3848</v>
      </c>
      <c r="AJ230" s="36">
        <v>0</v>
      </c>
      <c r="AK230" s="36">
        <v>0</v>
      </c>
      <c r="AL230" s="36">
        <v>0</v>
      </c>
      <c r="AM230" s="36">
        <v>0</v>
      </c>
      <c r="AN230" s="36">
        <v>0</v>
      </c>
      <c r="AO230" s="36">
        <v>0</v>
      </c>
      <c r="AP230" s="36">
        <v>0</v>
      </c>
      <c r="AQ230" s="36">
        <v>0</v>
      </c>
      <c r="AR230" s="36">
        <v>0</v>
      </c>
      <c r="AS230" s="36">
        <v>0</v>
      </c>
      <c r="AT230" s="36">
        <v>0</v>
      </c>
      <c r="AU230" s="36">
        <v>0</v>
      </c>
      <c r="AV230" s="36">
        <v>0</v>
      </c>
      <c r="AW230" s="37">
        <v>196141.02559999999</v>
      </c>
      <c r="AX230" s="37">
        <v>0</v>
      </c>
      <c r="AY230" s="37"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2" t="s">
        <v>12</v>
      </c>
      <c r="BL230" s="32" t="s">
        <v>13</v>
      </c>
      <c r="BM230" s="33">
        <v>46083.385879629626</v>
      </c>
      <c r="BN230" s="32" t="s">
        <v>28</v>
      </c>
      <c r="BO230" s="32" t="s">
        <v>29</v>
      </c>
      <c r="BP230" s="38">
        <v>-6</v>
      </c>
      <c r="BQ230" s="42"/>
      <c r="BR230" s="39">
        <v>-6</v>
      </c>
      <c r="BS230" s="4" t="s">
        <v>221</v>
      </c>
      <c r="BT230" s="4" t="str">
        <f t="shared" si="13"/>
        <v>120</v>
      </c>
      <c r="BU230" s="4" t="str">
        <f t="shared" si="13"/>
        <v>-6</v>
      </c>
      <c r="BV230" s="4">
        <f t="shared" si="14"/>
        <v>30</v>
      </c>
      <c r="BW230" s="29">
        <f t="shared" si="15"/>
        <v>-23088</v>
      </c>
      <c r="BX230" s="4">
        <v>51.49</v>
      </c>
      <c r="BY230" s="29">
        <f t="shared" si="16"/>
        <v>-32.569893698630139</v>
      </c>
    </row>
    <row r="231" spans="1:77" ht="15" hidden="1" customHeight="1" x14ac:dyDescent="0.35">
      <c r="A231" s="32" t="s">
        <v>217</v>
      </c>
      <c r="B231" s="32" t="s">
        <v>748</v>
      </c>
      <c r="C231" s="32" t="s">
        <v>42</v>
      </c>
      <c r="D231" s="32" t="s">
        <v>411</v>
      </c>
      <c r="E231" s="32" t="s">
        <v>36</v>
      </c>
      <c r="F231" s="32" t="s">
        <v>412</v>
      </c>
      <c r="G231" s="33">
        <v>46081</v>
      </c>
      <c r="H231" s="33">
        <v>46081</v>
      </c>
      <c r="I231" s="33">
        <v>46111</v>
      </c>
      <c r="J231" s="32" t="s">
        <v>37</v>
      </c>
      <c r="K231" s="34">
        <v>5932.42</v>
      </c>
      <c r="L231" s="34">
        <v>5932.42</v>
      </c>
      <c r="M231" s="34">
        <v>0</v>
      </c>
      <c r="N231" s="34">
        <v>0</v>
      </c>
      <c r="O231" s="34">
        <v>0</v>
      </c>
      <c r="P231" s="34">
        <v>5932.42</v>
      </c>
      <c r="Q231" s="34">
        <v>5932.42</v>
      </c>
      <c r="R231" s="34">
        <v>5932.42</v>
      </c>
      <c r="S231" s="34">
        <v>5932.42</v>
      </c>
      <c r="T231" s="34">
        <v>302388.498724</v>
      </c>
      <c r="U231" s="35">
        <v>5932.42</v>
      </c>
      <c r="V231" s="35">
        <v>0</v>
      </c>
      <c r="W231" s="35">
        <v>0</v>
      </c>
      <c r="X231" s="35">
        <v>0</v>
      </c>
      <c r="Y231" s="35">
        <v>0</v>
      </c>
      <c r="Z231" s="35">
        <v>0</v>
      </c>
      <c r="AA231" s="35">
        <v>0</v>
      </c>
      <c r="AB231" s="35">
        <v>0</v>
      </c>
      <c r="AC231" s="35">
        <v>0</v>
      </c>
      <c r="AD231" s="35">
        <v>0</v>
      </c>
      <c r="AE231" s="35">
        <v>0</v>
      </c>
      <c r="AF231" s="35">
        <v>0</v>
      </c>
      <c r="AG231" s="35">
        <v>0</v>
      </c>
      <c r="AH231" s="35">
        <v>0</v>
      </c>
      <c r="AI231" s="36">
        <v>5932.42</v>
      </c>
      <c r="AJ231" s="36">
        <v>0</v>
      </c>
      <c r="AK231" s="36">
        <v>0</v>
      </c>
      <c r="AL231" s="36">
        <v>0</v>
      </c>
      <c r="AM231" s="36">
        <v>0</v>
      </c>
      <c r="AN231" s="36">
        <v>0</v>
      </c>
      <c r="AO231" s="36">
        <v>0</v>
      </c>
      <c r="AP231" s="36">
        <v>0</v>
      </c>
      <c r="AQ231" s="36">
        <v>0</v>
      </c>
      <c r="AR231" s="36">
        <v>0</v>
      </c>
      <c r="AS231" s="36">
        <v>0</v>
      </c>
      <c r="AT231" s="36">
        <v>0</v>
      </c>
      <c r="AU231" s="36">
        <v>0</v>
      </c>
      <c r="AV231" s="36">
        <v>0</v>
      </c>
      <c r="AW231" s="37">
        <v>302388.498724</v>
      </c>
      <c r="AX231" s="37">
        <v>0</v>
      </c>
      <c r="AY231" s="37">
        <v>0</v>
      </c>
      <c r="AZ231" s="37">
        <v>0</v>
      </c>
      <c r="BA231" s="37">
        <v>0</v>
      </c>
      <c r="BB231" s="37">
        <v>0</v>
      </c>
      <c r="BC231" s="37">
        <v>0</v>
      </c>
      <c r="BD231" s="37">
        <v>0</v>
      </c>
      <c r="BE231" s="37">
        <v>0</v>
      </c>
      <c r="BF231" s="37">
        <v>0</v>
      </c>
      <c r="BG231" s="37">
        <v>0</v>
      </c>
      <c r="BH231" s="37">
        <v>0</v>
      </c>
      <c r="BI231" s="37">
        <v>0</v>
      </c>
      <c r="BJ231" s="37">
        <v>0</v>
      </c>
      <c r="BK231" s="32" t="s">
        <v>12</v>
      </c>
      <c r="BL231" s="32" t="s">
        <v>13</v>
      </c>
      <c r="BM231" s="33">
        <v>46083.388472222221</v>
      </c>
      <c r="BN231" s="32" t="s">
        <v>20</v>
      </c>
      <c r="BO231" s="32" t="s">
        <v>21</v>
      </c>
      <c r="BP231" s="38">
        <v>-6</v>
      </c>
      <c r="BQ231" s="42"/>
      <c r="BR231" s="39">
        <v>-6</v>
      </c>
      <c r="BS231" s="4" t="s">
        <v>221</v>
      </c>
      <c r="BT231" s="4" t="str">
        <f t="shared" si="13"/>
        <v>120</v>
      </c>
      <c r="BU231" s="4" t="str">
        <f t="shared" si="13"/>
        <v>-6</v>
      </c>
      <c r="BV231" s="4">
        <f t="shared" si="14"/>
        <v>30</v>
      </c>
      <c r="BW231" s="29">
        <f t="shared" si="15"/>
        <v>-35594.520000000004</v>
      </c>
      <c r="BX231" s="4">
        <v>51.49</v>
      </c>
      <c r="BY231" s="29">
        <f t="shared" si="16"/>
        <v>-50.212653008219185</v>
      </c>
    </row>
    <row r="232" spans="1:77" ht="15" hidden="1" customHeight="1" x14ac:dyDescent="0.35">
      <c r="A232" s="32" t="s">
        <v>217</v>
      </c>
      <c r="B232" s="32" t="s">
        <v>749</v>
      </c>
      <c r="C232" s="32" t="s">
        <v>38</v>
      </c>
      <c r="D232" s="32" t="s">
        <v>521</v>
      </c>
      <c r="E232" s="32" t="s">
        <v>145</v>
      </c>
      <c r="F232" s="32" t="s">
        <v>104</v>
      </c>
      <c r="G232" s="33">
        <v>46081</v>
      </c>
      <c r="H232" s="33">
        <v>46081</v>
      </c>
      <c r="I232" s="33">
        <v>46111</v>
      </c>
      <c r="J232" s="32" t="s">
        <v>37</v>
      </c>
      <c r="K232" s="34">
        <v>7062</v>
      </c>
      <c r="L232" s="34">
        <v>7062</v>
      </c>
      <c r="M232" s="34">
        <v>0</v>
      </c>
      <c r="N232" s="34">
        <v>0</v>
      </c>
      <c r="O232" s="34">
        <v>0</v>
      </c>
      <c r="P232" s="34">
        <v>7062</v>
      </c>
      <c r="Q232" s="34">
        <v>7062</v>
      </c>
      <c r="R232" s="34">
        <v>7062</v>
      </c>
      <c r="S232" s="34">
        <v>7062</v>
      </c>
      <c r="T232" s="34">
        <v>359965.6764</v>
      </c>
      <c r="U232" s="35">
        <v>7062</v>
      </c>
      <c r="V232" s="35">
        <v>0</v>
      </c>
      <c r="W232" s="35">
        <v>0</v>
      </c>
      <c r="X232" s="35">
        <v>0</v>
      </c>
      <c r="Y232" s="35">
        <v>0</v>
      </c>
      <c r="Z232" s="35">
        <v>0</v>
      </c>
      <c r="AA232" s="35">
        <v>0</v>
      </c>
      <c r="AB232" s="35">
        <v>0</v>
      </c>
      <c r="AC232" s="35">
        <v>0</v>
      </c>
      <c r="AD232" s="35">
        <v>0</v>
      </c>
      <c r="AE232" s="35">
        <v>0</v>
      </c>
      <c r="AF232" s="35">
        <v>0</v>
      </c>
      <c r="AG232" s="35">
        <v>0</v>
      </c>
      <c r="AH232" s="35">
        <v>0</v>
      </c>
      <c r="AI232" s="36">
        <v>7062</v>
      </c>
      <c r="AJ232" s="36">
        <v>0</v>
      </c>
      <c r="AK232" s="36">
        <v>0</v>
      </c>
      <c r="AL232" s="36">
        <v>0</v>
      </c>
      <c r="AM232" s="36">
        <v>0</v>
      </c>
      <c r="AN232" s="36">
        <v>0</v>
      </c>
      <c r="AO232" s="36">
        <v>0</v>
      </c>
      <c r="AP232" s="36">
        <v>0</v>
      </c>
      <c r="AQ232" s="36">
        <v>0</v>
      </c>
      <c r="AR232" s="36">
        <v>0</v>
      </c>
      <c r="AS232" s="36">
        <v>0</v>
      </c>
      <c r="AT232" s="36">
        <v>0</v>
      </c>
      <c r="AU232" s="36">
        <v>0</v>
      </c>
      <c r="AV232" s="36">
        <v>0</v>
      </c>
      <c r="AW232" s="37">
        <v>359965.6764</v>
      </c>
      <c r="AX232" s="37">
        <v>0</v>
      </c>
      <c r="AY232" s="37"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2" t="s">
        <v>12</v>
      </c>
      <c r="BL232" s="32" t="s">
        <v>13</v>
      </c>
      <c r="BM232" s="33">
        <v>46083.398194444446</v>
      </c>
      <c r="BN232" s="32" t="s">
        <v>28</v>
      </c>
      <c r="BO232" s="32" t="s">
        <v>29</v>
      </c>
      <c r="BP232" s="38">
        <v>-6</v>
      </c>
      <c r="BQ232" s="42"/>
      <c r="BR232" s="39">
        <v>-6</v>
      </c>
      <c r="BS232" s="4" t="s">
        <v>221</v>
      </c>
      <c r="BT232" s="4" t="str">
        <f t="shared" si="13"/>
        <v>120</v>
      </c>
      <c r="BU232" s="4" t="str">
        <f t="shared" si="13"/>
        <v>-6</v>
      </c>
      <c r="BV232" s="4">
        <f t="shared" si="14"/>
        <v>30</v>
      </c>
      <c r="BW232" s="29">
        <f t="shared" si="15"/>
        <v>-42372</v>
      </c>
      <c r="BX232" s="4">
        <v>51.49</v>
      </c>
      <c r="BY232" s="29">
        <f t="shared" si="16"/>
        <v>-59.773541917808224</v>
      </c>
    </row>
    <row r="233" spans="1:77" ht="15" hidden="1" customHeight="1" x14ac:dyDescent="0.35">
      <c r="A233" s="32" t="s">
        <v>217</v>
      </c>
      <c r="B233" s="32" t="s">
        <v>750</v>
      </c>
      <c r="C233" s="32" t="s">
        <v>398</v>
      </c>
      <c r="D233" s="32" t="s">
        <v>399</v>
      </c>
      <c r="E233" s="32" t="s">
        <v>34</v>
      </c>
      <c r="F233" s="32" t="s">
        <v>400</v>
      </c>
      <c r="G233" s="33">
        <v>46081</v>
      </c>
      <c r="H233" s="33">
        <v>46081</v>
      </c>
      <c r="I233" s="33">
        <v>46111</v>
      </c>
      <c r="J233" s="32" t="s">
        <v>11</v>
      </c>
      <c r="K233" s="34">
        <v>8640</v>
      </c>
      <c r="L233" s="34">
        <v>7200</v>
      </c>
      <c r="M233" s="34">
        <v>1440</v>
      </c>
      <c r="N233" s="34">
        <v>0</v>
      </c>
      <c r="O233" s="34">
        <v>0</v>
      </c>
      <c r="P233" s="34">
        <v>8640</v>
      </c>
      <c r="Q233" s="34">
        <v>8640</v>
      </c>
      <c r="R233" s="34">
        <v>8640</v>
      </c>
      <c r="S233" s="34">
        <v>169.50416109173199</v>
      </c>
      <c r="T233" s="34">
        <v>8640</v>
      </c>
      <c r="U233" s="35">
        <v>8640</v>
      </c>
      <c r="V233" s="35">
        <v>0</v>
      </c>
      <c r="W233" s="35">
        <v>0</v>
      </c>
      <c r="X233" s="35">
        <v>0</v>
      </c>
      <c r="Y233" s="35">
        <v>0</v>
      </c>
      <c r="Z233" s="35">
        <v>0</v>
      </c>
      <c r="AA233" s="35">
        <v>0</v>
      </c>
      <c r="AB233" s="35">
        <v>0</v>
      </c>
      <c r="AC233" s="35">
        <v>0</v>
      </c>
      <c r="AD233" s="35">
        <v>0</v>
      </c>
      <c r="AE233" s="35">
        <v>0</v>
      </c>
      <c r="AF233" s="35">
        <v>0</v>
      </c>
      <c r="AG233" s="35">
        <v>0</v>
      </c>
      <c r="AH233" s="35">
        <v>0</v>
      </c>
      <c r="AI233" s="36">
        <v>169.50416109173199</v>
      </c>
      <c r="AJ233" s="36">
        <v>0</v>
      </c>
      <c r="AK233" s="36">
        <v>0</v>
      </c>
      <c r="AL233" s="36">
        <v>0</v>
      </c>
      <c r="AM233" s="36">
        <v>0</v>
      </c>
      <c r="AN233" s="36">
        <v>0</v>
      </c>
      <c r="AO233" s="36">
        <v>0</v>
      </c>
      <c r="AP233" s="36">
        <v>0</v>
      </c>
      <c r="AQ233" s="36">
        <v>0</v>
      </c>
      <c r="AR233" s="36">
        <v>0</v>
      </c>
      <c r="AS233" s="36">
        <v>0</v>
      </c>
      <c r="AT233" s="36">
        <v>0</v>
      </c>
      <c r="AU233" s="36">
        <v>0</v>
      </c>
      <c r="AV233" s="36">
        <v>0</v>
      </c>
      <c r="AW233" s="37">
        <v>8640</v>
      </c>
      <c r="AX233" s="37">
        <v>0</v>
      </c>
      <c r="AY233" s="37">
        <v>0</v>
      </c>
      <c r="AZ233" s="37">
        <v>0</v>
      </c>
      <c r="BA233" s="37">
        <v>0</v>
      </c>
      <c r="BB233" s="37">
        <v>0</v>
      </c>
      <c r="BC233" s="37">
        <v>0</v>
      </c>
      <c r="BD233" s="37">
        <v>0</v>
      </c>
      <c r="BE233" s="37">
        <v>0</v>
      </c>
      <c r="BF233" s="37">
        <v>0</v>
      </c>
      <c r="BG233" s="37">
        <v>0</v>
      </c>
      <c r="BH233" s="37">
        <v>0</v>
      </c>
      <c r="BI233" s="37">
        <v>0</v>
      </c>
      <c r="BJ233" s="37">
        <v>0</v>
      </c>
      <c r="BK233" s="32" t="s">
        <v>12</v>
      </c>
      <c r="BL233" s="32" t="s">
        <v>13</v>
      </c>
      <c r="BM233" s="33">
        <v>46083.413356481484</v>
      </c>
      <c r="BN233" s="32" t="s">
        <v>28</v>
      </c>
      <c r="BO233" s="32" t="s">
        <v>29</v>
      </c>
      <c r="BP233" s="38">
        <v>-6</v>
      </c>
      <c r="BQ233" s="42"/>
      <c r="BR233" s="39">
        <v>-6</v>
      </c>
      <c r="BS233" s="4" t="s">
        <v>221</v>
      </c>
      <c r="BT233" s="4" t="str">
        <f t="shared" si="13"/>
        <v>120</v>
      </c>
      <c r="BU233" s="4" t="str">
        <f t="shared" si="13"/>
        <v>-6</v>
      </c>
      <c r="BV233" s="4">
        <f t="shared" si="14"/>
        <v>30</v>
      </c>
      <c r="BW233" s="29">
        <f t="shared" si="15"/>
        <v>-51840</v>
      </c>
      <c r="BX233" s="4">
        <v>51.49</v>
      </c>
      <c r="BY233" s="29">
        <f t="shared" si="16"/>
        <v>-73.129906849315077</v>
      </c>
    </row>
    <row r="234" spans="1:77" ht="15" hidden="1" customHeight="1" x14ac:dyDescent="0.35">
      <c r="A234" s="32" t="s">
        <v>217</v>
      </c>
      <c r="B234" s="32" t="s">
        <v>751</v>
      </c>
      <c r="C234" s="32" t="s">
        <v>55</v>
      </c>
      <c r="D234" s="32" t="s">
        <v>450</v>
      </c>
      <c r="E234" s="32" t="s">
        <v>56</v>
      </c>
      <c r="F234" s="32" t="s">
        <v>451</v>
      </c>
      <c r="G234" s="33">
        <v>46081</v>
      </c>
      <c r="H234" s="33">
        <v>46081</v>
      </c>
      <c r="I234" s="33">
        <v>46111</v>
      </c>
      <c r="J234" s="32" t="s">
        <v>19</v>
      </c>
      <c r="K234" s="34">
        <v>2656</v>
      </c>
      <c r="L234" s="34">
        <v>2656</v>
      </c>
      <c r="M234" s="34">
        <v>0</v>
      </c>
      <c r="N234" s="34">
        <v>0</v>
      </c>
      <c r="O234" s="34">
        <v>0</v>
      </c>
      <c r="P234" s="34">
        <v>2656</v>
      </c>
      <c r="Q234" s="34">
        <v>2656</v>
      </c>
      <c r="R234" s="34">
        <v>2656</v>
      </c>
      <c r="S234" s="34">
        <v>2305.38874131389</v>
      </c>
      <c r="T234" s="34">
        <v>117510.736</v>
      </c>
      <c r="U234" s="35">
        <v>2656</v>
      </c>
      <c r="V234" s="35">
        <v>0</v>
      </c>
      <c r="W234" s="35">
        <v>0</v>
      </c>
      <c r="X234" s="35">
        <v>0</v>
      </c>
      <c r="Y234" s="35">
        <v>0</v>
      </c>
      <c r="Z234" s="35">
        <v>0</v>
      </c>
      <c r="AA234" s="35">
        <v>0</v>
      </c>
      <c r="AB234" s="35">
        <v>0</v>
      </c>
      <c r="AC234" s="35">
        <v>0</v>
      </c>
      <c r="AD234" s="35">
        <v>0</v>
      </c>
      <c r="AE234" s="35">
        <v>0</v>
      </c>
      <c r="AF234" s="35">
        <v>0</v>
      </c>
      <c r="AG234" s="35">
        <v>0</v>
      </c>
      <c r="AH234" s="35">
        <v>0</v>
      </c>
      <c r="AI234" s="36">
        <v>2305.38874131389</v>
      </c>
      <c r="AJ234" s="36">
        <v>0</v>
      </c>
      <c r="AK234" s="36">
        <v>0</v>
      </c>
      <c r="AL234" s="36">
        <v>0</v>
      </c>
      <c r="AM234" s="36">
        <v>0</v>
      </c>
      <c r="AN234" s="36">
        <v>0</v>
      </c>
      <c r="AO234" s="36">
        <v>0</v>
      </c>
      <c r="AP234" s="36">
        <v>0</v>
      </c>
      <c r="AQ234" s="36">
        <v>0</v>
      </c>
      <c r="AR234" s="36">
        <v>0</v>
      </c>
      <c r="AS234" s="36">
        <v>0</v>
      </c>
      <c r="AT234" s="36">
        <v>0</v>
      </c>
      <c r="AU234" s="36">
        <v>0</v>
      </c>
      <c r="AV234" s="36">
        <v>0</v>
      </c>
      <c r="AW234" s="37">
        <v>117510.736</v>
      </c>
      <c r="AX234" s="37">
        <v>0</v>
      </c>
      <c r="AY234" s="37"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2" t="s">
        <v>12</v>
      </c>
      <c r="BL234" s="32" t="s">
        <v>13</v>
      </c>
      <c r="BM234" s="33">
        <v>46083.423263888886</v>
      </c>
      <c r="BN234" s="32" t="s">
        <v>28</v>
      </c>
      <c r="BO234" s="32" t="s">
        <v>29</v>
      </c>
      <c r="BP234" s="38">
        <v>-6</v>
      </c>
      <c r="BQ234" s="42"/>
      <c r="BR234" s="39">
        <v>-6</v>
      </c>
      <c r="BS234" s="4" t="s">
        <v>221</v>
      </c>
      <c r="BT234" s="4" t="str">
        <f t="shared" si="13"/>
        <v>120</v>
      </c>
      <c r="BU234" s="4" t="str">
        <f t="shared" si="13"/>
        <v>-6</v>
      </c>
      <c r="BV234" s="4">
        <f t="shared" si="14"/>
        <v>30</v>
      </c>
      <c r="BW234" s="29">
        <f t="shared" si="15"/>
        <v>-15936</v>
      </c>
      <c r="BX234" s="4">
        <v>51.49</v>
      </c>
      <c r="BY234" s="29">
        <f t="shared" si="16"/>
        <v>-22.480675068493152</v>
      </c>
    </row>
    <row r="235" spans="1:77" ht="15" hidden="1" customHeight="1" x14ac:dyDescent="0.35">
      <c r="A235" s="32" t="s">
        <v>217</v>
      </c>
      <c r="B235" s="32" t="s">
        <v>752</v>
      </c>
      <c r="C235" s="32" t="s">
        <v>42</v>
      </c>
      <c r="D235" s="32" t="s">
        <v>411</v>
      </c>
      <c r="E235" s="32" t="s">
        <v>36</v>
      </c>
      <c r="F235" s="32" t="s">
        <v>412</v>
      </c>
      <c r="G235" s="33">
        <v>46081</v>
      </c>
      <c r="H235" s="33">
        <v>46081</v>
      </c>
      <c r="I235" s="33">
        <v>46111</v>
      </c>
      <c r="J235" s="32" t="s">
        <v>37</v>
      </c>
      <c r="K235" s="34">
        <v>10741.85</v>
      </c>
      <c r="L235" s="34">
        <v>10741.85</v>
      </c>
      <c r="M235" s="34">
        <v>0</v>
      </c>
      <c r="N235" s="34">
        <v>0</v>
      </c>
      <c r="O235" s="34">
        <v>0</v>
      </c>
      <c r="P235" s="34">
        <v>10741.85</v>
      </c>
      <c r="Q235" s="34">
        <v>10741.85</v>
      </c>
      <c r="R235" s="34">
        <v>10741.85</v>
      </c>
      <c r="S235" s="34">
        <v>10741.85</v>
      </c>
      <c r="T235" s="34">
        <v>547535.72657000006</v>
      </c>
      <c r="U235" s="35">
        <v>10741.85</v>
      </c>
      <c r="V235" s="35">
        <v>0</v>
      </c>
      <c r="W235" s="35">
        <v>0</v>
      </c>
      <c r="X235" s="35">
        <v>0</v>
      </c>
      <c r="Y235" s="35">
        <v>0</v>
      </c>
      <c r="Z235" s="35">
        <v>0</v>
      </c>
      <c r="AA235" s="35">
        <v>0</v>
      </c>
      <c r="AB235" s="35">
        <v>0</v>
      </c>
      <c r="AC235" s="35">
        <v>0</v>
      </c>
      <c r="AD235" s="35">
        <v>0</v>
      </c>
      <c r="AE235" s="35">
        <v>0</v>
      </c>
      <c r="AF235" s="35">
        <v>0</v>
      </c>
      <c r="AG235" s="35">
        <v>0</v>
      </c>
      <c r="AH235" s="35">
        <v>0</v>
      </c>
      <c r="AI235" s="36">
        <v>10741.85</v>
      </c>
      <c r="AJ235" s="36">
        <v>0</v>
      </c>
      <c r="AK235" s="36">
        <v>0</v>
      </c>
      <c r="AL235" s="36">
        <v>0</v>
      </c>
      <c r="AM235" s="36">
        <v>0</v>
      </c>
      <c r="AN235" s="36">
        <v>0</v>
      </c>
      <c r="AO235" s="36">
        <v>0</v>
      </c>
      <c r="AP235" s="36">
        <v>0</v>
      </c>
      <c r="AQ235" s="36">
        <v>0</v>
      </c>
      <c r="AR235" s="36">
        <v>0</v>
      </c>
      <c r="AS235" s="36">
        <v>0</v>
      </c>
      <c r="AT235" s="36">
        <v>0</v>
      </c>
      <c r="AU235" s="36">
        <v>0</v>
      </c>
      <c r="AV235" s="36">
        <v>0</v>
      </c>
      <c r="AW235" s="37">
        <v>547535.72657000006</v>
      </c>
      <c r="AX235" s="37">
        <v>0</v>
      </c>
      <c r="AY235" s="37">
        <v>0</v>
      </c>
      <c r="AZ235" s="37">
        <v>0</v>
      </c>
      <c r="BA235" s="37">
        <v>0</v>
      </c>
      <c r="BB235" s="37">
        <v>0</v>
      </c>
      <c r="BC235" s="37">
        <v>0</v>
      </c>
      <c r="BD235" s="37">
        <v>0</v>
      </c>
      <c r="BE235" s="37">
        <v>0</v>
      </c>
      <c r="BF235" s="37">
        <v>0</v>
      </c>
      <c r="BG235" s="37">
        <v>0</v>
      </c>
      <c r="BH235" s="37">
        <v>0</v>
      </c>
      <c r="BI235" s="37">
        <v>0</v>
      </c>
      <c r="BJ235" s="37">
        <v>0</v>
      </c>
      <c r="BK235" s="32" t="s">
        <v>12</v>
      </c>
      <c r="BL235" s="32" t="s">
        <v>13</v>
      </c>
      <c r="BM235" s="33">
        <v>46083.430798611109</v>
      </c>
      <c r="BN235" s="32" t="s">
        <v>20</v>
      </c>
      <c r="BO235" s="32" t="s">
        <v>21</v>
      </c>
      <c r="BP235" s="38">
        <v>-6</v>
      </c>
      <c r="BQ235" s="42"/>
      <c r="BR235" s="39">
        <v>-6</v>
      </c>
      <c r="BS235" s="4" t="s">
        <v>221</v>
      </c>
      <c r="BT235" s="4" t="str">
        <f t="shared" si="13"/>
        <v>120</v>
      </c>
      <c r="BU235" s="4" t="str">
        <f t="shared" si="13"/>
        <v>-6</v>
      </c>
      <c r="BV235" s="4">
        <f t="shared" si="14"/>
        <v>30</v>
      </c>
      <c r="BW235" s="29">
        <f t="shared" si="15"/>
        <v>-64451.100000000006</v>
      </c>
      <c r="BX235" s="4">
        <v>51.49</v>
      </c>
      <c r="BY235" s="29">
        <f t="shared" si="16"/>
        <v>-90.920195589041114</v>
      </c>
    </row>
    <row r="236" spans="1:77" ht="15" customHeight="1" x14ac:dyDescent="0.35">
      <c r="A236" s="32" t="s">
        <v>217</v>
      </c>
      <c r="B236" s="32" t="s">
        <v>753</v>
      </c>
      <c r="C236" s="32" t="s">
        <v>42</v>
      </c>
      <c r="D236" s="32" t="s">
        <v>123</v>
      </c>
      <c r="E236" s="32" t="s">
        <v>124</v>
      </c>
      <c r="F236" s="32" t="s">
        <v>46</v>
      </c>
      <c r="G236" s="33">
        <v>46081</v>
      </c>
      <c r="H236" s="33">
        <v>46081</v>
      </c>
      <c r="I236" s="33">
        <v>46111</v>
      </c>
      <c r="J236" s="32" t="s">
        <v>37</v>
      </c>
      <c r="K236" s="34">
        <v>26746</v>
      </c>
      <c r="L236" s="34">
        <v>26746</v>
      </c>
      <c r="M236" s="34">
        <v>0</v>
      </c>
      <c r="N236" s="34">
        <v>0.5</v>
      </c>
      <c r="O236" s="34">
        <v>0</v>
      </c>
      <c r="P236" s="34">
        <v>26745.5</v>
      </c>
      <c r="Q236" s="34">
        <v>26745.5</v>
      </c>
      <c r="R236" s="34">
        <v>26745.5</v>
      </c>
      <c r="S236" s="34">
        <v>26745.5</v>
      </c>
      <c r="T236" s="34">
        <v>1363276.9750999999</v>
      </c>
      <c r="U236" s="35">
        <v>26745.5</v>
      </c>
      <c r="V236" s="35">
        <v>0</v>
      </c>
      <c r="W236" s="35">
        <v>0</v>
      </c>
      <c r="X236" s="35">
        <v>0</v>
      </c>
      <c r="Y236" s="35">
        <v>0</v>
      </c>
      <c r="Z236" s="35">
        <v>0</v>
      </c>
      <c r="AA236" s="35">
        <v>0</v>
      </c>
      <c r="AB236" s="35">
        <v>0</v>
      </c>
      <c r="AC236" s="35">
        <v>0</v>
      </c>
      <c r="AD236" s="35">
        <v>0</v>
      </c>
      <c r="AE236" s="35">
        <v>0</v>
      </c>
      <c r="AF236" s="35">
        <v>0</v>
      </c>
      <c r="AG236" s="35">
        <v>0</v>
      </c>
      <c r="AH236" s="35">
        <v>0</v>
      </c>
      <c r="AI236" s="36">
        <v>26745.5</v>
      </c>
      <c r="AJ236" s="36">
        <v>0</v>
      </c>
      <c r="AK236" s="36">
        <v>0</v>
      </c>
      <c r="AL236" s="36">
        <v>0</v>
      </c>
      <c r="AM236" s="36">
        <v>0</v>
      </c>
      <c r="AN236" s="36">
        <v>0</v>
      </c>
      <c r="AO236" s="36">
        <v>0</v>
      </c>
      <c r="AP236" s="36">
        <v>0</v>
      </c>
      <c r="AQ236" s="36">
        <v>0</v>
      </c>
      <c r="AR236" s="36">
        <v>0</v>
      </c>
      <c r="AS236" s="36">
        <v>0</v>
      </c>
      <c r="AT236" s="36">
        <v>0</v>
      </c>
      <c r="AU236" s="36">
        <v>0</v>
      </c>
      <c r="AV236" s="36">
        <v>0</v>
      </c>
      <c r="AW236" s="37">
        <v>1363276.9750999999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2" t="s">
        <v>12</v>
      </c>
      <c r="BL236" s="32" t="s">
        <v>13</v>
      </c>
      <c r="BM236" s="33">
        <v>46083.432974537034</v>
      </c>
      <c r="BN236" s="32" t="s">
        <v>20</v>
      </c>
      <c r="BO236" s="32" t="s">
        <v>21</v>
      </c>
      <c r="BP236" s="38">
        <v>-6</v>
      </c>
      <c r="BQ236" s="42"/>
      <c r="BR236" s="39">
        <v>-6</v>
      </c>
      <c r="BS236" s="4" t="s">
        <v>221</v>
      </c>
      <c r="BT236" s="4" t="str">
        <f t="shared" si="13"/>
        <v>120</v>
      </c>
      <c r="BU236" s="4" t="str">
        <f t="shared" si="13"/>
        <v>-6</v>
      </c>
      <c r="BV236" s="4">
        <f t="shared" si="14"/>
        <v>30</v>
      </c>
      <c r="BW236" s="29">
        <f t="shared" si="15"/>
        <v>-160473</v>
      </c>
      <c r="BX236" s="4">
        <v>51.49</v>
      </c>
      <c r="BY236" s="29">
        <f t="shared" si="16"/>
        <v>-226.37684301369865</v>
      </c>
    </row>
    <row r="237" spans="1:77" ht="15" hidden="1" customHeight="1" x14ac:dyDescent="0.35">
      <c r="A237" s="32" t="s">
        <v>217</v>
      </c>
      <c r="B237" s="32" t="s">
        <v>754</v>
      </c>
      <c r="C237" s="32" t="s">
        <v>42</v>
      </c>
      <c r="D237" s="32" t="s">
        <v>450</v>
      </c>
      <c r="E237" s="32" t="s">
        <v>56</v>
      </c>
      <c r="F237" s="32" t="s">
        <v>451</v>
      </c>
      <c r="G237" s="33">
        <v>46081</v>
      </c>
      <c r="H237" s="33">
        <v>46081</v>
      </c>
      <c r="I237" s="33">
        <v>46111</v>
      </c>
      <c r="J237" s="32" t="s">
        <v>19</v>
      </c>
      <c r="K237" s="34">
        <v>52514</v>
      </c>
      <c r="L237" s="34">
        <v>52514</v>
      </c>
      <c r="M237" s="34">
        <v>0</v>
      </c>
      <c r="N237" s="34">
        <v>0</v>
      </c>
      <c r="O237" s="34">
        <v>0</v>
      </c>
      <c r="P237" s="34">
        <v>52514</v>
      </c>
      <c r="Q237" s="34">
        <v>52514</v>
      </c>
      <c r="R237" s="34">
        <v>52514</v>
      </c>
      <c r="S237" s="34">
        <v>45581.771220390699</v>
      </c>
      <c r="T237" s="34">
        <v>2323403.159</v>
      </c>
      <c r="U237" s="35">
        <v>52514</v>
      </c>
      <c r="V237" s="35">
        <v>0</v>
      </c>
      <c r="W237" s="35">
        <v>0</v>
      </c>
      <c r="X237" s="35">
        <v>0</v>
      </c>
      <c r="Y237" s="35">
        <v>0</v>
      </c>
      <c r="Z237" s="35">
        <v>0</v>
      </c>
      <c r="AA237" s="35">
        <v>0</v>
      </c>
      <c r="AB237" s="35">
        <v>0</v>
      </c>
      <c r="AC237" s="35">
        <v>0</v>
      </c>
      <c r="AD237" s="35">
        <v>0</v>
      </c>
      <c r="AE237" s="35">
        <v>0</v>
      </c>
      <c r="AF237" s="35">
        <v>0</v>
      </c>
      <c r="AG237" s="35">
        <v>0</v>
      </c>
      <c r="AH237" s="35">
        <v>0</v>
      </c>
      <c r="AI237" s="36">
        <v>45581.771220390699</v>
      </c>
      <c r="AJ237" s="36">
        <v>0</v>
      </c>
      <c r="AK237" s="36">
        <v>0</v>
      </c>
      <c r="AL237" s="36">
        <v>0</v>
      </c>
      <c r="AM237" s="36">
        <v>0</v>
      </c>
      <c r="AN237" s="36">
        <v>0</v>
      </c>
      <c r="AO237" s="36">
        <v>0</v>
      </c>
      <c r="AP237" s="36">
        <v>0</v>
      </c>
      <c r="AQ237" s="36">
        <v>0</v>
      </c>
      <c r="AR237" s="36">
        <v>0</v>
      </c>
      <c r="AS237" s="36">
        <v>0</v>
      </c>
      <c r="AT237" s="36">
        <v>0</v>
      </c>
      <c r="AU237" s="36">
        <v>0</v>
      </c>
      <c r="AV237" s="36">
        <v>0</v>
      </c>
      <c r="AW237" s="37">
        <v>2323403.159</v>
      </c>
      <c r="AX237" s="37">
        <v>0</v>
      </c>
      <c r="AY237" s="37">
        <v>0</v>
      </c>
      <c r="AZ237" s="37">
        <v>0</v>
      </c>
      <c r="BA237" s="37">
        <v>0</v>
      </c>
      <c r="BB237" s="37">
        <v>0</v>
      </c>
      <c r="BC237" s="37">
        <v>0</v>
      </c>
      <c r="BD237" s="37">
        <v>0</v>
      </c>
      <c r="BE237" s="37">
        <v>0</v>
      </c>
      <c r="BF237" s="37">
        <v>0</v>
      </c>
      <c r="BG237" s="37">
        <v>0</v>
      </c>
      <c r="BH237" s="37">
        <v>0</v>
      </c>
      <c r="BI237" s="37">
        <v>0</v>
      </c>
      <c r="BJ237" s="37">
        <v>0</v>
      </c>
      <c r="BK237" s="32" t="s">
        <v>12</v>
      </c>
      <c r="BL237" s="32" t="s">
        <v>13</v>
      </c>
      <c r="BM237" s="33">
        <v>46083.436724537038</v>
      </c>
      <c r="BN237" s="32" t="s">
        <v>28</v>
      </c>
      <c r="BO237" s="32" t="s">
        <v>29</v>
      </c>
      <c r="BP237" s="38">
        <v>-6</v>
      </c>
      <c r="BQ237" s="42"/>
      <c r="BR237" s="39">
        <v>-6</v>
      </c>
      <c r="BS237" s="4" t="s">
        <v>221</v>
      </c>
      <c r="BT237" s="4" t="str">
        <f t="shared" si="13"/>
        <v>120</v>
      </c>
      <c r="BU237" s="4" t="str">
        <f t="shared" si="13"/>
        <v>-6</v>
      </c>
      <c r="BV237" s="4">
        <f t="shared" si="14"/>
        <v>30</v>
      </c>
      <c r="BW237" s="29">
        <f t="shared" si="15"/>
        <v>-315084</v>
      </c>
      <c r="BX237" s="4">
        <v>51.49</v>
      </c>
      <c r="BY237" s="29">
        <f t="shared" si="16"/>
        <v>-444.48425095890411</v>
      </c>
    </row>
    <row r="238" spans="1:77" ht="15" hidden="1" customHeight="1" x14ac:dyDescent="0.35">
      <c r="A238" s="32" t="s">
        <v>217</v>
      </c>
      <c r="B238" s="32" t="s">
        <v>755</v>
      </c>
      <c r="C238" s="32" t="s">
        <v>42</v>
      </c>
      <c r="D238" s="32" t="s">
        <v>496</v>
      </c>
      <c r="E238" s="32" t="s">
        <v>274</v>
      </c>
      <c r="F238" s="32" t="s">
        <v>497</v>
      </c>
      <c r="G238" s="33">
        <v>46081</v>
      </c>
      <c r="H238" s="33">
        <v>46081</v>
      </c>
      <c r="I238" s="33">
        <v>46111</v>
      </c>
      <c r="J238" s="32" t="s">
        <v>19</v>
      </c>
      <c r="K238" s="34">
        <v>19355</v>
      </c>
      <c r="L238" s="34">
        <v>19355</v>
      </c>
      <c r="M238" s="34">
        <v>0</v>
      </c>
      <c r="N238" s="34">
        <v>0</v>
      </c>
      <c r="O238" s="34">
        <v>0</v>
      </c>
      <c r="P238" s="34">
        <v>19355</v>
      </c>
      <c r="Q238" s="34">
        <v>19355</v>
      </c>
      <c r="R238" s="34">
        <v>19355</v>
      </c>
      <c r="S238" s="34">
        <v>16799.999656675602</v>
      </c>
      <c r="T238" s="34">
        <v>856332.9425</v>
      </c>
      <c r="U238" s="35">
        <v>19355</v>
      </c>
      <c r="V238" s="35">
        <v>0</v>
      </c>
      <c r="W238" s="35">
        <v>0</v>
      </c>
      <c r="X238" s="35">
        <v>0</v>
      </c>
      <c r="Y238" s="35">
        <v>0</v>
      </c>
      <c r="Z238" s="35">
        <v>0</v>
      </c>
      <c r="AA238" s="35">
        <v>0</v>
      </c>
      <c r="AB238" s="35">
        <v>0</v>
      </c>
      <c r="AC238" s="35">
        <v>0</v>
      </c>
      <c r="AD238" s="35">
        <v>0</v>
      </c>
      <c r="AE238" s="35">
        <v>0</v>
      </c>
      <c r="AF238" s="35">
        <v>0</v>
      </c>
      <c r="AG238" s="35">
        <v>0</v>
      </c>
      <c r="AH238" s="35">
        <v>0</v>
      </c>
      <c r="AI238" s="36">
        <v>16799.999656675602</v>
      </c>
      <c r="AJ238" s="36">
        <v>0</v>
      </c>
      <c r="AK238" s="36">
        <v>0</v>
      </c>
      <c r="AL238" s="36">
        <v>0</v>
      </c>
      <c r="AM238" s="36">
        <v>0</v>
      </c>
      <c r="AN238" s="36">
        <v>0</v>
      </c>
      <c r="AO238" s="36">
        <v>0</v>
      </c>
      <c r="AP238" s="36">
        <v>0</v>
      </c>
      <c r="AQ238" s="36">
        <v>0</v>
      </c>
      <c r="AR238" s="36">
        <v>0</v>
      </c>
      <c r="AS238" s="36">
        <v>0</v>
      </c>
      <c r="AT238" s="36">
        <v>0</v>
      </c>
      <c r="AU238" s="36">
        <v>0</v>
      </c>
      <c r="AV238" s="36">
        <v>0</v>
      </c>
      <c r="AW238" s="37">
        <v>856332.9425</v>
      </c>
      <c r="AX238" s="37">
        <v>0</v>
      </c>
      <c r="AY238" s="37"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2" t="s">
        <v>12</v>
      </c>
      <c r="BL238" s="32" t="s">
        <v>13</v>
      </c>
      <c r="BM238" s="33">
        <v>46083.438900462963</v>
      </c>
      <c r="BN238" s="32" t="s">
        <v>28</v>
      </c>
      <c r="BO238" s="32" t="s">
        <v>29</v>
      </c>
      <c r="BP238" s="38">
        <v>-6</v>
      </c>
      <c r="BQ238" s="42"/>
      <c r="BR238" s="39">
        <v>-6</v>
      </c>
      <c r="BS238" s="4" t="s">
        <v>221</v>
      </c>
      <c r="BT238" s="4" t="str">
        <f t="shared" si="13"/>
        <v>120</v>
      </c>
      <c r="BU238" s="4" t="str">
        <f t="shared" si="13"/>
        <v>-6</v>
      </c>
      <c r="BV238" s="4">
        <f t="shared" si="14"/>
        <v>30</v>
      </c>
      <c r="BW238" s="29">
        <f t="shared" si="15"/>
        <v>-116130</v>
      </c>
      <c r="BX238" s="4">
        <v>51.49</v>
      </c>
      <c r="BY238" s="29">
        <f t="shared" si="16"/>
        <v>-163.82284109589042</v>
      </c>
    </row>
    <row r="239" spans="1:77" ht="15" hidden="1" customHeight="1" x14ac:dyDescent="0.35">
      <c r="A239" s="32" t="s">
        <v>217</v>
      </c>
      <c r="B239" s="32" t="s">
        <v>758</v>
      </c>
      <c r="C239" s="32" t="s">
        <v>42</v>
      </c>
      <c r="D239" s="32" t="s">
        <v>494</v>
      </c>
      <c r="E239" s="32" t="s">
        <v>468</v>
      </c>
      <c r="F239" s="32" t="s">
        <v>495</v>
      </c>
      <c r="G239" s="33">
        <v>46081</v>
      </c>
      <c r="H239" s="33">
        <v>46081</v>
      </c>
      <c r="I239" s="33">
        <v>46111</v>
      </c>
      <c r="J239" s="32" t="s">
        <v>37</v>
      </c>
      <c r="K239" s="34">
        <v>43920</v>
      </c>
      <c r="L239" s="34">
        <v>43920</v>
      </c>
      <c r="M239" s="34">
        <v>0</v>
      </c>
      <c r="N239" s="34">
        <v>0.12</v>
      </c>
      <c r="O239" s="34">
        <v>0</v>
      </c>
      <c r="P239" s="34">
        <v>43919.88</v>
      </c>
      <c r="Q239" s="34">
        <v>43919.88</v>
      </c>
      <c r="R239" s="34">
        <v>43919.88</v>
      </c>
      <c r="S239" s="34">
        <v>43919.88</v>
      </c>
      <c r="T239" s="34">
        <v>2238692.9073359999</v>
      </c>
      <c r="U239" s="35">
        <v>43919.88</v>
      </c>
      <c r="V239" s="35">
        <v>0</v>
      </c>
      <c r="W239" s="35">
        <v>0</v>
      </c>
      <c r="X239" s="35">
        <v>0</v>
      </c>
      <c r="Y239" s="35">
        <v>0</v>
      </c>
      <c r="Z239" s="35">
        <v>0</v>
      </c>
      <c r="AA239" s="35">
        <v>0</v>
      </c>
      <c r="AB239" s="35">
        <v>0</v>
      </c>
      <c r="AC239" s="35">
        <v>0</v>
      </c>
      <c r="AD239" s="35">
        <v>0</v>
      </c>
      <c r="AE239" s="35">
        <v>0</v>
      </c>
      <c r="AF239" s="35">
        <v>0</v>
      </c>
      <c r="AG239" s="35">
        <v>0</v>
      </c>
      <c r="AH239" s="35">
        <v>0</v>
      </c>
      <c r="AI239" s="36">
        <v>43919.88</v>
      </c>
      <c r="AJ239" s="36">
        <v>0</v>
      </c>
      <c r="AK239" s="36">
        <v>0</v>
      </c>
      <c r="AL239" s="36">
        <v>0</v>
      </c>
      <c r="AM239" s="36">
        <v>0</v>
      </c>
      <c r="AN239" s="36">
        <v>0</v>
      </c>
      <c r="AO239" s="36">
        <v>0</v>
      </c>
      <c r="AP239" s="36">
        <v>0</v>
      </c>
      <c r="AQ239" s="36">
        <v>0</v>
      </c>
      <c r="AR239" s="36">
        <v>0</v>
      </c>
      <c r="AS239" s="36">
        <v>0</v>
      </c>
      <c r="AT239" s="36">
        <v>0</v>
      </c>
      <c r="AU239" s="36">
        <v>0</v>
      </c>
      <c r="AV239" s="36">
        <v>0</v>
      </c>
      <c r="AW239" s="37">
        <v>2238692.9073359999</v>
      </c>
      <c r="AX239" s="37">
        <v>0</v>
      </c>
      <c r="AY239" s="37">
        <v>0</v>
      </c>
      <c r="AZ239" s="37">
        <v>0</v>
      </c>
      <c r="BA239" s="37">
        <v>0</v>
      </c>
      <c r="BB239" s="37">
        <v>0</v>
      </c>
      <c r="BC239" s="37">
        <v>0</v>
      </c>
      <c r="BD239" s="37">
        <v>0</v>
      </c>
      <c r="BE239" s="37">
        <v>0</v>
      </c>
      <c r="BF239" s="37">
        <v>0</v>
      </c>
      <c r="BG239" s="37">
        <v>0</v>
      </c>
      <c r="BH239" s="37">
        <v>0</v>
      </c>
      <c r="BI239" s="37">
        <v>0</v>
      </c>
      <c r="BJ239" s="37">
        <v>0</v>
      </c>
      <c r="BK239" s="32" t="s">
        <v>12</v>
      </c>
      <c r="BL239" s="32" t="s">
        <v>13</v>
      </c>
      <c r="BM239" s="33">
        <v>46083.667002314818</v>
      </c>
      <c r="BN239" s="32" t="s">
        <v>20</v>
      </c>
      <c r="BO239" s="32" t="s">
        <v>21</v>
      </c>
      <c r="BP239" s="38">
        <v>-6</v>
      </c>
      <c r="BQ239" s="42"/>
      <c r="BR239" s="39">
        <v>-6</v>
      </c>
      <c r="BS239" s="4" t="s">
        <v>221</v>
      </c>
      <c r="BT239" s="4" t="str">
        <f t="shared" si="13"/>
        <v>120</v>
      </c>
      <c r="BU239" s="4" t="str">
        <f t="shared" si="13"/>
        <v>-6</v>
      </c>
      <c r="BV239" s="4">
        <f t="shared" si="14"/>
        <v>30</v>
      </c>
      <c r="BW239" s="29">
        <f t="shared" si="15"/>
        <v>-263519.27999999997</v>
      </c>
      <c r="BX239" s="4">
        <v>51.49</v>
      </c>
      <c r="BY239" s="29">
        <f t="shared" si="16"/>
        <v>-371.74267745753423</v>
      </c>
    </row>
    <row r="240" spans="1:77" ht="15" hidden="1" customHeight="1" x14ac:dyDescent="0.35">
      <c r="A240" s="32" t="s">
        <v>217</v>
      </c>
      <c r="B240" s="32" t="s">
        <v>759</v>
      </c>
      <c r="C240" s="32" t="s">
        <v>42</v>
      </c>
      <c r="D240" s="32" t="s">
        <v>494</v>
      </c>
      <c r="E240" s="32" t="s">
        <v>468</v>
      </c>
      <c r="F240" s="32" t="s">
        <v>495</v>
      </c>
      <c r="G240" s="33">
        <v>46081</v>
      </c>
      <c r="H240" s="33">
        <v>46081</v>
      </c>
      <c r="I240" s="33">
        <v>46111</v>
      </c>
      <c r="J240" s="32" t="s">
        <v>37</v>
      </c>
      <c r="K240" s="34">
        <v>15086</v>
      </c>
      <c r="L240" s="34">
        <v>15086</v>
      </c>
      <c r="M240" s="34">
        <v>0</v>
      </c>
      <c r="N240" s="34">
        <v>0</v>
      </c>
      <c r="O240" s="34">
        <v>0</v>
      </c>
      <c r="P240" s="34">
        <v>15086</v>
      </c>
      <c r="Q240" s="34">
        <v>15086</v>
      </c>
      <c r="R240" s="34">
        <v>15086</v>
      </c>
      <c r="S240" s="34">
        <v>15086</v>
      </c>
      <c r="T240" s="34">
        <v>768966.60919999995</v>
      </c>
      <c r="U240" s="35">
        <v>15086</v>
      </c>
      <c r="V240" s="35">
        <v>0</v>
      </c>
      <c r="W240" s="35">
        <v>0</v>
      </c>
      <c r="X240" s="35">
        <v>0</v>
      </c>
      <c r="Y240" s="35">
        <v>0</v>
      </c>
      <c r="Z240" s="35">
        <v>0</v>
      </c>
      <c r="AA240" s="35">
        <v>0</v>
      </c>
      <c r="AB240" s="35">
        <v>0</v>
      </c>
      <c r="AC240" s="35">
        <v>0</v>
      </c>
      <c r="AD240" s="35">
        <v>0</v>
      </c>
      <c r="AE240" s="35">
        <v>0</v>
      </c>
      <c r="AF240" s="35">
        <v>0</v>
      </c>
      <c r="AG240" s="35">
        <v>0</v>
      </c>
      <c r="AH240" s="35">
        <v>0</v>
      </c>
      <c r="AI240" s="36">
        <v>15086</v>
      </c>
      <c r="AJ240" s="36">
        <v>0</v>
      </c>
      <c r="AK240" s="36">
        <v>0</v>
      </c>
      <c r="AL240" s="36">
        <v>0</v>
      </c>
      <c r="AM240" s="36">
        <v>0</v>
      </c>
      <c r="AN240" s="36">
        <v>0</v>
      </c>
      <c r="AO240" s="36">
        <v>0</v>
      </c>
      <c r="AP240" s="36">
        <v>0</v>
      </c>
      <c r="AQ240" s="36">
        <v>0</v>
      </c>
      <c r="AR240" s="36">
        <v>0</v>
      </c>
      <c r="AS240" s="36">
        <v>0</v>
      </c>
      <c r="AT240" s="36">
        <v>0</v>
      </c>
      <c r="AU240" s="36">
        <v>0</v>
      </c>
      <c r="AV240" s="36">
        <v>0</v>
      </c>
      <c r="AW240" s="37">
        <v>768966.60919999995</v>
      </c>
      <c r="AX240" s="37">
        <v>0</v>
      </c>
      <c r="AY240" s="37"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2" t="s">
        <v>12</v>
      </c>
      <c r="BL240" s="32" t="s">
        <v>13</v>
      </c>
      <c r="BM240" s="33">
        <v>46083.670046296298</v>
      </c>
      <c r="BN240" s="32" t="s">
        <v>20</v>
      </c>
      <c r="BO240" s="32" t="s">
        <v>21</v>
      </c>
      <c r="BP240" s="38">
        <v>-6</v>
      </c>
      <c r="BQ240" s="42"/>
      <c r="BR240" s="39">
        <v>-6</v>
      </c>
      <c r="BS240" s="4" t="s">
        <v>221</v>
      </c>
      <c r="BT240" s="4" t="str">
        <f t="shared" si="13"/>
        <v>120</v>
      </c>
      <c r="BU240" s="4" t="str">
        <f t="shared" si="13"/>
        <v>-6</v>
      </c>
      <c r="BV240" s="4">
        <f t="shared" si="14"/>
        <v>30</v>
      </c>
      <c r="BW240" s="29">
        <f t="shared" si="15"/>
        <v>-90516</v>
      </c>
      <c r="BX240" s="4">
        <v>51.49</v>
      </c>
      <c r="BY240" s="29">
        <f t="shared" si="16"/>
        <v>-127.68955726027397</v>
      </c>
    </row>
    <row r="241" spans="1:77" ht="15" hidden="1" customHeight="1" x14ac:dyDescent="0.35">
      <c r="A241" s="32" t="s">
        <v>217</v>
      </c>
      <c r="B241" s="32" t="s">
        <v>760</v>
      </c>
      <c r="C241" s="32" t="s">
        <v>16</v>
      </c>
      <c r="D241" s="32" t="s">
        <v>562</v>
      </c>
      <c r="E241" s="32" t="s">
        <v>462</v>
      </c>
      <c r="F241" s="32" t="s">
        <v>46</v>
      </c>
      <c r="G241" s="33">
        <v>46081</v>
      </c>
      <c r="H241" s="33">
        <v>46081</v>
      </c>
      <c r="I241" s="33">
        <v>46096</v>
      </c>
      <c r="J241" s="32" t="s">
        <v>11</v>
      </c>
      <c r="K241" s="34">
        <v>641960.39</v>
      </c>
      <c r="L241" s="34">
        <v>629372.93000000005</v>
      </c>
      <c r="M241" s="34">
        <v>12587.46</v>
      </c>
      <c r="N241" s="34">
        <v>0</v>
      </c>
      <c r="O241" s="34">
        <v>0</v>
      </c>
      <c r="P241" s="34">
        <v>641960.39</v>
      </c>
      <c r="Q241" s="34">
        <v>0</v>
      </c>
      <c r="R241" s="34">
        <v>641960.39</v>
      </c>
      <c r="S241" s="34">
        <v>12594.3237686425</v>
      </c>
      <c r="T241" s="34">
        <v>641960.39</v>
      </c>
      <c r="U241" s="35">
        <v>0</v>
      </c>
      <c r="V241" s="35">
        <v>0</v>
      </c>
      <c r="W241" s="35">
        <v>0</v>
      </c>
      <c r="X241" s="35">
        <v>0</v>
      </c>
      <c r="Y241" s="35">
        <v>0</v>
      </c>
      <c r="Z241" s="35">
        <v>0</v>
      </c>
      <c r="AA241" s="35">
        <v>0</v>
      </c>
      <c r="AB241" s="35">
        <v>641960.39</v>
      </c>
      <c r="AC241" s="35">
        <v>0</v>
      </c>
      <c r="AD241" s="35">
        <v>0</v>
      </c>
      <c r="AE241" s="35">
        <v>0</v>
      </c>
      <c r="AF241" s="35">
        <v>0</v>
      </c>
      <c r="AG241" s="35">
        <v>0</v>
      </c>
      <c r="AH241" s="35">
        <v>0</v>
      </c>
      <c r="AI241" s="36">
        <v>0</v>
      </c>
      <c r="AJ241" s="36">
        <v>0</v>
      </c>
      <c r="AK241" s="36">
        <v>0</v>
      </c>
      <c r="AL241" s="36">
        <v>0</v>
      </c>
      <c r="AM241" s="36">
        <v>0</v>
      </c>
      <c r="AN241" s="36">
        <v>0</v>
      </c>
      <c r="AO241" s="36">
        <v>0</v>
      </c>
      <c r="AP241" s="36">
        <v>12594.3237686425</v>
      </c>
      <c r="AQ241" s="36">
        <v>0</v>
      </c>
      <c r="AR241" s="36">
        <v>0</v>
      </c>
      <c r="AS241" s="36">
        <v>0</v>
      </c>
      <c r="AT241" s="36">
        <v>0</v>
      </c>
      <c r="AU241" s="36">
        <v>0</v>
      </c>
      <c r="AV241" s="36">
        <v>0</v>
      </c>
      <c r="AW241" s="37">
        <v>0</v>
      </c>
      <c r="AX241" s="37">
        <v>0</v>
      </c>
      <c r="AY241" s="37">
        <v>0</v>
      </c>
      <c r="AZ241" s="37">
        <v>0</v>
      </c>
      <c r="BA241" s="37">
        <v>0</v>
      </c>
      <c r="BB241" s="37">
        <v>0</v>
      </c>
      <c r="BC241" s="37">
        <v>0</v>
      </c>
      <c r="BD241" s="37">
        <v>641960.39</v>
      </c>
      <c r="BE241" s="37">
        <v>0</v>
      </c>
      <c r="BF241" s="37">
        <v>0</v>
      </c>
      <c r="BG241" s="37">
        <v>0</v>
      </c>
      <c r="BH241" s="37">
        <v>0</v>
      </c>
      <c r="BI241" s="37">
        <v>0</v>
      </c>
      <c r="BJ241" s="37">
        <v>0</v>
      </c>
      <c r="BK241" s="32" t="s">
        <v>12</v>
      </c>
      <c r="BL241" s="32" t="s">
        <v>13</v>
      </c>
      <c r="BM241" s="33">
        <v>46083.848252314812</v>
      </c>
      <c r="BN241" s="32" t="s">
        <v>28</v>
      </c>
      <c r="BO241" s="32" t="s">
        <v>29</v>
      </c>
      <c r="BP241" s="38">
        <v>9</v>
      </c>
      <c r="BQ241" s="42"/>
      <c r="BR241" s="39">
        <v>9</v>
      </c>
      <c r="BS241" s="4" t="s">
        <v>220</v>
      </c>
      <c r="BT241" s="4" t="str">
        <f t="shared" si="13"/>
        <v>120</v>
      </c>
      <c r="BU241" s="4" t="str">
        <f t="shared" si="13"/>
        <v>9</v>
      </c>
      <c r="BV241" s="4">
        <f t="shared" si="14"/>
        <v>15</v>
      </c>
      <c r="BW241" s="29">
        <f t="shared" si="15"/>
        <v>5777643.5099999998</v>
      </c>
      <c r="BX241" s="4">
        <v>51.49</v>
      </c>
      <c r="BY241" s="29">
        <f t="shared" si="16"/>
        <v>8150.4346391753434</v>
      </c>
    </row>
    <row r="242" spans="1:77" ht="15" customHeight="1" x14ac:dyDescent="0.35">
      <c r="A242" s="32" t="s">
        <v>217</v>
      </c>
      <c r="B242" s="32" t="s">
        <v>761</v>
      </c>
      <c r="C242" s="32" t="s">
        <v>38</v>
      </c>
      <c r="D242" s="32" t="s">
        <v>489</v>
      </c>
      <c r="E242" s="32" t="s">
        <v>490</v>
      </c>
      <c r="F242" s="32" t="s">
        <v>46</v>
      </c>
      <c r="G242" s="33">
        <v>46081</v>
      </c>
      <c r="H242" s="33">
        <v>46081</v>
      </c>
      <c r="I242" s="33">
        <v>46096</v>
      </c>
      <c r="J242" s="32" t="s">
        <v>37</v>
      </c>
      <c r="K242" s="34">
        <v>110</v>
      </c>
      <c r="L242" s="34">
        <v>110</v>
      </c>
      <c r="M242" s="34">
        <v>0</v>
      </c>
      <c r="N242" s="34">
        <v>0</v>
      </c>
      <c r="O242" s="34">
        <v>0</v>
      </c>
      <c r="P242" s="34">
        <v>110</v>
      </c>
      <c r="Q242" s="34">
        <v>0</v>
      </c>
      <c r="R242" s="34">
        <v>110</v>
      </c>
      <c r="S242" s="34">
        <v>110</v>
      </c>
      <c r="T242" s="34">
        <v>5606.942</v>
      </c>
      <c r="U242" s="35">
        <v>0</v>
      </c>
      <c r="V242" s="35">
        <v>0</v>
      </c>
      <c r="W242" s="35">
        <v>0</v>
      </c>
      <c r="X242" s="35">
        <v>0</v>
      </c>
      <c r="Y242" s="35">
        <v>0</v>
      </c>
      <c r="Z242" s="35">
        <v>0</v>
      </c>
      <c r="AA242" s="35">
        <v>0</v>
      </c>
      <c r="AB242" s="35">
        <v>110</v>
      </c>
      <c r="AC242" s="35">
        <v>0</v>
      </c>
      <c r="AD242" s="35">
        <v>0</v>
      </c>
      <c r="AE242" s="35">
        <v>0</v>
      </c>
      <c r="AF242" s="35">
        <v>0</v>
      </c>
      <c r="AG242" s="35">
        <v>0</v>
      </c>
      <c r="AH242" s="35">
        <v>0</v>
      </c>
      <c r="AI242" s="36">
        <v>0</v>
      </c>
      <c r="AJ242" s="36">
        <v>0</v>
      </c>
      <c r="AK242" s="36">
        <v>0</v>
      </c>
      <c r="AL242" s="36">
        <v>0</v>
      </c>
      <c r="AM242" s="36">
        <v>0</v>
      </c>
      <c r="AN242" s="36">
        <v>0</v>
      </c>
      <c r="AO242" s="36">
        <v>0</v>
      </c>
      <c r="AP242" s="36">
        <v>110</v>
      </c>
      <c r="AQ242" s="36">
        <v>0</v>
      </c>
      <c r="AR242" s="36">
        <v>0</v>
      </c>
      <c r="AS242" s="36">
        <v>0</v>
      </c>
      <c r="AT242" s="36">
        <v>0</v>
      </c>
      <c r="AU242" s="36">
        <v>0</v>
      </c>
      <c r="AV242" s="36">
        <v>0</v>
      </c>
      <c r="AW242" s="37">
        <v>0</v>
      </c>
      <c r="AX242" s="37">
        <v>0</v>
      </c>
      <c r="AY242" s="37"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5606.942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2" t="s">
        <v>12</v>
      </c>
      <c r="BL242" s="32" t="s">
        <v>13</v>
      </c>
      <c r="BM242" s="33">
        <v>46084.412280092591</v>
      </c>
      <c r="BN242" s="32" t="s">
        <v>28</v>
      </c>
      <c r="BO242" s="32" t="s">
        <v>29</v>
      </c>
      <c r="BP242" s="38">
        <v>9</v>
      </c>
      <c r="BQ242" s="42"/>
      <c r="BR242" s="39">
        <v>9</v>
      </c>
      <c r="BS242" s="4" t="s">
        <v>220</v>
      </c>
      <c r="BT242" s="4" t="str">
        <f t="shared" si="13"/>
        <v>120</v>
      </c>
      <c r="BU242" s="4" t="str">
        <f t="shared" si="13"/>
        <v>9</v>
      </c>
      <c r="BV242" s="4">
        <f t="shared" si="14"/>
        <v>15</v>
      </c>
      <c r="BW242" s="29">
        <f t="shared" si="15"/>
        <v>990</v>
      </c>
      <c r="BX242" s="4">
        <v>51.49</v>
      </c>
      <c r="BY242" s="29">
        <f t="shared" si="16"/>
        <v>1.3965780821917808</v>
      </c>
    </row>
    <row r="243" spans="1:77" ht="15" hidden="1" customHeight="1" x14ac:dyDescent="0.35">
      <c r="A243" s="32" t="s">
        <v>217</v>
      </c>
      <c r="B243" s="32" t="s">
        <v>762</v>
      </c>
      <c r="C243" s="32" t="s">
        <v>42</v>
      </c>
      <c r="D243" s="32" t="s">
        <v>763</v>
      </c>
      <c r="E243" s="32" t="s">
        <v>385</v>
      </c>
      <c r="F243" s="32" t="s">
        <v>764</v>
      </c>
      <c r="G243" s="33">
        <v>46081</v>
      </c>
      <c r="H243" s="33">
        <v>46081</v>
      </c>
      <c r="I243" s="33">
        <v>46111</v>
      </c>
      <c r="J243" s="32" t="s">
        <v>37</v>
      </c>
      <c r="K243" s="34">
        <v>1550</v>
      </c>
      <c r="L243" s="34">
        <v>1550</v>
      </c>
      <c r="M243" s="34">
        <v>0</v>
      </c>
      <c r="N243" s="34">
        <v>0</v>
      </c>
      <c r="O243" s="34">
        <v>0</v>
      </c>
      <c r="P243" s="34">
        <v>1550</v>
      </c>
      <c r="Q243" s="34">
        <v>1550</v>
      </c>
      <c r="R243" s="34">
        <v>1550</v>
      </c>
      <c r="S243" s="34">
        <v>1550</v>
      </c>
      <c r="T243" s="34">
        <v>79006.91</v>
      </c>
      <c r="U243" s="35">
        <v>1550</v>
      </c>
      <c r="V243" s="35">
        <v>0</v>
      </c>
      <c r="W243" s="35">
        <v>0</v>
      </c>
      <c r="X243" s="35">
        <v>0</v>
      </c>
      <c r="Y243" s="35">
        <v>0</v>
      </c>
      <c r="Z243" s="35">
        <v>0</v>
      </c>
      <c r="AA243" s="35">
        <v>0</v>
      </c>
      <c r="AB243" s="35">
        <v>0</v>
      </c>
      <c r="AC243" s="35">
        <v>0</v>
      </c>
      <c r="AD243" s="35">
        <v>0</v>
      </c>
      <c r="AE243" s="35">
        <v>0</v>
      </c>
      <c r="AF243" s="35">
        <v>0</v>
      </c>
      <c r="AG243" s="35">
        <v>0</v>
      </c>
      <c r="AH243" s="35">
        <v>0</v>
      </c>
      <c r="AI243" s="36">
        <v>1550</v>
      </c>
      <c r="AJ243" s="36">
        <v>0</v>
      </c>
      <c r="AK243" s="36">
        <v>0</v>
      </c>
      <c r="AL243" s="36">
        <v>0</v>
      </c>
      <c r="AM243" s="36">
        <v>0</v>
      </c>
      <c r="AN243" s="36">
        <v>0</v>
      </c>
      <c r="AO243" s="36">
        <v>0</v>
      </c>
      <c r="AP243" s="36">
        <v>0</v>
      </c>
      <c r="AQ243" s="36">
        <v>0</v>
      </c>
      <c r="AR243" s="36">
        <v>0</v>
      </c>
      <c r="AS243" s="36">
        <v>0</v>
      </c>
      <c r="AT243" s="36">
        <v>0</v>
      </c>
      <c r="AU243" s="36">
        <v>0</v>
      </c>
      <c r="AV243" s="36">
        <v>0</v>
      </c>
      <c r="AW243" s="37">
        <v>79006.91</v>
      </c>
      <c r="AX243" s="37">
        <v>0</v>
      </c>
      <c r="AY243" s="37">
        <v>0</v>
      </c>
      <c r="AZ243" s="37">
        <v>0</v>
      </c>
      <c r="BA243" s="37">
        <v>0</v>
      </c>
      <c r="BB243" s="37">
        <v>0</v>
      </c>
      <c r="BC243" s="37">
        <v>0</v>
      </c>
      <c r="BD243" s="37">
        <v>0</v>
      </c>
      <c r="BE243" s="37">
        <v>0</v>
      </c>
      <c r="BF243" s="37">
        <v>0</v>
      </c>
      <c r="BG243" s="37">
        <v>0</v>
      </c>
      <c r="BH243" s="37">
        <v>0</v>
      </c>
      <c r="BI243" s="37">
        <v>0</v>
      </c>
      <c r="BJ243" s="37">
        <v>0</v>
      </c>
      <c r="BK243" s="32" t="s">
        <v>12</v>
      </c>
      <c r="BL243" s="32" t="s">
        <v>13</v>
      </c>
      <c r="BM243" s="33">
        <v>46084.496805555558</v>
      </c>
      <c r="BN243" s="32" t="s">
        <v>20</v>
      </c>
      <c r="BO243" s="32" t="s">
        <v>21</v>
      </c>
      <c r="BP243" s="38">
        <v>-6</v>
      </c>
      <c r="BQ243" s="42"/>
      <c r="BR243" s="39">
        <v>-6</v>
      </c>
      <c r="BS243" s="4" t="s">
        <v>221</v>
      </c>
      <c r="BT243" s="4" t="str">
        <f t="shared" si="13"/>
        <v>120</v>
      </c>
      <c r="BU243" s="4" t="str">
        <f t="shared" si="13"/>
        <v>-6</v>
      </c>
      <c r="BV243" s="4">
        <f t="shared" si="14"/>
        <v>30</v>
      </c>
      <c r="BW243" s="29">
        <f t="shared" si="15"/>
        <v>-9300</v>
      </c>
      <c r="BX243" s="4">
        <v>51.49</v>
      </c>
      <c r="BY243" s="29">
        <f t="shared" si="16"/>
        <v>-13.119369863013699</v>
      </c>
    </row>
    <row r="244" spans="1:77" ht="15" hidden="1" customHeight="1" x14ac:dyDescent="0.35">
      <c r="A244" s="32" t="s">
        <v>217</v>
      </c>
      <c r="B244" s="32" t="s">
        <v>765</v>
      </c>
      <c r="C244" s="32" t="s">
        <v>16</v>
      </c>
      <c r="D244" s="32" t="s">
        <v>110</v>
      </c>
      <c r="E244" s="32" t="s">
        <v>111</v>
      </c>
      <c r="F244" s="32" t="s">
        <v>46</v>
      </c>
      <c r="G244" s="33">
        <v>46090</v>
      </c>
      <c r="H244" s="33">
        <v>46090</v>
      </c>
      <c r="I244" s="33">
        <v>46120</v>
      </c>
      <c r="J244" s="32" t="s">
        <v>11</v>
      </c>
      <c r="K244" s="34">
        <v>621961.30000000005</v>
      </c>
      <c r="L244" s="34">
        <v>609765.98</v>
      </c>
      <c r="M244" s="34">
        <v>12195.32</v>
      </c>
      <c r="N244" s="34">
        <v>0</v>
      </c>
      <c r="O244" s="34">
        <v>0</v>
      </c>
      <c r="P244" s="34">
        <v>621961.30000000005</v>
      </c>
      <c r="Q244" s="34">
        <v>621961.30000000005</v>
      </c>
      <c r="R244" s="34">
        <v>621961.30000000005</v>
      </c>
      <c r="S244" s="34">
        <v>12201.970878243401</v>
      </c>
      <c r="T244" s="34">
        <v>621961.30000000005</v>
      </c>
      <c r="U244" s="35">
        <v>621961.30000000005</v>
      </c>
      <c r="V244" s="35">
        <v>0</v>
      </c>
      <c r="W244" s="35">
        <v>0</v>
      </c>
      <c r="X244" s="35">
        <v>0</v>
      </c>
      <c r="Y244" s="35">
        <v>0</v>
      </c>
      <c r="Z244" s="35">
        <v>0</v>
      </c>
      <c r="AA244" s="35">
        <v>0</v>
      </c>
      <c r="AB244" s="35">
        <v>0</v>
      </c>
      <c r="AC244" s="35">
        <v>0</v>
      </c>
      <c r="AD244" s="35">
        <v>0</v>
      </c>
      <c r="AE244" s="35">
        <v>0</v>
      </c>
      <c r="AF244" s="35">
        <v>0</v>
      </c>
      <c r="AG244" s="35">
        <v>0</v>
      </c>
      <c r="AH244" s="35">
        <v>0</v>
      </c>
      <c r="AI244" s="36">
        <v>12201.970878243401</v>
      </c>
      <c r="AJ244" s="36">
        <v>0</v>
      </c>
      <c r="AK244" s="36">
        <v>0</v>
      </c>
      <c r="AL244" s="36">
        <v>0</v>
      </c>
      <c r="AM244" s="36">
        <v>0</v>
      </c>
      <c r="AN244" s="36">
        <v>0</v>
      </c>
      <c r="AO244" s="36">
        <v>0</v>
      </c>
      <c r="AP244" s="36">
        <v>0</v>
      </c>
      <c r="AQ244" s="36">
        <v>0</v>
      </c>
      <c r="AR244" s="36">
        <v>0</v>
      </c>
      <c r="AS244" s="36">
        <v>0</v>
      </c>
      <c r="AT244" s="36">
        <v>0</v>
      </c>
      <c r="AU244" s="36">
        <v>0</v>
      </c>
      <c r="AV244" s="36">
        <v>0</v>
      </c>
      <c r="AW244" s="37">
        <v>621961.30000000005</v>
      </c>
      <c r="AX244" s="37">
        <v>0</v>
      </c>
      <c r="AY244" s="37"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2" t="s">
        <v>12</v>
      </c>
      <c r="BL244" s="32" t="s">
        <v>13</v>
      </c>
      <c r="BM244" s="33">
        <v>46090.391550925924</v>
      </c>
      <c r="BN244" s="32" t="s">
        <v>112</v>
      </c>
      <c r="BO244" s="32" t="s">
        <v>15</v>
      </c>
      <c r="BP244" s="38">
        <v>-15</v>
      </c>
      <c r="BQ244" s="42"/>
      <c r="BR244" s="39">
        <v>-15</v>
      </c>
      <c r="BS244" s="4" t="s">
        <v>221</v>
      </c>
      <c r="BT244" s="4" t="str">
        <f t="shared" si="13"/>
        <v>120</v>
      </c>
      <c r="BU244" s="4" t="str">
        <f t="shared" si="13"/>
        <v>-15</v>
      </c>
      <c r="BV244" s="4">
        <f t="shared" si="14"/>
        <v>30</v>
      </c>
      <c r="BW244" s="29">
        <f t="shared" si="15"/>
        <v>-9329419.5</v>
      </c>
      <c r="BX244" s="4">
        <v>51.49</v>
      </c>
      <c r="BY244" s="29">
        <f t="shared" si="16"/>
        <v>-13160.871508356164</v>
      </c>
    </row>
    <row r="245" spans="1:77" ht="15" hidden="1" customHeight="1" x14ac:dyDescent="0.35">
      <c r="A245" s="32" t="s">
        <v>217</v>
      </c>
      <c r="B245" s="32" t="s">
        <v>766</v>
      </c>
      <c r="C245" s="32" t="s">
        <v>16</v>
      </c>
      <c r="D245" s="32" t="s">
        <v>110</v>
      </c>
      <c r="E245" s="32" t="s">
        <v>111</v>
      </c>
      <c r="F245" s="32" t="s">
        <v>46</v>
      </c>
      <c r="G245" s="33">
        <v>46090</v>
      </c>
      <c r="H245" s="33">
        <v>46090</v>
      </c>
      <c r="I245" s="33">
        <v>46120</v>
      </c>
      <c r="J245" s="32" t="s">
        <v>11</v>
      </c>
      <c r="K245" s="34">
        <v>684964.46</v>
      </c>
      <c r="L245" s="34">
        <v>671533.78</v>
      </c>
      <c r="M245" s="34">
        <v>13430.68</v>
      </c>
      <c r="N245" s="34">
        <v>0</v>
      </c>
      <c r="O245" s="34">
        <v>0</v>
      </c>
      <c r="P245" s="34">
        <v>684964.46</v>
      </c>
      <c r="Q245" s="34">
        <v>684964.46</v>
      </c>
      <c r="R245" s="34">
        <v>684964.46</v>
      </c>
      <c r="S245" s="34">
        <v>13438.0007141148</v>
      </c>
      <c r="T245" s="34">
        <v>684964.46</v>
      </c>
      <c r="U245" s="35">
        <v>684964.46</v>
      </c>
      <c r="V245" s="35">
        <v>0</v>
      </c>
      <c r="W245" s="35">
        <v>0</v>
      </c>
      <c r="X245" s="35">
        <v>0</v>
      </c>
      <c r="Y245" s="35">
        <v>0</v>
      </c>
      <c r="Z245" s="35">
        <v>0</v>
      </c>
      <c r="AA245" s="35">
        <v>0</v>
      </c>
      <c r="AB245" s="35">
        <v>0</v>
      </c>
      <c r="AC245" s="35">
        <v>0</v>
      </c>
      <c r="AD245" s="35">
        <v>0</v>
      </c>
      <c r="AE245" s="35">
        <v>0</v>
      </c>
      <c r="AF245" s="35">
        <v>0</v>
      </c>
      <c r="AG245" s="35">
        <v>0</v>
      </c>
      <c r="AH245" s="35">
        <v>0</v>
      </c>
      <c r="AI245" s="36">
        <v>13438.0007141148</v>
      </c>
      <c r="AJ245" s="36">
        <v>0</v>
      </c>
      <c r="AK245" s="36">
        <v>0</v>
      </c>
      <c r="AL245" s="36">
        <v>0</v>
      </c>
      <c r="AM245" s="36">
        <v>0</v>
      </c>
      <c r="AN245" s="36">
        <v>0</v>
      </c>
      <c r="AO245" s="36">
        <v>0</v>
      </c>
      <c r="AP245" s="36">
        <v>0</v>
      </c>
      <c r="AQ245" s="36">
        <v>0</v>
      </c>
      <c r="AR245" s="36">
        <v>0</v>
      </c>
      <c r="AS245" s="36">
        <v>0</v>
      </c>
      <c r="AT245" s="36">
        <v>0</v>
      </c>
      <c r="AU245" s="36">
        <v>0</v>
      </c>
      <c r="AV245" s="36">
        <v>0</v>
      </c>
      <c r="AW245" s="37">
        <v>684964.46</v>
      </c>
      <c r="AX245" s="37">
        <v>0</v>
      </c>
      <c r="AY245" s="37">
        <v>0</v>
      </c>
      <c r="AZ245" s="37">
        <v>0</v>
      </c>
      <c r="BA245" s="37">
        <v>0</v>
      </c>
      <c r="BB245" s="37">
        <v>0</v>
      </c>
      <c r="BC245" s="37">
        <v>0</v>
      </c>
      <c r="BD245" s="37">
        <v>0</v>
      </c>
      <c r="BE245" s="37">
        <v>0</v>
      </c>
      <c r="BF245" s="37">
        <v>0</v>
      </c>
      <c r="BG245" s="37">
        <v>0</v>
      </c>
      <c r="BH245" s="37">
        <v>0</v>
      </c>
      <c r="BI245" s="37">
        <v>0</v>
      </c>
      <c r="BJ245" s="37">
        <v>0</v>
      </c>
      <c r="BK245" s="32" t="s">
        <v>12</v>
      </c>
      <c r="BL245" s="32" t="s">
        <v>13</v>
      </c>
      <c r="BM245" s="33">
        <v>46090.395092592589</v>
      </c>
      <c r="BN245" s="32" t="s">
        <v>112</v>
      </c>
      <c r="BO245" s="32" t="s">
        <v>15</v>
      </c>
      <c r="BP245" s="38">
        <v>-15</v>
      </c>
      <c r="BQ245" s="42"/>
      <c r="BR245" s="39">
        <v>-15</v>
      </c>
      <c r="BS245" s="4" t="s">
        <v>221</v>
      </c>
      <c r="BT245" s="4" t="str">
        <f t="shared" si="13"/>
        <v>120</v>
      </c>
      <c r="BU245" s="4" t="str">
        <f t="shared" si="13"/>
        <v>-15</v>
      </c>
      <c r="BV245" s="4">
        <f t="shared" si="14"/>
        <v>30</v>
      </c>
      <c r="BW245" s="29">
        <f t="shared" si="15"/>
        <v>-10274466.899999999</v>
      </c>
      <c r="BX245" s="4">
        <v>51.49</v>
      </c>
      <c r="BY245" s="29">
        <f t="shared" si="16"/>
        <v>-14494.035635095888</v>
      </c>
    </row>
    <row r="246" spans="1:77" ht="15" hidden="1" customHeight="1" x14ac:dyDescent="0.35">
      <c r="A246" s="32" t="s">
        <v>217</v>
      </c>
      <c r="B246" s="32" t="s">
        <v>767</v>
      </c>
      <c r="C246" s="32" t="s">
        <v>16</v>
      </c>
      <c r="D246" s="32" t="s">
        <v>110</v>
      </c>
      <c r="E246" s="32" t="s">
        <v>111</v>
      </c>
      <c r="F246" s="32" t="s">
        <v>46</v>
      </c>
      <c r="G246" s="33">
        <v>46090</v>
      </c>
      <c r="H246" s="33">
        <v>46090</v>
      </c>
      <c r="I246" s="33">
        <v>46120</v>
      </c>
      <c r="J246" s="32" t="s">
        <v>11</v>
      </c>
      <c r="K246" s="34">
        <v>468254.31</v>
      </c>
      <c r="L246" s="34">
        <v>459072.85</v>
      </c>
      <c r="M246" s="34">
        <v>9181.4599999999991</v>
      </c>
      <c r="N246" s="34">
        <v>0</v>
      </c>
      <c r="O246" s="34">
        <v>0</v>
      </c>
      <c r="P246" s="34">
        <v>468254.31</v>
      </c>
      <c r="Q246" s="34">
        <v>468254.31</v>
      </c>
      <c r="R246" s="34">
        <v>468254.31</v>
      </c>
      <c r="S246" s="34">
        <v>9186.4645826548604</v>
      </c>
      <c r="T246" s="34">
        <v>468254.31</v>
      </c>
      <c r="U246" s="35">
        <v>468254.31</v>
      </c>
      <c r="V246" s="35">
        <v>0</v>
      </c>
      <c r="W246" s="35">
        <v>0</v>
      </c>
      <c r="X246" s="35">
        <v>0</v>
      </c>
      <c r="Y246" s="35">
        <v>0</v>
      </c>
      <c r="Z246" s="35">
        <v>0</v>
      </c>
      <c r="AA246" s="35">
        <v>0</v>
      </c>
      <c r="AB246" s="35">
        <v>0</v>
      </c>
      <c r="AC246" s="35">
        <v>0</v>
      </c>
      <c r="AD246" s="35">
        <v>0</v>
      </c>
      <c r="AE246" s="35">
        <v>0</v>
      </c>
      <c r="AF246" s="35">
        <v>0</v>
      </c>
      <c r="AG246" s="35">
        <v>0</v>
      </c>
      <c r="AH246" s="35">
        <v>0</v>
      </c>
      <c r="AI246" s="36">
        <v>9186.4645826548604</v>
      </c>
      <c r="AJ246" s="36">
        <v>0</v>
      </c>
      <c r="AK246" s="36">
        <v>0</v>
      </c>
      <c r="AL246" s="36">
        <v>0</v>
      </c>
      <c r="AM246" s="36">
        <v>0</v>
      </c>
      <c r="AN246" s="36">
        <v>0</v>
      </c>
      <c r="AO246" s="36">
        <v>0</v>
      </c>
      <c r="AP246" s="36">
        <v>0</v>
      </c>
      <c r="AQ246" s="36">
        <v>0</v>
      </c>
      <c r="AR246" s="36">
        <v>0</v>
      </c>
      <c r="AS246" s="36">
        <v>0</v>
      </c>
      <c r="AT246" s="36">
        <v>0</v>
      </c>
      <c r="AU246" s="36">
        <v>0</v>
      </c>
      <c r="AV246" s="36">
        <v>0</v>
      </c>
      <c r="AW246" s="37">
        <v>468254.31</v>
      </c>
      <c r="AX246" s="37">
        <v>0</v>
      </c>
      <c r="AY246" s="37"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2" t="s">
        <v>12</v>
      </c>
      <c r="BL246" s="32" t="s">
        <v>13</v>
      </c>
      <c r="BM246" s="33">
        <v>46090.396874999999</v>
      </c>
      <c r="BN246" s="32" t="s">
        <v>112</v>
      </c>
      <c r="BO246" s="32" t="s">
        <v>15</v>
      </c>
      <c r="BP246" s="38">
        <v>-15</v>
      </c>
      <c r="BQ246" s="42"/>
      <c r="BR246" s="39">
        <v>-15</v>
      </c>
      <c r="BS246" s="4" t="s">
        <v>221</v>
      </c>
      <c r="BT246" s="4" t="str">
        <f t="shared" si="13"/>
        <v>120</v>
      </c>
      <c r="BU246" s="4" t="str">
        <f t="shared" si="13"/>
        <v>-15</v>
      </c>
      <c r="BV246" s="4">
        <f t="shared" si="14"/>
        <v>30</v>
      </c>
      <c r="BW246" s="29">
        <f t="shared" si="15"/>
        <v>-7023814.6500000004</v>
      </c>
      <c r="BX246" s="4">
        <v>51.49</v>
      </c>
      <c r="BY246" s="29">
        <f t="shared" si="16"/>
        <v>-9908.389488452056</v>
      </c>
    </row>
    <row r="247" spans="1:77" ht="15" hidden="1" customHeight="1" x14ac:dyDescent="0.35">
      <c r="A247" s="32" t="s">
        <v>217</v>
      </c>
      <c r="B247" s="32" t="s">
        <v>768</v>
      </c>
      <c r="C247" s="32" t="s">
        <v>16</v>
      </c>
      <c r="D247" s="32" t="s">
        <v>110</v>
      </c>
      <c r="E247" s="32" t="s">
        <v>111</v>
      </c>
      <c r="F247" s="32" t="s">
        <v>46</v>
      </c>
      <c r="G247" s="33">
        <v>46090</v>
      </c>
      <c r="H247" s="33">
        <v>46090</v>
      </c>
      <c r="I247" s="33">
        <v>46120</v>
      </c>
      <c r="J247" s="32" t="s">
        <v>11</v>
      </c>
      <c r="K247" s="34">
        <v>548397.28</v>
      </c>
      <c r="L247" s="34">
        <v>537644.39</v>
      </c>
      <c r="M247" s="34">
        <v>10752.89</v>
      </c>
      <c r="N247" s="34">
        <v>0</v>
      </c>
      <c r="O247" s="34">
        <v>0</v>
      </c>
      <c r="P247" s="34">
        <v>548397.28</v>
      </c>
      <c r="Q247" s="34">
        <v>548397.28</v>
      </c>
      <c r="R247" s="34">
        <v>548397.28</v>
      </c>
      <c r="S247" s="34">
        <v>10758.752417984701</v>
      </c>
      <c r="T247" s="34">
        <v>548397.28</v>
      </c>
      <c r="U247" s="35">
        <v>548397.28</v>
      </c>
      <c r="V247" s="35">
        <v>0</v>
      </c>
      <c r="W247" s="35">
        <v>0</v>
      </c>
      <c r="X247" s="35">
        <v>0</v>
      </c>
      <c r="Y247" s="35">
        <v>0</v>
      </c>
      <c r="Z247" s="35">
        <v>0</v>
      </c>
      <c r="AA247" s="35">
        <v>0</v>
      </c>
      <c r="AB247" s="35">
        <v>0</v>
      </c>
      <c r="AC247" s="35">
        <v>0</v>
      </c>
      <c r="AD247" s="35">
        <v>0</v>
      </c>
      <c r="AE247" s="35">
        <v>0</v>
      </c>
      <c r="AF247" s="35">
        <v>0</v>
      </c>
      <c r="AG247" s="35">
        <v>0</v>
      </c>
      <c r="AH247" s="35">
        <v>0</v>
      </c>
      <c r="AI247" s="36">
        <v>10758.752417984701</v>
      </c>
      <c r="AJ247" s="36">
        <v>0</v>
      </c>
      <c r="AK247" s="36">
        <v>0</v>
      </c>
      <c r="AL247" s="36">
        <v>0</v>
      </c>
      <c r="AM247" s="36">
        <v>0</v>
      </c>
      <c r="AN247" s="36">
        <v>0</v>
      </c>
      <c r="AO247" s="36">
        <v>0</v>
      </c>
      <c r="AP247" s="36">
        <v>0</v>
      </c>
      <c r="AQ247" s="36">
        <v>0</v>
      </c>
      <c r="AR247" s="36">
        <v>0</v>
      </c>
      <c r="AS247" s="36">
        <v>0</v>
      </c>
      <c r="AT247" s="36">
        <v>0</v>
      </c>
      <c r="AU247" s="36">
        <v>0</v>
      </c>
      <c r="AV247" s="36">
        <v>0</v>
      </c>
      <c r="AW247" s="37">
        <v>548397.28</v>
      </c>
      <c r="AX247" s="37">
        <v>0</v>
      </c>
      <c r="AY247" s="37">
        <v>0</v>
      </c>
      <c r="AZ247" s="37">
        <v>0</v>
      </c>
      <c r="BA247" s="37">
        <v>0</v>
      </c>
      <c r="BB247" s="37">
        <v>0</v>
      </c>
      <c r="BC247" s="37">
        <v>0</v>
      </c>
      <c r="BD247" s="37">
        <v>0</v>
      </c>
      <c r="BE247" s="37">
        <v>0</v>
      </c>
      <c r="BF247" s="37">
        <v>0</v>
      </c>
      <c r="BG247" s="37">
        <v>0</v>
      </c>
      <c r="BH247" s="37">
        <v>0</v>
      </c>
      <c r="BI247" s="37">
        <v>0</v>
      </c>
      <c r="BJ247" s="37">
        <v>0</v>
      </c>
      <c r="BK247" s="32" t="s">
        <v>12</v>
      </c>
      <c r="BL247" s="32" t="s">
        <v>13</v>
      </c>
      <c r="BM247" s="33">
        <v>46090.400196759256</v>
      </c>
      <c r="BN247" s="32" t="s">
        <v>112</v>
      </c>
      <c r="BO247" s="32" t="s">
        <v>15</v>
      </c>
      <c r="BP247" s="38">
        <v>-15</v>
      </c>
      <c r="BQ247" s="42"/>
      <c r="BR247" s="39">
        <v>-15</v>
      </c>
      <c r="BS247" s="4" t="s">
        <v>221</v>
      </c>
      <c r="BT247" s="4" t="str">
        <f t="shared" si="13"/>
        <v>120</v>
      </c>
      <c r="BU247" s="4" t="str">
        <f t="shared" si="13"/>
        <v>-15</v>
      </c>
      <c r="BV247" s="4">
        <f t="shared" si="14"/>
        <v>30</v>
      </c>
      <c r="BW247" s="29">
        <f t="shared" si="15"/>
        <v>-8225959.2000000002</v>
      </c>
      <c r="BX247" s="4">
        <v>51.49</v>
      </c>
      <c r="BY247" s="29">
        <f t="shared" si="16"/>
        <v>-11604.236690630138</v>
      </c>
    </row>
    <row r="248" spans="1:77" ht="15" hidden="1" customHeight="1" x14ac:dyDescent="0.35">
      <c r="A248" s="32" t="s">
        <v>217</v>
      </c>
      <c r="B248" s="32" t="s">
        <v>769</v>
      </c>
      <c r="C248" s="32" t="s">
        <v>16</v>
      </c>
      <c r="D248" s="32" t="s">
        <v>110</v>
      </c>
      <c r="E248" s="32" t="s">
        <v>111</v>
      </c>
      <c r="F248" s="32" t="s">
        <v>46</v>
      </c>
      <c r="G248" s="33">
        <v>46090</v>
      </c>
      <c r="H248" s="33">
        <v>46090</v>
      </c>
      <c r="I248" s="33">
        <v>46120</v>
      </c>
      <c r="J248" s="32" t="s">
        <v>11</v>
      </c>
      <c r="K248" s="34">
        <v>370961.14</v>
      </c>
      <c r="L248" s="34">
        <v>363687.39</v>
      </c>
      <c r="M248" s="34">
        <v>7273.75</v>
      </c>
      <c r="N248" s="34">
        <v>0</v>
      </c>
      <c r="O248" s="34">
        <v>0</v>
      </c>
      <c r="P248" s="34">
        <v>370961.14</v>
      </c>
      <c r="Q248" s="34">
        <v>370961.14</v>
      </c>
      <c r="R248" s="34">
        <v>370961.14</v>
      </c>
      <c r="S248" s="34">
        <v>7277.7149112653597</v>
      </c>
      <c r="T248" s="34">
        <v>370961.14</v>
      </c>
      <c r="U248" s="35">
        <v>370961.14</v>
      </c>
      <c r="V248" s="35">
        <v>0</v>
      </c>
      <c r="W248" s="35">
        <v>0</v>
      </c>
      <c r="X248" s="35">
        <v>0</v>
      </c>
      <c r="Y248" s="35">
        <v>0</v>
      </c>
      <c r="Z248" s="35">
        <v>0</v>
      </c>
      <c r="AA248" s="35">
        <v>0</v>
      </c>
      <c r="AB248" s="35">
        <v>0</v>
      </c>
      <c r="AC248" s="35">
        <v>0</v>
      </c>
      <c r="AD248" s="35">
        <v>0</v>
      </c>
      <c r="AE248" s="35">
        <v>0</v>
      </c>
      <c r="AF248" s="35">
        <v>0</v>
      </c>
      <c r="AG248" s="35">
        <v>0</v>
      </c>
      <c r="AH248" s="35">
        <v>0</v>
      </c>
      <c r="AI248" s="36">
        <v>7277.7149112653597</v>
      </c>
      <c r="AJ248" s="36">
        <v>0</v>
      </c>
      <c r="AK248" s="36">
        <v>0</v>
      </c>
      <c r="AL248" s="36">
        <v>0</v>
      </c>
      <c r="AM248" s="36">
        <v>0</v>
      </c>
      <c r="AN248" s="36">
        <v>0</v>
      </c>
      <c r="AO248" s="36">
        <v>0</v>
      </c>
      <c r="AP248" s="36">
        <v>0</v>
      </c>
      <c r="AQ248" s="36">
        <v>0</v>
      </c>
      <c r="AR248" s="36">
        <v>0</v>
      </c>
      <c r="AS248" s="36">
        <v>0</v>
      </c>
      <c r="AT248" s="36">
        <v>0</v>
      </c>
      <c r="AU248" s="36">
        <v>0</v>
      </c>
      <c r="AV248" s="36">
        <v>0</v>
      </c>
      <c r="AW248" s="37">
        <v>370961.14</v>
      </c>
      <c r="AX248" s="37">
        <v>0</v>
      </c>
      <c r="AY248" s="37"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2" t="s">
        <v>12</v>
      </c>
      <c r="BL248" s="32" t="s">
        <v>13</v>
      </c>
      <c r="BM248" s="33">
        <v>46090.402916666666</v>
      </c>
      <c r="BN248" s="32" t="s">
        <v>112</v>
      </c>
      <c r="BO248" s="32" t="s">
        <v>15</v>
      </c>
      <c r="BP248" s="38">
        <v>-15</v>
      </c>
      <c r="BQ248" s="42"/>
      <c r="BR248" s="39">
        <v>-15</v>
      </c>
      <c r="BS248" s="4" t="s">
        <v>221</v>
      </c>
      <c r="BT248" s="4" t="str">
        <f t="shared" si="13"/>
        <v>120</v>
      </c>
      <c r="BU248" s="4" t="str">
        <f t="shared" si="13"/>
        <v>-15</v>
      </c>
      <c r="BV248" s="4">
        <f t="shared" si="14"/>
        <v>30</v>
      </c>
      <c r="BW248" s="29">
        <f t="shared" si="15"/>
        <v>-5564417.1000000006</v>
      </c>
      <c r="BX248" s="4">
        <v>51.49</v>
      </c>
      <c r="BY248" s="29">
        <f t="shared" si="16"/>
        <v>-7849.6393555890418</v>
      </c>
    </row>
    <row r="249" spans="1:77" ht="15" hidden="1" customHeight="1" x14ac:dyDescent="0.35">
      <c r="A249" s="32" t="s">
        <v>217</v>
      </c>
      <c r="B249" s="32" t="s">
        <v>770</v>
      </c>
      <c r="C249" s="32" t="s">
        <v>16</v>
      </c>
      <c r="D249" s="32" t="s">
        <v>110</v>
      </c>
      <c r="E249" s="32" t="s">
        <v>111</v>
      </c>
      <c r="F249" s="32" t="s">
        <v>46</v>
      </c>
      <c r="G249" s="33">
        <v>46090</v>
      </c>
      <c r="H249" s="33">
        <v>46090</v>
      </c>
      <c r="I249" s="33">
        <v>46120</v>
      </c>
      <c r="J249" s="32" t="s">
        <v>11</v>
      </c>
      <c r="K249" s="34">
        <v>417441.74</v>
      </c>
      <c r="L249" s="34">
        <v>409256.61</v>
      </c>
      <c r="M249" s="34">
        <v>8185.13</v>
      </c>
      <c r="N249" s="34">
        <v>0</v>
      </c>
      <c r="O249" s="34">
        <v>0</v>
      </c>
      <c r="P249" s="34">
        <v>417441.74</v>
      </c>
      <c r="Q249" s="34">
        <v>417441.74</v>
      </c>
      <c r="R249" s="34">
        <v>417441.74</v>
      </c>
      <c r="S249" s="34">
        <v>8189.5962897422496</v>
      </c>
      <c r="T249" s="34">
        <v>417441.74</v>
      </c>
      <c r="U249" s="35">
        <v>417441.74</v>
      </c>
      <c r="V249" s="35">
        <v>0</v>
      </c>
      <c r="W249" s="35">
        <v>0</v>
      </c>
      <c r="X249" s="35">
        <v>0</v>
      </c>
      <c r="Y249" s="35">
        <v>0</v>
      </c>
      <c r="Z249" s="35">
        <v>0</v>
      </c>
      <c r="AA249" s="35">
        <v>0</v>
      </c>
      <c r="AB249" s="35">
        <v>0</v>
      </c>
      <c r="AC249" s="35">
        <v>0</v>
      </c>
      <c r="AD249" s="35">
        <v>0</v>
      </c>
      <c r="AE249" s="35">
        <v>0</v>
      </c>
      <c r="AF249" s="35">
        <v>0</v>
      </c>
      <c r="AG249" s="35">
        <v>0</v>
      </c>
      <c r="AH249" s="35">
        <v>0</v>
      </c>
      <c r="AI249" s="36">
        <v>8189.5962897422496</v>
      </c>
      <c r="AJ249" s="36">
        <v>0</v>
      </c>
      <c r="AK249" s="36">
        <v>0</v>
      </c>
      <c r="AL249" s="36">
        <v>0</v>
      </c>
      <c r="AM249" s="36">
        <v>0</v>
      </c>
      <c r="AN249" s="36">
        <v>0</v>
      </c>
      <c r="AO249" s="36">
        <v>0</v>
      </c>
      <c r="AP249" s="36">
        <v>0</v>
      </c>
      <c r="AQ249" s="36">
        <v>0</v>
      </c>
      <c r="AR249" s="36">
        <v>0</v>
      </c>
      <c r="AS249" s="36">
        <v>0</v>
      </c>
      <c r="AT249" s="36">
        <v>0</v>
      </c>
      <c r="AU249" s="36">
        <v>0</v>
      </c>
      <c r="AV249" s="36">
        <v>0</v>
      </c>
      <c r="AW249" s="37">
        <v>417441.74</v>
      </c>
      <c r="AX249" s="37">
        <v>0</v>
      </c>
      <c r="AY249" s="37">
        <v>0</v>
      </c>
      <c r="AZ249" s="37">
        <v>0</v>
      </c>
      <c r="BA249" s="37">
        <v>0</v>
      </c>
      <c r="BB249" s="37">
        <v>0</v>
      </c>
      <c r="BC249" s="37">
        <v>0</v>
      </c>
      <c r="BD249" s="37">
        <v>0</v>
      </c>
      <c r="BE249" s="37">
        <v>0</v>
      </c>
      <c r="BF249" s="37">
        <v>0</v>
      </c>
      <c r="BG249" s="37">
        <v>0</v>
      </c>
      <c r="BH249" s="37">
        <v>0</v>
      </c>
      <c r="BI249" s="37">
        <v>0</v>
      </c>
      <c r="BJ249" s="37">
        <v>0</v>
      </c>
      <c r="BK249" s="32" t="s">
        <v>12</v>
      </c>
      <c r="BL249" s="32" t="s">
        <v>13</v>
      </c>
      <c r="BM249" s="33">
        <v>46090.404976851853</v>
      </c>
      <c r="BN249" s="32" t="s">
        <v>112</v>
      </c>
      <c r="BO249" s="32" t="s">
        <v>15</v>
      </c>
      <c r="BP249" s="38">
        <v>-15</v>
      </c>
      <c r="BQ249" s="42"/>
      <c r="BR249" s="39">
        <v>-15</v>
      </c>
      <c r="BS249" s="4" t="s">
        <v>221</v>
      </c>
      <c r="BT249" s="4" t="str">
        <f t="shared" si="13"/>
        <v>120</v>
      </c>
      <c r="BU249" s="4" t="str">
        <f t="shared" si="13"/>
        <v>-15</v>
      </c>
      <c r="BV249" s="4">
        <f t="shared" si="14"/>
        <v>30</v>
      </c>
      <c r="BW249" s="29">
        <f t="shared" si="15"/>
        <v>-6261626.0999999996</v>
      </c>
      <c r="BX249" s="4">
        <v>51.49</v>
      </c>
      <c r="BY249" s="29">
        <f t="shared" si="16"/>
        <v>-8833.1815860000006</v>
      </c>
    </row>
    <row r="250" spans="1:77" ht="15" customHeight="1" x14ac:dyDescent="0.35">
      <c r="A250" s="32" t="s">
        <v>217</v>
      </c>
      <c r="B250" s="32" t="s">
        <v>771</v>
      </c>
      <c r="C250" s="32" t="s">
        <v>90</v>
      </c>
      <c r="D250" s="32" t="s">
        <v>8</v>
      </c>
      <c r="E250" s="32" t="s">
        <v>9</v>
      </c>
      <c r="F250" s="32" t="s">
        <v>10</v>
      </c>
      <c r="G250" s="33">
        <v>46090</v>
      </c>
      <c r="H250" s="33">
        <v>46090</v>
      </c>
      <c r="I250" s="33">
        <v>46097</v>
      </c>
      <c r="J250" s="32" t="s">
        <v>11</v>
      </c>
      <c r="K250" s="34">
        <v>2000</v>
      </c>
      <c r="L250" s="34">
        <v>2000</v>
      </c>
      <c r="M250" s="34">
        <v>0</v>
      </c>
      <c r="N250" s="34">
        <v>0</v>
      </c>
      <c r="O250" s="34">
        <v>0</v>
      </c>
      <c r="P250" s="34">
        <v>2000</v>
      </c>
      <c r="Q250" s="34">
        <v>0</v>
      </c>
      <c r="R250" s="34">
        <v>2000</v>
      </c>
      <c r="S250" s="34">
        <v>39.237074326789902</v>
      </c>
      <c r="T250" s="34">
        <v>2000</v>
      </c>
      <c r="U250" s="35">
        <v>0</v>
      </c>
      <c r="V250" s="35">
        <v>0</v>
      </c>
      <c r="W250" s="35">
        <v>0</v>
      </c>
      <c r="X250" s="35">
        <v>0</v>
      </c>
      <c r="Y250" s="35">
        <v>0</v>
      </c>
      <c r="Z250" s="35">
        <v>0</v>
      </c>
      <c r="AA250" s="35">
        <v>0</v>
      </c>
      <c r="AB250" s="35">
        <v>2000</v>
      </c>
      <c r="AC250" s="35">
        <v>0</v>
      </c>
      <c r="AD250" s="35">
        <v>0</v>
      </c>
      <c r="AE250" s="35">
        <v>0</v>
      </c>
      <c r="AF250" s="35">
        <v>0</v>
      </c>
      <c r="AG250" s="35">
        <v>0</v>
      </c>
      <c r="AH250" s="35">
        <v>0</v>
      </c>
      <c r="AI250" s="36">
        <v>0</v>
      </c>
      <c r="AJ250" s="36">
        <v>0</v>
      </c>
      <c r="AK250" s="36">
        <v>0</v>
      </c>
      <c r="AL250" s="36">
        <v>0</v>
      </c>
      <c r="AM250" s="36">
        <v>0</v>
      </c>
      <c r="AN250" s="36">
        <v>0</v>
      </c>
      <c r="AO250" s="36">
        <v>0</v>
      </c>
      <c r="AP250" s="36">
        <v>39.237074326789902</v>
      </c>
      <c r="AQ250" s="36">
        <v>0</v>
      </c>
      <c r="AR250" s="36">
        <v>0</v>
      </c>
      <c r="AS250" s="36">
        <v>0</v>
      </c>
      <c r="AT250" s="36">
        <v>0</v>
      </c>
      <c r="AU250" s="36">
        <v>0</v>
      </c>
      <c r="AV250" s="36">
        <v>0</v>
      </c>
      <c r="AW250" s="37">
        <v>0</v>
      </c>
      <c r="AX250" s="37">
        <v>0</v>
      </c>
      <c r="AY250" s="37"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2000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2" t="s">
        <v>12</v>
      </c>
      <c r="BL250" s="32" t="s">
        <v>13</v>
      </c>
      <c r="BM250" s="33">
        <v>46090.407557870371</v>
      </c>
      <c r="BN250" s="32" t="s">
        <v>14</v>
      </c>
      <c r="BO250" s="32" t="s">
        <v>15</v>
      </c>
      <c r="BP250" s="38">
        <v>8</v>
      </c>
      <c r="BQ250" s="42"/>
      <c r="BR250" s="39">
        <v>8</v>
      </c>
      <c r="BS250" s="4" t="s">
        <v>220</v>
      </c>
      <c r="BT250" s="4" t="str">
        <f t="shared" si="13"/>
        <v>120</v>
      </c>
      <c r="BU250" s="4" t="str">
        <f t="shared" si="13"/>
        <v>8</v>
      </c>
      <c r="BV250" s="4">
        <f t="shared" si="14"/>
        <v>7</v>
      </c>
      <c r="BW250" s="29">
        <f t="shared" si="15"/>
        <v>16000</v>
      </c>
      <c r="BX250" s="4">
        <v>51.49</v>
      </c>
      <c r="BY250" s="29">
        <f t="shared" si="16"/>
        <v>22.570958904109588</v>
      </c>
    </row>
    <row r="251" spans="1:77" ht="15" hidden="1" customHeight="1" x14ac:dyDescent="0.35">
      <c r="A251" s="32" t="s">
        <v>217</v>
      </c>
      <c r="B251" s="32" t="s">
        <v>772</v>
      </c>
      <c r="C251" s="32" t="s">
        <v>90</v>
      </c>
      <c r="D251" s="32" t="s">
        <v>67</v>
      </c>
      <c r="E251" s="32" t="s">
        <v>68</v>
      </c>
      <c r="F251" s="32" t="s">
        <v>69</v>
      </c>
      <c r="G251" s="33">
        <v>46090</v>
      </c>
      <c r="H251" s="33">
        <v>46090</v>
      </c>
      <c r="I251" s="33">
        <v>46097</v>
      </c>
      <c r="J251" s="32" t="s">
        <v>11</v>
      </c>
      <c r="K251" s="34">
        <v>5800</v>
      </c>
      <c r="L251" s="34">
        <v>5800</v>
      </c>
      <c r="M251" s="34">
        <v>0</v>
      </c>
      <c r="N251" s="34">
        <v>0</v>
      </c>
      <c r="O251" s="34">
        <v>0</v>
      </c>
      <c r="P251" s="34">
        <v>5800</v>
      </c>
      <c r="Q251" s="34">
        <v>0</v>
      </c>
      <c r="R251" s="34">
        <v>5800</v>
      </c>
      <c r="S251" s="34">
        <v>113.787515547691</v>
      </c>
      <c r="T251" s="34">
        <v>5800</v>
      </c>
      <c r="U251" s="35">
        <v>0</v>
      </c>
      <c r="V251" s="35">
        <v>0</v>
      </c>
      <c r="W251" s="35">
        <v>0</v>
      </c>
      <c r="X251" s="35">
        <v>0</v>
      </c>
      <c r="Y251" s="35">
        <v>0</v>
      </c>
      <c r="Z251" s="35">
        <v>0</v>
      </c>
      <c r="AA251" s="35">
        <v>0</v>
      </c>
      <c r="AB251" s="35">
        <v>5800</v>
      </c>
      <c r="AC251" s="35">
        <v>0</v>
      </c>
      <c r="AD251" s="35">
        <v>0</v>
      </c>
      <c r="AE251" s="35">
        <v>0</v>
      </c>
      <c r="AF251" s="35">
        <v>0</v>
      </c>
      <c r="AG251" s="35">
        <v>0</v>
      </c>
      <c r="AH251" s="35">
        <v>0</v>
      </c>
      <c r="AI251" s="36">
        <v>0</v>
      </c>
      <c r="AJ251" s="36">
        <v>0</v>
      </c>
      <c r="AK251" s="36">
        <v>0</v>
      </c>
      <c r="AL251" s="36">
        <v>0</v>
      </c>
      <c r="AM251" s="36">
        <v>0</v>
      </c>
      <c r="AN251" s="36">
        <v>0</v>
      </c>
      <c r="AO251" s="36">
        <v>0</v>
      </c>
      <c r="AP251" s="36">
        <v>113.787515547691</v>
      </c>
      <c r="AQ251" s="36">
        <v>0</v>
      </c>
      <c r="AR251" s="36">
        <v>0</v>
      </c>
      <c r="AS251" s="36">
        <v>0</v>
      </c>
      <c r="AT251" s="36">
        <v>0</v>
      </c>
      <c r="AU251" s="36">
        <v>0</v>
      </c>
      <c r="AV251" s="36">
        <v>0</v>
      </c>
      <c r="AW251" s="37">
        <v>0</v>
      </c>
      <c r="AX251" s="37">
        <v>0</v>
      </c>
      <c r="AY251" s="37">
        <v>0</v>
      </c>
      <c r="AZ251" s="37">
        <v>0</v>
      </c>
      <c r="BA251" s="37">
        <v>0</v>
      </c>
      <c r="BB251" s="37">
        <v>0</v>
      </c>
      <c r="BC251" s="37">
        <v>0</v>
      </c>
      <c r="BD251" s="37">
        <v>5800</v>
      </c>
      <c r="BE251" s="37">
        <v>0</v>
      </c>
      <c r="BF251" s="37">
        <v>0</v>
      </c>
      <c r="BG251" s="37">
        <v>0</v>
      </c>
      <c r="BH251" s="37">
        <v>0</v>
      </c>
      <c r="BI251" s="37">
        <v>0</v>
      </c>
      <c r="BJ251" s="37">
        <v>0</v>
      </c>
      <c r="BK251" s="32" t="s">
        <v>12</v>
      </c>
      <c r="BL251" s="32" t="s">
        <v>13</v>
      </c>
      <c r="BM251" s="33">
        <v>46090.410150462965</v>
      </c>
      <c r="BN251" s="32" t="s">
        <v>70</v>
      </c>
      <c r="BO251" s="32" t="s">
        <v>15</v>
      </c>
      <c r="BP251" s="38">
        <v>8</v>
      </c>
      <c r="BQ251" s="42"/>
      <c r="BR251" s="39">
        <v>8</v>
      </c>
      <c r="BS251" s="4" t="s">
        <v>220</v>
      </c>
      <c r="BT251" s="4" t="str">
        <f t="shared" si="13"/>
        <v>120</v>
      </c>
      <c r="BU251" s="4" t="str">
        <f t="shared" si="13"/>
        <v>8</v>
      </c>
      <c r="BV251" s="4">
        <f t="shared" si="14"/>
        <v>7</v>
      </c>
      <c r="BW251" s="29">
        <f t="shared" si="15"/>
        <v>46400</v>
      </c>
      <c r="BX251" s="4">
        <v>51.49</v>
      </c>
      <c r="BY251" s="29">
        <f t="shared" si="16"/>
        <v>65.455780821917813</v>
      </c>
    </row>
    <row r="252" spans="1:77" ht="15" hidden="1" customHeight="1" x14ac:dyDescent="0.35">
      <c r="A252" s="32" t="s">
        <v>217</v>
      </c>
      <c r="B252" s="32" t="s">
        <v>773</v>
      </c>
      <c r="C252" s="32" t="s">
        <v>90</v>
      </c>
      <c r="D252" s="32" t="s">
        <v>447</v>
      </c>
      <c r="E252" s="32" t="s">
        <v>136</v>
      </c>
      <c r="F252" s="32" t="s">
        <v>528</v>
      </c>
      <c r="G252" s="33">
        <v>46090</v>
      </c>
      <c r="H252" s="33">
        <v>46090</v>
      </c>
      <c r="I252" s="33">
        <v>46097</v>
      </c>
      <c r="J252" s="32" t="s">
        <v>11</v>
      </c>
      <c r="K252" s="34">
        <v>11683.33</v>
      </c>
      <c r="L252" s="34">
        <v>11683.33</v>
      </c>
      <c r="M252" s="34">
        <v>0</v>
      </c>
      <c r="N252" s="34">
        <v>0</v>
      </c>
      <c r="O252" s="34">
        <v>0</v>
      </c>
      <c r="P252" s="34">
        <v>11683.33</v>
      </c>
      <c r="Q252" s="34">
        <v>0</v>
      </c>
      <c r="R252" s="34">
        <v>11683.33</v>
      </c>
      <c r="S252" s="34">
        <v>229.20984379720699</v>
      </c>
      <c r="T252" s="34">
        <v>11683.33</v>
      </c>
      <c r="U252" s="35">
        <v>0</v>
      </c>
      <c r="V252" s="35">
        <v>0</v>
      </c>
      <c r="W252" s="35">
        <v>0</v>
      </c>
      <c r="X252" s="35">
        <v>0</v>
      </c>
      <c r="Y252" s="35">
        <v>0</v>
      </c>
      <c r="Z252" s="35">
        <v>0</v>
      </c>
      <c r="AA252" s="35">
        <v>0</v>
      </c>
      <c r="AB252" s="35">
        <v>11683.33</v>
      </c>
      <c r="AC252" s="35">
        <v>0</v>
      </c>
      <c r="AD252" s="35">
        <v>0</v>
      </c>
      <c r="AE252" s="35">
        <v>0</v>
      </c>
      <c r="AF252" s="35">
        <v>0</v>
      </c>
      <c r="AG252" s="35">
        <v>0</v>
      </c>
      <c r="AH252" s="35">
        <v>0</v>
      </c>
      <c r="AI252" s="36">
        <v>0</v>
      </c>
      <c r="AJ252" s="36">
        <v>0</v>
      </c>
      <c r="AK252" s="36">
        <v>0</v>
      </c>
      <c r="AL252" s="36">
        <v>0</v>
      </c>
      <c r="AM252" s="36">
        <v>0</v>
      </c>
      <c r="AN252" s="36">
        <v>0</v>
      </c>
      <c r="AO252" s="36">
        <v>0</v>
      </c>
      <c r="AP252" s="36">
        <v>229.20984379720699</v>
      </c>
      <c r="AQ252" s="36">
        <v>0</v>
      </c>
      <c r="AR252" s="36">
        <v>0</v>
      </c>
      <c r="AS252" s="36">
        <v>0</v>
      </c>
      <c r="AT252" s="36">
        <v>0</v>
      </c>
      <c r="AU252" s="36">
        <v>0</v>
      </c>
      <c r="AV252" s="36">
        <v>0</v>
      </c>
      <c r="AW252" s="37">
        <v>0</v>
      </c>
      <c r="AX252" s="37">
        <v>0</v>
      </c>
      <c r="AY252" s="37"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11683.33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2" t="s">
        <v>12</v>
      </c>
      <c r="BL252" s="32" t="s">
        <v>13</v>
      </c>
      <c r="BM252" s="33">
        <v>46090.412627314814</v>
      </c>
      <c r="BN252" s="32" t="s">
        <v>529</v>
      </c>
      <c r="BO252" s="32" t="s">
        <v>15</v>
      </c>
      <c r="BP252" s="38">
        <v>8</v>
      </c>
      <c r="BQ252" s="42"/>
      <c r="BR252" s="39">
        <v>8</v>
      </c>
      <c r="BS252" s="4" t="s">
        <v>220</v>
      </c>
      <c r="BT252" s="4" t="str">
        <f t="shared" si="13"/>
        <v>120</v>
      </c>
      <c r="BU252" s="4" t="str">
        <f t="shared" si="13"/>
        <v>8</v>
      </c>
      <c r="BV252" s="4">
        <f t="shared" si="14"/>
        <v>7</v>
      </c>
      <c r="BW252" s="29">
        <f t="shared" si="15"/>
        <v>93466.64</v>
      </c>
      <c r="BX252" s="4">
        <v>51.49</v>
      </c>
      <c r="BY252" s="29">
        <f t="shared" si="16"/>
        <v>131.85198064657536</v>
      </c>
    </row>
    <row r="253" spans="1:77" ht="15" hidden="1" customHeight="1" x14ac:dyDescent="0.35">
      <c r="A253" s="32" t="s">
        <v>217</v>
      </c>
      <c r="B253" s="32" t="s">
        <v>774</v>
      </c>
      <c r="C253" s="32" t="s">
        <v>90</v>
      </c>
      <c r="D253" s="32" t="s">
        <v>602</v>
      </c>
      <c r="E253" s="32" t="s">
        <v>366</v>
      </c>
      <c r="F253" s="32" t="s">
        <v>41</v>
      </c>
      <c r="G253" s="33">
        <v>46090</v>
      </c>
      <c r="H253" s="33">
        <v>46090</v>
      </c>
      <c r="I253" s="33">
        <v>46097</v>
      </c>
      <c r="J253" s="32" t="s">
        <v>11</v>
      </c>
      <c r="K253" s="34">
        <v>11933.33</v>
      </c>
      <c r="L253" s="34">
        <v>11933.33</v>
      </c>
      <c r="M253" s="34">
        <v>0</v>
      </c>
      <c r="N253" s="34">
        <v>0</v>
      </c>
      <c r="O253" s="34">
        <v>0</v>
      </c>
      <c r="P253" s="34">
        <v>11933.33</v>
      </c>
      <c r="Q253" s="34">
        <v>0</v>
      </c>
      <c r="R253" s="34">
        <v>11933.33</v>
      </c>
      <c r="S253" s="34">
        <v>234.11447808805599</v>
      </c>
      <c r="T253" s="34">
        <v>11933.33</v>
      </c>
      <c r="U253" s="35">
        <v>0</v>
      </c>
      <c r="V253" s="35">
        <v>0</v>
      </c>
      <c r="W253" s="35">
        <v>0</v>
      </c>
      <c r="X253" s="35">
        <v>0</v>
      </c>
      <c r="Y253" s="35">
        <v>0</v>
      </c>
      <c r="Z253" s="35">
        <v>0</v>
      </c>
      <c r="AA253" s="35">
        <v>0</v>
      </c>
      <c r="AB253" s="35">
        <v>11933.33</v>
      </c>
      <c r="AC253" s="35">
        <v>0</v>
      </c>
      <c r="AD253" s="35">
        <v>0</v>
      </c>
      <c r="AE253" s="35">
        <v>0</v>
      </c>
      <c r="AF253" s="35">
        <v>0</v>
      </c>
      <c r="AG253" s="35">
        <v>0</v>
      </c>
      <c r="AH253" s="35">
        <v>0</v>
      </c>
      <c r="AI253" s="36">
        <v>0</v>
      </c>
      <c r="AJ253" s="36">
        <v>0</v>
      </c>
      <c r="AK253" s="36">
        <v>0</v>
      </c>
      <c r="AL253" s="36">
        <v>0</v>
      </c>
      <c r="AM253" s="36">
        <v>0</v>
      </c>
      <c r="AN253" s="36">
        <v>0</v>
      </c>
      <c r="AO253" s="36">
        <v>0</v>
      </c>
      <c r="AP253" s="36">
        <v>234.11447808805599</v>
      </c>
      <c r="AQ253" s="36">
        <v>0</v>
      </c>
      <c r="AR253" s="36">
        <v>0</v>
      </c>
      <c r="AS253" s="36">
        <v>0</v>
      </c>
      <c r="AT253" s="36">
        <v>0</v>
      </c>
      <c r="AU253" s="36">
        <v>0</v>
      </c>
      <c r="AV253" s="36">
        <v>0</v>
      </c>
      <c r="AW253" s="37">
        <v>0</v>
      </c>
      <c r="AX253" s="37">
        <v>0</v>
      </c>
      <c r="AY253" s="37">
        <v>0</v>
      </c>
      <c r="AZ253" s="37">
        <v>0</v>
      </c>
      <c r="BA253" s="37">
        <v>0</v>
      </c>
      <c r="BB253" s="37">
        <v>0</v>
      </c>
      <c r="BC253" s="37">
        <v>0</v>
      </c>
      <c r="BD253" s="37">
        <v>11933.33</v>
      </c>
      <c r="BE253" s="37">
        <v>0</v>
      </c>
      <c r="BF253" s="37">
        <v>0</v>
      </c>
      <c r="BG253" s="37">
        <v>0</v>
      </c>
      <c r="BH253" s="37">
        <v>0</v>
      </c>
      <c r="BI253" s="37">
        <v>0</v>
      </c>
      <c r="BJ253" s="37">
        <v>0</v>
      </c>
      <c r="BK253" s="32" t="s">
        <v>12</v>
      </c>
      <c r="BL253" s="32" t="s">
        <v>13</v>
      </c>
      <c r="BM253" s="33">
        <v>46090.414189814815</v>
      </c>
      <c r="BN253" s="32" t="s">
        <v>603</v>
      </c>
      <c r="BO253" s="32" t="s">
        <v>15</v>
      </c>
      <c r="BP253" s="38">
        <v>8</v>
      </c>
      <c r="BQ253" s="42"/>
      <c r="BR253" s="39">
        <v>8</v>
      </c>
      <c r="BS253" s="4" t="s">
        <v>220</v>
      </c>
      <c r="BT253" s="4" t="str">
        <f t="shared" si="13"/>
        <v>120</v>
      </c>
      <c r="BU253" s="4" t="str">
        <f t="shared" si="13"/>
        <v>8</v>
      </c>
      <c r="BV253" s="4">
        <f t="shared" si="14"/>
        <v>7</v>
      </c>
      <c r="BW253" s="29">
        <f t="shared" si="15"/>
        <v>95466.64</v>
      </c>
      <c r="BX253" s="4">
        <v>51.49</v>
      </c>
      <c r="BY253" s="29">
        <f t="shared" si="16"/>
        <v>134.67335050958906</v>
      </c>
    </row>
    <row r="254" spans="1:77" ht="15" hidden="1" customHeight="1" x14ac:dyDescent="0.35">
      <c r="A254" s="32" t="s">
        <v>217</v>
      </c>
      <c r="B254" s="32" t="s">
        <v>775</v>
      </c>
      <c r="C254" s="32" t="s">
        <v>42</v>
      </c>
      <c r="D254" s="32" t="s">
        <v>94</v>
      </c>
      <c r="E254" s="32" t="s">
        <v>95</v>
      </c>
      <c r="F254" s="32" t="s">
        <v>46</v>
      </c>
      <c r="G254" s="33">
        <v>46090</v>
      </c>
      <c r="H254" s="33">
        <v>46090</v>
      </c>
      <c r="I254" s="33">
        <v>46120</v>
      </c>
      <c r="J254" s="32" t="s">
        <v>37</v>
      </c>
      <c r="K254" s="34">
        <v>2656.97</v>
      </c>
      <c r="L254" s="34">
        <v>2214.14</v>
      </c>
      <c r="M254" s="34">
        <v>442.83</v>
      </c>
      <c r="N254" s="34">
        <v>0</v>
      </c>
      <c r="O254" s="34">
        <v>0</v>
      </c>
      <c r="P254" s="34">
        <v>2656.97</v>
      </c>
      <c r="Q254" s="34">
        <v>2656.97</v>
      </c>
      <c r="R254" s="34">
        <v>2656.97</v>
      </c>
      <c r="S254" s="34">
        <v>2656.97</v>
      </c>
      <c r="T254" s="34">
        <v>135431.60623400001</v>
      </c>
      <c r="U254" s="35">
        <v>2656.97</v>
      </c>
      <c r="V254" s="35">
        <v>0</v>
      </c>
      <c r="W254" s="35">
        <v>0</v>
      </c>
      <c r="X254" s="35">
        <v>0</v>
      </c>
      <c r="Y254" s="35">
        <v>0</v>
      </c>
      <c r="Z254" s="35">
        <v>0</v>
      </c>
      <c r="AA254" s="35">
        <v>0</v>
      </c>
      <c r="AB254" s="35">
        <v>0</v>
      </c>
      <c r="AC254" s="35">
        <v>0</v>
      </c>
      <c r="AD254" s="35">
        <v>0</v>
      </c>
      <c r="AE254" s="35">
        <v>0</v>
      </c>
      <c r="AF254" s="35">
        <v>0</v>
      </c>
      <c r="AG254" s="35">
        <v>0</v>
      </c>
      <c r="AH254" s="35">
        <v>0</v>
      </c>
      <c r="AI254" s="36">
        <v>2656.97</v>
      </c>
      <c r="AJ254" s="36">
        <v>0</v>
      </c>
      <c r="AK254" s="36">
        <v>0</v>
      </c>
      <c r="AL254" s="36">
        <v>0</v>
      </c>
      <c r="AM254" s="36">
        <v>0</v>
      </c>
      <c r="AN254" s="36">
        <v>0</v>
      </c>
      <c r="AO254" s="36">
        <v>0</v>
      </c>
      <c r="AP254" s="36">
        <v>0</v>
      </c>
      <c r="AQ254" s="36">
        <v>0</v>
      </c>
      <c r="AR254" s="36">
        <v>0</v>
      </c>
      <c r="AS254" s="36">
        <v>0</v>
      </c>
      <c r="AT254" s="36">
        <v>0</v>
      </c>
      <c r="AU254" s="36">
        <v>0</v>
      </c>
      <c r="AV254" s="36">
        <v>0</v>
      </c>
      <c r="AW254" s="37">
        <v>135431.60623400001</v>
      </c>
      <c r="AX254" s="37">
        <v>0</v>
      </c>
      <c r="AY254" s="37"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2" t="s">
        <v>12</v>
      </c>
      <c r="BL254" s="32" t="s">
        <v>13</v>
      </c>
      <c r="BM254" s="33">
        <v>46090.419247685182</v>
      </c>
      <c r="BN254" s="32" t="s">
        <v>28</v>
      </c>
      <c r="BO254" s="32" t="s">
        <v>29</v>
      </c>
      <c r="BP254" s="38">
        <v>-15</v>
      </c>
      <c r="BQ254" s="42"/>
      <c r="BR254" s="39">
        <v>-15</v>
      </c>
      <c r="BS254" s="4" t="s">
        <v>221</v>
      </c>
      <c r="BT254" s="4" t="str">
        <f t="shared" si="13"/>
        <v>120</v>
      </c>
      <c r="BU254" s="4" t="str">
        <f t="shared" si="13"/>
        <v>-15</v>
      </c>
      <c r="BV254" s="4">
        <f t="shared" si="14"/>
        <v>30</v>
      </c>
      <c r="BW254" s="29">
        <f t="shared" si="15"/>
        <v>-39854.549999999996</v>
      </c>
      <c r="BX254" s="4">
        <v>51.49</v>
      </c>
      <c r="BY254" s="29">
        <f t="shared" si="16"/>
        <v>-56.222213136986298</v>
      </c>
    </row>
    <row r="255" spans="1:77" ht="15" hidden="1" customHeight="1" x14ac:dyDescent="0.35">
      <c r="A255" s="32" t="s">
        <v>217</v>
      </c>
      <c r="B255" s="32" t="s">
        <v>776</v>
      </c>
      <c r="C255" s="32" t="s">
        <v>38</v>
      </c>
      <c r="D255" s="32" t="s">
        <v>94</v>
      </c>
      <c r="E255" s="32" t="s">
        <v>95</v>
      </c>
      <c r="F255" s="32" t="s">
        <v>46</v>
      </c>
      <c r="G255" s="33">
        <v>46090</v>
      </c>
      <c r="H255" s="33">
        <v>46090</v>
      </c>
      <c r="I255" s="33">
        <v>46120</v>
      </c>
      <c r="J255" s="32" t="s">
        <v>11</v>
      </c>
      <c r="K255" s="34">
        <v>19250</v>
      </c>
      <c r="L255" s="34">
        <v>19250</v>
      </c>
      <c r="M255" s="34">
        <v>0</v>
      </c>
      <c r="N255" s="34">
        <v>0</v>
      </c>
      <c r="O255" s="34">
        <v>0</v>
      </c>
      <c r="P255" s="34">
        <v>19250</v>
      </c>
      <c r="Q255" s="34">
        <v>19250</v>
      </c>
      <c r="R255" s="34">
        <v>19250</v>
      </c>
      <c r="S255" s="34">
        <v>377.65684039535302</v>
      </c>
      <c r="T255" s="34">
        <v>19250</v>
      </c>
      <c r="U255" s="35">
        <v>19250</v>
      </c>
      <c r="V255" s="35">
        <v>0</v>
      </c>
      <c r="W255" s="35">
        <v>0</v>
      </c>
      <c r="X255" s="35">
        <v>0</v>
      </c>
      <c r="Y255" s="35">
        <v>0</v>
      </c>
      <c r="Z255" s="35">
        <v>0</v>
      </c>
      <c r="AA255" s="35">
        <v>0</v>
      </c>
      <c r="AB255" s="35">
        <v>0</v>
      </c>
      <c r="AC255" s="35">
        <v>0</v>
      </c>
      <c r="AD255" s="35">
        <v>0</v>
      </c>
      <c r="AE255" s="35">
        <v>0</v>
      </c>
      <c r="AF255" s="35">
        <v>0</v>
      </c>
      <c r="AG255" s="35">
        <v>0</v>
      </c>
      <c r="AH255" s="35">
        <v>0</v>
      </c>
      <c r="AI255" s="36">
        <v>377.65684039535302</v>
      </c>
      <c r="AJ255" s="36">
        <v>0</v>
      </c>
      <c r="AK255" s="36">
        <v>0</v>
      </c>
      <c r="AL255" s="36">
        <v>0</v>
      </c>
      <c r="AM255" s="36">
        <v>0</v>
      </c>
      <c r="AN255" s="36">
        <v>0</v>
      </c>
      <c r="AO255" s="36">
        <v>0</v>
      </c>
      <c r="AP255" s="36">
        <v>0</v>
      </c>
      <c r="AQ255" s="36">
        <v>0</v>
      </c>
      <c r="AR255" s="36">
        <v>0</v>
      </c>
      <c r="AS255" s="36">
        <v>0</v>
      </c>
      <c r="AT255" s="36">
        <v>0</v>
      </c>
      <c r="AU255" s="36">
        <v>0</v>
      </c>
      <c r="AV255" s="36">
        <v>0</v>
      </c>
      <c r="AW255" s="37">
        <v>19250</v>
      </c>
      <c r="AX255" s="37">
        <v>0</v>
      </c>
      <c r="AY255" s="37">
        <v>0</v>
      </c>
      <c r="AZ255" s="37">
        <v>0</v>
      </c>
      <c r="BA255" s="37">
        <v>0</v>
      </c>
      <c r="BB255" s="37">
        <v>0</v>
      </c>
      <c r="BC255" s="37">
        <v>0</v>
      </c>
      <c r="BD255" s="37">
        <v>0</v>
      </c>
      <c r="BE255" s="37">
        <v>0</v>
      </c>
      <c r="BF255" s="37">
        <v>0</v>
      </c>
      <c r="BG255" s="37">
        <v>0</v>
      </c>
      <c r="BH255" s="37">
        <v>0</v>
      </c>
      <c r="BI255" s="37">
        <v>0</v>
      </c>
      <c r="BJ255" s="37">
        <v>0</v>
      </c>
      <c r="BK255" s="32" t="s">
        <v>12</v>
      </c>
      <c r="BL255" s="32" t="s">
        <v>13</v>
      </c>
      <c r="BM255" s="33">
        <v>46090.4221875</v>
      </c>
      <c r="BN255" s="32" t="s">
        <v>28</v>
      </c>
      <c r="BO255" s="32" t="s">
        <v>29</v>
      </c>
      <c r="BP255" s="38">
        <v>-15</v>
      </c>
      <c r="BQ255" s="42"/>
      <c r="BR255" s="39">
        <v>-15</v>
      </c>
      <c r="BS255" s="4" t="s">
        <v>221</v>
      </c>
      <c r="BT255" s="4" t="str">
        <f t="shared" si="13"/>
        <v>120</v>
      </c>
      <c r="BU255" s="4" t="str">
        <f t="shared" si="13"/>
        <v>-15</v>
      </c>
      <c r="BV255" s="4">
        <f t="shared" si="14"/>
        <v>30</v>
      </c>
      <c r="BW255" s="29">
        <f t="shared" si="15"/>
        <v>-288750</v>
      </c>
      <c r="BX255" s="4">
        <v>51.49</v>
      </c>
      <c r="BY255" s="29">
        <f t="shared" si="16"/>
        <v>-407.33527397260275</v>
      </c>
    </row>
    <row r="256" spans="1:77" ht="15" customHeight="1" x14ac:dyDescent="0.35">
      <c r="A256" s="32" t="s">
        <v>217</v>
      </c>
      <c r="B256" s="32" t="s">
        <v>777</v>
      </c>
      <c r="C256" s="32" t="s">
        <v>38</v>
      </c>
      <c r="D256" s="32" t="s">
        <v>105</v>
      </c>
      <c r="E256" s="32" t="s">
        <v>106</v>
      </c>
      <c r="F256" s="32" t="s">
        <v>107</v>
      </c>
      <c r="G256" s="33">
        <v>46090</v>
      </c>
      <c r="H256" s="33">
        <v>46090</v>
      </c>
      <c r="I256" s="33">
        <v>46120</v>
      </c>
      <c r="J256" s="32" t="s">
        <v>11</v>
      </c>
      <c r="K256" s="34">
        <v>14738.6</v>
      </c>
      <c r="L256" s="34">
        <v>14738.6</v>
      </c>
      <c r="M256" s="34">
        <v>0</v>
      </c>
      <c r="N256" s="34">
        <v>0</v>
      </c>
      <c r="O256" s="34">
        <v>0</v>
      </c>
      <c r="P256" s="34">
        <v>14738.6</v>
      </c>
      <c r="Q256" s="34">
        <v>14738.6</v>
      </c>
      <c r="R256" s="34">
        <v>14738.6</v>
      </c>
      <c r="S256" s="34">
        <v>289.14977183641298</v>
      </c>
      <c r="T256" s="34">
        <v>14738.6</v>
      </c>
      <c r="U256" s="35">
        <v>14738.6</v>
      </c>
      <c r="V256" s="35">
        <v>0</v>
      </c>
      <c r="W256" s="35">
        <v>0</v>
      </c>
      <c r="X256" s="35">
        <v>0</v>
      </c>
      <c r="Y256" s="35">
        <v>0</v>
      </c>
      <c r="Z256" s="35">
        <v>0</v>
      </c>
      <c r="AA256" s="35">
        <v>0</v>
      </c>
      <c r="AB256" s="35">
        <v>0</v>
      </c>
      <c r="AC256" s="35">
        <v>0</v>
      </c>
      <c r="AD256" s="35">
        <v>0</v>
      </c>
      <c r="AE256" s="35">
        <v>0</v>
      </c>
      <c r="AF256" s="35">
        <v>0</v>
      </c>
      <c r="AG256" s="35">
        <v>0</v>
      </c>
      <c r="AH256" s="35">
        <v>0</v>
      </c>
      <c r="AI256" s="36">
        <v>289.14977183641298</v>
      </c>
      <c r="AJ256" s="36">
        <v>0</v>
      </c>
      <c r="AK256" s="36">
        <v>0</v>
      </c>
      <c r="AL256" s="36">
        <v>0</v>
      </c>
      <c r="AM256" s="36">
        <v>0</v>
      </c>
      <c r="AN256" s="36">
        <v>0</v>
      </c>
      <c r="AO256" s="36">
        <v>0</v>
      </c>
      <c r="AP256" s="36">
        <v>0</v>
      </c>
      <c r="AQ256" s="36">
        <v>0</v>
      </c>
      <c r="AR256" s="36">
        <v>0</v>
      </c>
      <c r="AS256" s="36">
        <v>0</v>
      </c>
      <c r="AT256" s="36">
        <v>0</v>
      </c>
      <c r="AU256" s="36">
        <v>0</v>
      </c>
      <c r="AV256" s="36">
        <v>0</v>
      </c>
      <c r="AW256" s="37">
        <v>14738.6</v>
      </c>
      <c r="AX256" s="37">
        <v>0</v>
      </c>
      <c r="AY256" s="37"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2" t="s">
        <v>12</v>
      </c>
      <c r="BL256" s="32" t="s">
        <v>13</v>
      </c>
      <c r="BM256" s="33">
        <v>46090.427303240744</v>
      </c>
      <c r="BN256" s="32" t="s">
        <v>28</v>
      </c>
      <c r="BO256" s="32" t="s">
        <v>29</v>
      </c>
      <c r="BP256" s="38">
        <v>-15</v>
      </c>
      <c r="BQ256" s="42"/>
      <c r="BR256" s="39">
        <v>-15</v>
      </c>
      <c r="BS256" s="4" t="s">
        <v>221</v>
      </c>
      <c r="BT256" s="4" t="str">
        <f t="shared" si="13"/>
        <v>120</v>
      </c>
      <c r="BU256" s="4" t="str">
        <f t="shared" si="13"/>
        <v>-15</v>
      </c>
      <c r="BV256" s="4">
        <f t="shared" si="14"/>
        <v>30</v>
      </c>
      <c r="BW256" s="29">
        <f t="shared" si="15"/>
        <v>-221079</v>
      </c>
      <c r="BX256" s="4">
        <v>51.49</v>
      </c>
      <c r="BY256" s="29">
        <f t="shared" si="16"/>
        <v>-311.87281397260278</v>
      </c>
    </row>
    <row r="257" spans="1:77" ht="15" customHeight="1" x14ac:dyDescent="0.35">
      <c r="A257" s="32" t="s">
        <v>217</v>
      </c>
      <c r="B257" s="32" t="s">
        <v>778</v>
      </c>
      <c r="C257" s="32" t="s">
        <v>35</v>
      </c>
      <c r="D257" s="32" t="s">
        <v>105</v>
      </c>
      <c r="E257" s="32" t="s">
        <v>106</v>
      </c>
      <c r="F257" s="32" t="s">
        <v>107</v>
      </c>
      <c r="G257" s="33">
        <v>46090</v>
      </c>
      <c r="H257" s="33">
        <v>46090</v>
      </c>
      <c r="I257" s="33">
        <v>46120</v>
      </c>
      <c r="J257" s="32" t="s">
        <v>11</v>
      </c>
      <c r="K257" s="34">
        <v>55987.67</v>
      </c>
      <c r="L257" s="34">
        <v>55987.67</v>
      </c>
      <c r="M257" s="34">
        <v>0</v>
      </c>
      <c r="N257" s="34">
        <v>0</v>
      </c>
      <c r="O257" s="34">
        <v>0</v>
      </c>
      <c r="P257" s="34">
        <v>55987.67</v>
      </c>
      <c r="Q257" s="34">
        <v>55987.67</v>
      </c>
      <c r="R257" s="34">
        <v>55987.67</v>
      </c>
      <c r="S257" s="34">
        <v>1098.3961845868901</v>
      </c>
      <c r="T257" s="34">
        <v>55987.67</v>
      </c>
      <c r="U257" s="35">
        <v>55987.67</v>
      </c>
      <c r="V257" s="35">
        <v>0</v>
      </c>
      <c r="W257" s="35">
        <v>0</v>
      </c>
      <c r="X257" s="35">
        <v>0</v>
      </c>
      <c r="Y257" s="35">
        <v>0</v>
      </c>
      <c r="Z257" s="35">
        <v>0</v>
      </c>
      <c r="AA257" s="35">
        <v>0</v>
      </c>
      <c r="AB257" s="35">
        <v>0</v>
      </c>
      <c r="AC257" s="35">
        <v>0</v>
      </c>
      <c r="AD257" s="35">
        <v>0</v>
      </c>
      <c r="AE257" s="35">
        <v>0</v>
      </c>
      <c r="AF257" s="35">
        <v>0</v>
      </c>
      <c r="AG257" s="35">
        <v>0</v>
      </c>
      <c r="AH257" s="35">
        <v>0</v>
      </c>
      <c r="AI257" s="36">
        <v>1098.3961845868901</v>
      </c>
      <c r="AJ257" s="36">
        <v>0</v>
      </c>
      <c r="AK257" s="36">
        <v>0</v>
      </c>
      <c r="AL257" s="36">
        <v>0</v>
      </c>
      <c r="AM257" s="36">
        <v>0</v>
      </c>
      <c r="AN257" s="36">
        <v>0</v>
      </c>
      <c r="AO257" s="36">
        <v>0</v>
      </c>
      <c r="AP257" s="36">
        <v>0</v>
      </c>
      <c r="AQ257" s="36">
        <v>0</v>
      </c>
      <c r="AR257" s="36">
        <v>0</v>
      </c>
      <c r="AS257" s="36">
        <v>0</v>
      </c>
      <c r="AT257" s="36">
        <v>0</v>
      </c>
      <c r="AU257" s="36">
        <v>0</v>
      </c>
      <c r="AV257" s="36">
        <v>0</v>
      </c>
      <c r="AW257" s="37">
        <v>55987.67</v>
      </c>
      <c r="AX257" s="37">
        <v>0</v>
      </c>
      <c r="AY257" s="37">
        <v>0</v>
      </c>
      <c r="AZ257" s="37">
        <v>0</v>
      </c>
      <c r="BA257" s="37">
        <v>0</v>
      </c>
      <c r="BB257" s="37">
        <v>0</v>
      </c>
      <c r="BC257" s="37">
        <v>0</v>
      </c>
      <c r="BD257" s="37">
        <v>0</v>
      </c>
      <c r="BE257" s="37">
        <v>0</v>
      </c>
      <c r="BF257" s="37">
        <v>0</v>
      </c>
      <c r="BG257" s="37">
        <v>0</v>
      </c>
      <c r="BH257" s="37">
        <v>0</v>
      </c>
      <c r="BI257" s="37">
        <v>0</v>
      </c>
      <c r="BJ257" s="37">
        <v>0</v>
      </c>
      <c r="BK257" s="32" t="s">
        <v>12</v>
      </c>
      <c r="BL257" s="32" t="s">
        <v>13</v>
      </c>
      <c r="BM257" s="33">
        <v>46090.429097222222</v>
      </c>
      <c r="BN257" s="32" t="s">
        <v>28</v>
      </c>
      <c r="BO257" s="32" t="s">
        <v>29</v>
      </c>
      <c r="BP257" s="38">
        <v>-15</v>
      </c>
      <c r="BQ257" s="42"/>
      <c r="BR257" s="39">
        <v>-15</v>
      </c>
      <c r="BS257" s="4" t="s">
        <v>221</v>
      </c>
      <c r="BT257" s="4" t="str">
        <f t="shared" si="13"/>
        <v>120</v>
      </c>
      <c r="BU257" s="4" t="str">
        <f t="shared" si="13"/>
        <v>-15</v>
      </c>
      <c r="BV257" s="4">
        <f t="shared" si="14"/>
        <v>30</v>
      </c>
      <c r="BW257" s="29">
        <f t="shared" si="15"/>
        <v>-839815.04999999993</v>
      </c>
      <c r="BX257" s="4">
        <v>51.49</v>
      </c>
      <c r="BY257" s="29">
        <f t="shared" si="16"/>
        <v>-1184.7144362876711</v>
      </c>
    </row>
    <row r="258" spans="1:77" ht="15" customHeight="1" x14ac:dyDescent="0.35">
      <c r="A258" s="32" t="s">
        <v>217</v>
      </c>
      <c r="B258" s="32" t="s">
        <v>779</v>
      </c>
      <c r="C258" s="32" t="s">
        <v>35</v>
      </c>
      <c r="D258" s="32" t="s">
        <v>105</v>
      </c>
      <c r="E258" s="32" t="s">
        <v>106</v>
      </c>
      <c r="F258" s="32" t="s">
        <v>107</v>
      </c>
      <c r="G258" s="33">
        <v>46090</v>
      </c>
      <c r="H258" s="33">
        <v>46090</v>
      </c>
      <c r="I258" s="33">
        <v>46120</v>
      </c>
      <c r="J258" s="32" t="s">
        <v>11</v>
      </c>
      <c r="K258" s="34">
        <v>137214</v>
      </c>
      <c r="L258" s="34">
        <v>137214</v>
      </c>
      <c r="M258" s="34">
        <v>0</v>
      </c>
      <c r="N258" s="34">
        <v>0</v>
      </c>
      <c r="O258" s="34">
        <v>0</v>
      </c>
      <c r="P258" s="34">
        <v>137214</v>
      </c>
      <c r="Q258" s="34">
        <v>137214</v>
      </c>
      <c r="R258" s="34">
        <v>137214</v>
      </c>
      <c r="S258" s="34">
        <v>2691.9379583380701</v>
      </c>
      <c r="T258" s="34">
        <v>137214</v>
      </c>
      <c r="U258" s="35">
        <v>137214</v>
      </c>
      <c r="V258" s="35">
        <v>0</v>
      </c>
      <c r="W258" s="35">
        <v>0</v>
      </c>
      <c r="X258" s="35">
        <v>0</v>
      </c>
      <c r="Y258" s="35">
        <v>0</v>
      </c>
      <c r="Z258" s="35">
        <v>0</v>
      </c>
      <c r="AA258" s="35">
        <v>0</v>
      </c>
      <c r="AB258" s="35">
        <v>0</v>
      </c>
      <c r="AC258" s="35">
        <v>0</v>
      </c>
      <c r="AD258" s="35">
        <v>0</v>
      </c>
      <c r="AE258" s="35">
        <v>0</v>
      </c>
      <c r="AF258" s="35">
        <v>0</v>
      </c>
      <c r="AG258" s="35">
        <v>0</v>
      </c>
      <c r="AH258" s="35">
        <v>0</v>
      </c>
      <c r="AI258" s="36">
        <v>2691.9379583380701</v>
      </c>
      <c r="AJ258" s="36">
        <v>0</v>
      </c>
      <c r="AK258" s="36">
        <v>0</v>
      </c>
      <c r="AL258" s="36">
        <v>0</v>
      </c>
      <c r="AM258" s="36">
        <v>0</v>
      </c>
      <c r="AN258" s="36">
        <v>0</v>
      </c>
      <c r="AO258" s="36">
        <v>0</v>
      </c>
      <c r="AP258" s="36">
        <v>0</v>
      </c>
      <c r="AQ258" s="36">
        <v>0</v>
      </c>
      <c r="AR258" s="36">
        <v>0</v>
      </c>
      <c r="AS258" s="36">
        <v>0</v>
      </c>
      <c r="AT258" s="36">
        <v>0</v>
      </c>
      <c r="AU258" s="36">
        <v>0</v>
      </c>
      <c r="AV258" s="36">
        <v>0</v>
      </c>
      <c r="AW258" s="37">
        <v>137214</v>
      </c>
      <c r="AX258" s="37">
        <v>0</v>
      </c>
      <c r="AY258" s="37"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2" t="s">
        <v>12</v>
      </c>
      <c r="BL258" s="32" t="s">
        <v>13</v>
      </c>
      <c r="BM258" s="33">
        <v>46090.538263888891</v>
      </c>
      <c r="BN258" s="32" t="s">
        <v>28</v>
      </c>
      <c r="BO258" s="32" t="s">
        <v>29</v>
      </c>
      <c r="BP258" s="38">
        <v>-15</v>
      </c>
      <c r="BQ258" s="42"/>
      <c r="BR258" s="39">
        <v>-15</v>
      </c>
      <c r="BS258" s="4" t="s">
        <v>221</v>
      </c>
      <c r="BT258" s="4" t="str">
        <f t="shared" ref="BT258:BU321" si="17">LEFT(BO258,3)</f>
        <v>120</v>
      </c>
      <c r="BU258" s="4" t="str">
        <f t="shared" si="17"/>
        <v>-15</v>
      </c>
      <c r="BV258" s="4">
        <f t="shared" si="14"/>
        <v>30</v>
      </c>
      <c r="BW258" s="29">
        <f t="shared" si="15"/>
        <v>-2058210</v>
      </c>
      <c r="BX258" s="4">
        <v>51.49</v>
      </c>
      <c r="BY258" s="29">
        <f t="shared" si="16"/>
        <v>-2903.4858328767123</v>
      </c>
    </row>
    <row r="259" spans="1:77" ht="15" customHeight="1" x14ac:dyDescent="0.35">
      <c r="A259" s="32" t="s">
        <v>217</v>
      </c>
      <c r="B259" s="32" t="s">
        <v>780</v>
      </c>
      <c r="C259" s="32" t="s">
        <v>38</v>
      </c>
      <c r="D259" s="32" t="s">
        <v>105</v>
      </c>
      <c r="E259" s="32" t="s">
        <v>106</v>
      </c>
      <c r="F259" s="32" t="s">
        <v>107</v>
      </c>
      <c r="G259" s="33">
        <v>46090</v>
      </c>
      <c r="H259" s="33">
        <v>46090</v>
      </c>
      <c r="I259" s="33">
        <v>46120</v>
      </c>
      <c r="J259" s="32" t="s">
        <v>11</v>
      </c>
      <c r="K259" s="34">
        <v>79150</v>
      </c>
      <c r="L259" s="34">
        <v>79150</v>
      </c>
      <c r="M259" s="34">
        <v>0</v>
      </c>
      <c r="N259" s="34">
        <v>0</v>
      </c>
      <c r="O259" s="34">
        <v>0</v>
      </c>
      <c r="P259" s="34">
        <v>79150</v>
      </c>
      <c r="Q259" s="34">
        <v>79150</v>
      </c>
      <c r="R259" s="34">
        <v>79150</v>
      </c>
      <c r="S259" s="34">
        <v>1552.8072164827099</v>
      </c>
      <c r="T259" s="34">
        <v>79150</v>
      </c>
      <c r="U259" s="35">
        <v>79150</v>
      </c>
      <c r="V259" s="35">
        <v>0</v>
      </c>
      <c r="W259" s="35">
        <v>0</v>
      </c>
      <c r="X259" s="35">
        <v>0</v>
      </c>
      <c r="Y259" s="35">
        <v>0</v>
      </c>
      <c r="Z259" s="35">
        <v>0</v>
      </c>
      <c r="AA259" s="35">
        <v>0</v>
      </c>
      <c r="AB259" s="35">
        <v>0</v>
      </c>
      <c r="AC259" s="35">
        <v>0</v>
      </c>
      <c r="AD259" s="35">
        <v>0</v>
      </c>
      <c r="AE259" s="35">
        <v>0</v>
      </c>
      <c r="AF259" s="35">
        <v>0</v>
      </c>
      <c r="AG259" s="35">
        <v>0</v>
      </c>
      <c r="AH259" s="35">
        <v>0</v>
      </c>
      <c r="AI259" s="36">
        <v>1552.8072164827099</v>
      </c>
      <c r="AJ259" s="36">
        <v>0</v>
      </c>
      <c r="AK259" s="36">
        <v>0</v>
      </c>
      <c r="AL259" s="36">
        <v>0</v>
      </c>
      <c r="AM259" s="36">
        <v>0</v>
      </c>
      <c r="AN259" s="36">
        <v>0</v>
      </c>
      <c r="AO259" s="36">
        <v>0</v>
      </c>
      <c r="AP259" s="36">
        <v>0</v>
      </c>
      <c r="AQ259" s="36">
        <v>0</v>
      </c>
      <c r="AR259" s="36">
        <v>0</v>
      </c>
      <c r="AS259" s="36">
        <v>0</v>
      </c>
      <c r="AT259" s="36">
        <v>0</v>
      </c>
      <c r="AU259" s="36">
        <v>0</v>
      </c>
      <c r="AV259" s="36">
        <v>0</v>
      </c>
      <c r="AW259" s="37">
        <v>79150</v>
      </c>
      <c r="AX259" s="37">
        <v>0</v>
      </c>
      <c r="AY259" s="37">
        <v>0</v>
      </c>
      <c r="AZ259" s="37">
        <v>0</v>
      </c>
      <c r="BA259" s="37">
        <v>0</v>
      </c>
      <c r="BB259" s="37">
        <v>0</v>
      </c>
      <c r="BC259" s="37">
        <v>0</v>
      </c>
      <c r="BD259" s="37">
        <v>0</v>
      </c>
      <c r="BE259" s="37">
        <v>0</v>
      </c>
      <c r="BF259" s="37">
        <v>0</v>
      </c>
      <c r="BG259" s="37">
        <v>0</v>
      </c>
      <c r="BH259" s="37">
        <v>0</v>
      </c>
      <c r="BI259" s="37">
        <v>0</v>
      </c>
      <c r="BJ259" s="37">
        <v>0</v>
      </c>
      <c r="BK259" s="32" t="s">
        <v>12</v>
      </c>
      <c r="BL259" s="32" t="s">
        <v>13</v>
      </c>
      <c r="BM259" s="33">
        <v>46090.540972222225</v>
      </c>
      <c r="BN259" s="32" t="s">
        <v>28</v>
      </c>
      <c r="BO259" s="32" t="s">
        <v>29</v>
      </c>
      <c r="BP259" s="38">
        <v>-15</v>
      </c>
      <c r="BQ259" s="42"/>
      <c r="BR259" s="39">
        <v>-15</v>
      </c>
      <c r="BS259" s="4" t="s">
        <v>221</v>
      </c>
      <c r="BT259" s="4" t="str">
        <f t="shared" si="17"/>
        <v>120</v>
      </c>
      <c r="BU259" s="4" t="str">
        <f t="shared" si="17"/>
        <v>-15</v>
      </c>
      <c r="BV259" s="4">
        <f t="shared" ref="BV259:BV322" si="18">I259-H259</f>
        <v>30</v>
      </c>
      <c r="BW259" s="29">
        <f t="shared" ref="BW259:BW322" si="19">BP259*R259</f>
        <v>-1187250</v>
      </c>
      <c r="BX259" s="4">
        <v>51.49</v>
      </c>
      <c r="BY259" s="29">
        <f t="shared" ref="BY259:BY322" si="20">BW259*BX259/36500</f>
        <v>-1674.8356849315069</v>
      </c>
    </row>
    <row r="260" spans="1:77" ht="15" hidden="1" customHeight="1" x14ac:dyDescent="0.35">
      <c r="A260" s="32" t="s">
        <v>217</v>
      </c>
      <c r="B260" s="32" t="s">
        <v>781</v>
      </c>
      <c r="C260" s="32" t="s">
        <v>42</v>
      </c>
      <c r="D260" s="32" t="s">
        <v>94</v>
      </c>
      <c r="E260" s="32" t="s">
        <v>95</v>
      </c>
      <c r="F260" s="32" t="s">
        <v>46</v>
      </c>
      <c r="G260" s="33">
        <v>46090</v>
      </c>
      <c r="H260" s="33">
        <v>46090</v>
      </c>
      <c r="I260" s="33">
        <v>46120</v>
      </c>
      <c r="J260" s="32" t="s">
        <v>11</v>
      </c>
      <c r="K260" s="34">
        <v>722754</v>
      </c>
      <c r="L260" s="34">
        <v>722754</v>
      </c>
      <c r="M260" s="34">
        <v>0</v>
      </c>
      <c r="N260" s="34">
        <v>0</v>
      </c>
      <c r="O260" s="34">
        <v>0</v>
      </c>
      <c r="P260" s="34">
        <v>722754</v>
      </c>
      <c r="Q260" s="34">
        <v>722754</v>
      </c>
      <c r="R260" s="34">
        <v>722754</v>
      </c>
      <c r="S260" s="34">
        <v>14179.3762089924</v>
      </c>
      <c r="T260" s="34">
        <v>722754</v>
      </c>
      <c r="U260" s="35">
        <v>722754</v>
      </c>
      <c r="V260" s="35">
        <v>0</v>
      </c>
      <c r="W260" s="35">
        <v>0</v>
      </c>
      <c r="X260" s="35">
        <v>0</v>
      </c>
      <c r="Y260" s="35">
        <v>0</v>
      </c>
      <c r="Z260" s="35">
        <v>0</v>
      </c>
      <c r="AA260" s="35">
        <v>0</v>
      </c>
      <c r="AB260" s="35">
        <v>0</v>
      </c>
      <c r="AC260" s="35">
        <v>0</v>
      </c>
      <c r="AD260" s="35">
        <v>0</v>
      </c>
      <c r="AE260" s="35">
        <v>0</v>
      </c>
      <c r="AF260" s="35">
        <v>0</v>
      </c>
      <c r="AG260" s="35">
        <v>0</v>
      </c>
      <c r="AH260" s="35">
        <v>0</v>
      </c>
      <c r="AI260" s="36">
        <v>14179.3762089924</v>
      </c>
      <c r="AJ260" s="36">
        <v>0</v>
      </c>
      <c r="AK260" s="36">
        <v>0</v>
      </c>
      <c r="AL260" s="36">
        <v>0</v>
      </c>
      <c r="AM260" s="36">
        <v>0</v>
      </c>
      <c r="AN260" s="36">
        <v>0</v>
      </c>
      <c r="AO260" s="36">
        <v>0</v>
      </c>
      <c r="AP260" s="36">
        <v>0</v>
      </c>
      <c r="AQ260" s="36">
        <v>0</v>
      </c>
      <c r="AR260" s="36">
        <v>0</v>
      </c>
      <c r="AS260" s="36">
        <v>0</v>
      </c>
      <c r="AT260" s="36">
        <v>0</v>
      </c>
      <c r="AU260" s="36">
        <v>0</v>
      </c>
      <c r="AV260" s="36">
        <v>0</v>
      </c>
      <c r="AW260" s="37">
        <v>722754</v>
      </c>
      <c r="AX260" s="37">
        <v>0</v>
      </c>
      <c r="AY260" s="37"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2" t="s">
        <v>12</v>
      </c>
      <c r="BL260" s="32" t="s">
        <v>13</v>
      </c>
      <c r="BM260" s="33">
        <v>46090.558055555557</v>
      </c>
      <c r="BN260" s="32" t="s">
        <v>28</v>
      </c>
      <c r="BO260" s="32" t="s">
        <v>29</v>
      </c>
      <c r="BP260" s="38">
        <v>-15</v>
      </c>
      <c r="BQ260" s="42"/>
      <c r="BR260" s="39">
        <v>-15</v>
      </c>
      <c r="BS260" s="4" t="s">
        <v>221</v>
      </c>
      <c r="BT260" s="4" t="str">
        <f t="shared" si="17"/>
        <v>120</v>
      </c>
      <c r="BU260" s="4" t="str">
        <f t="shared" si="17"/>
        <v>-15</v>
      </c>
      <c r="BV260" s="4">
        <f t="shared" si="18"/>
        <v>30</v>
      </c>
      <c r="BW260" s="29">
        <f t="shared" si="19"/>
        <v>-10841310</v>
      </c>
      <c r="BX260" s="4">
        <v>51.49</v>
      </c>
      <c r="BY260" s="29">
        <f t="shared" si="20"/>
        <v>-15293.67265479452</v>
      </c>
    </row>
    <row r="261" spans="1:77" ht="15" hidden="1" customHeight="1" x14ac:dyDescent="0.35">
      <c r="A261" s="32" t="s">
        <v>217</v>
      </c>
      <c r="B261" s="32" t="s">
        <v>782</v>
      </c>
      <c r="C261" s="32" t="s">
        <v>42</v>
      </c>
      <c r="D261" s="32" t="s">
        <v>94</v>
      </c>
      <c r="E261" s="32" t="s">
        <v>95</v>
      </c>
      <c r="F261" s="32" t="s">
        <v>46</v>
      </c>
      <c r="G261" s="33">
        <v>46090</v>
      </c>
      <c r="H261" s="33">
        <v>46090</v>
      </c>
      <c r="I261" s="33">
        <v>46120</v>
      </c>
      <c r="J261" s="32" t="s">
        <v>11</v>
      </c>
      <c r="K261" s="34">
        <v>687267</v>
      </c>
      <c r="L261" s="34">
        <v>687267</v>
      </c>
      <c r="M261" s="34">
        <v>0</v>
      </c>
      <c r="N261" s="34">
        <v>0</v>
      </c>
      <c r="O261" s="34">
        <v>0</v>
      </c>
      <c r="P261" s="34">
        <v>687267</v>
      </c>
      <c r="Q261" s="34">
        <v>687267</v>
      </c>
      <c r="R261" s="34">
        <v>687267</v>
      </c>
      <c r="S261" s="34">
        <v>13483.173180674999</v>
      </c>
      <c r="T261" s="34">
        <v>687267</v>
      </c>
      <c r="U261" s="35">
        <v>687267</v>
      </c>
      <c r="V261" s="35">
        <v>0</v>
      </c>
      <c r="W261" s="35">
        <v>0</v>
      </c>
      <c r="X261" s="35">
        <v>0</v>
      </c>
      <c r="Y261" s="35">
        <v>0</v>
      </c>
      <c r="Z261" s="35">
        <v>0</v>
      </c>
      <c r="AA261" s="35">
        <v>0</v>
      </c>
      <c r="AB261" s="35">
        <v>0</v>
      </c>
      <c r="AC261" s="35">
        <v>0</v>
      </c>
      <c r="AD261" s="35">
        <v>0</v>
      </c>
      <c r="AE261" s="35">
        <v>0</v>
      </c>
      <c r="AF261" s="35">
        <v>0</v>
      </c>
      <c r="AG261" s="35">
        <v>0</v>
      </c>
      <c r="AH261" s="35">
        <v>0</v>
      </c>
      <c r="AI261" s="36">
        <v>13483.173180674999</v>
      </c>
      <c r="AJ261" s="36">
        <v>0</v>
      </c>
      <c r="AK261" s="36">
        <v>0</v>
      </c>
      <c r="AL261" s="36">
        <v>0</v>
      </c>
      <c r="AM261" s="36">
        <v>0</v>
      </c>
      <c r="AN261" s="36">
        <v>0</v>
      </c>
      <c r="AO261" s="36">
        <v>0</v>
      </c>
      <c r="AP261" s="36">
        <v>0</v>
      </c>
      <c r="AQ261" s="36">
        <v>0</v>
      </c>
      <c r="AR261" s="36">
        <v>0</v>
      </c>
      <c r="AS261" s="36">
        <v>0</v>
      </c>
      <c r="AT261" s="36">
        <v>0</v>
      </c>
      <c r="AU261" s="36">
        <v>0</v>
      </c>
      <c r="AV261" s="36">
        <v>0</v>
      </c>
      <c r="AW261" s="37">
        <v>687267</v>
      </c>
      <c r="AX261" s="37">
        <v>0</v>
      </c>
      <c r="AY261" s="37">
        <v>0</v>
      </c>
      <c r="AZ261" s="37">
        <v>0</v>
      </c>
      <c r="BA261" s="37">
        <v>0</v>
      </c>
      <c r="BB261" s="37">
        <v>0</v>
      </c>
      <c r="BC261" s="37">
        <v>0</v>
      </c>
      <c r="BD261" s="37">
        <v>0</v>
      </c>
      <c r="BE261" s="37">
        <v>0</v>
      </c>
      <c r="BF261" s="37">
        <v>0</v>
      </c>
      <c r="BG261" s="37">
        <v>0</v>
      </c>
      <c r="BH261" s="37">
        <v>0</v>
      </c>
      <c r="BI261" s="37">
        <v>0</v>
      </c>
      <c r="BJ261" s="37">
        <v>0</v>
      </c>
      <c r="BK261" s="32" t="s">
        <v>12</v>
      </c>
      <c r="BL261" s="32" t="s">
        <v>13</v>
      </c>
      <c r="BM261" s="33">
        <v>46090.559930555559</v>
      </c>
      <c r="BN261" s="32" t="s">
        <v>28</v>
      </c>
      <c r="BO261" s="32" t="s">
        <v>29</v>
      </c>
      <c r="BP261" s="38">
        <v>-15</v>
      </c>
      <c r="BQ261" s="42"/>
      <c r="BR261" s="39">
        <v>-15</v>
      </c>
      <c r="BS261" s="4" t="s">
        <v>221</v>
      </c>
      <c r="BT261" s="4" t="str">
        <f t="shared" si="17"/>
        <v>120</v>
      </c>
      <c r="BU261" s="4" t="str">
        <f t="shared" si="17"/>
        <v>-15</v>
      </c>
      <c r="BV261" s="4">
        <f t="shared" si="18"/>
        <v>30</v>
      </c>
      <c r="BW261" s="29">
        <f t="shared" si="19"/>
        <v>-10309005</v>
      </c>
      <c r="BX261" s="4">
        <v>51.49</v>
      </c>
      <c r="BY261" s="29">
        <f t="shared" si="20"/>
        <v>-14542.758012328768</v>
      </c>
    </row>
    <row r="262" spans="1:77" ht="15" hidden="1" customHeight="1" x14ac:dyDescent="0.35">
      <c r="A262" s="32" t="s">
        <v>217</v>
      </c>
      <c r="B262" s="32" t="s">
        <v>783</v>
      </c>
      <c r="C262" s="32" t="s">
        <v>38</v>
      </c>
      <c r="D262" s="32" t="s">
        <v>94</v>
      </c>
      <c r="E262" s="32" t="s">
        <v>95</v>
      </c>
      <c r="F262" s="32" t="s">
        <v>46</v>
      </c>
      <c r="G262" s="33">
        <v>46090</v>
      </c>
      <c r="H262" s="33">
        <v>46090</v>
      </c>
      <c r="I262" s="33">
        <v>46120</v>
      </c>
      <c r="J262" s="32" t="s">
        <v>11</v>
      </c>
      <c r="K262" s="34">
        <v>155652</v>
      </c>
      <c r="L262" s="34">
        <v>155652</v>
      </c>
      <c r="M262" s="34">
        <v>0</v>
      </c>
      <c r="N262" s="34">
        <v>0</v>
      </c>
      <c r="O262" s="34">
        <v>0</v>
      </c>
      <c r="P262" s="34">
        <v>155652</v>
      </c>
      <c r="Q262" s="34">
        <v>155652</v>
      </c>
      <c r="R262" s="34">
        <v>155652</v>
      </c>
      <c r="S262" s="34">
        <v>3053.6645465567499</v>
      </c>
      <c r="T262" s="34">
        <v>155652</v>
      </c>
      <c r="U262" s="35">
        <v>155652</v>
      </c>
      <c r="V262" s="35">
        <v>0</v>
      </c>
      <c r="W262" s="35">
        <v>0</v>
      </c>
      <c r="X262" s="35">
        <v>0</v>
      </c>
      <c r="Y262" s="35">
        <v>0</v>
      </c>
      <c r="Z262" s="35">
        <v>0</v>
      </c>
      <c r="AA262" s="35">
        <v>0</v>
      </c>
      <c r="AB262" s="35">
        <v>0</v>
      </c>
      <c r="AC262" s="35">
        <v>0</v>
      </c>
      <c r="AD262" s="35">
        <v>0</v>
      </c>
      <c r="AE262" s="35">
        <v>0</v>
      </c>
      <c r="AF262" s="35">
        <v>0</v>
      </c>
      <c r="AG262" s="35">
        <v>0</v>
      </c>
      <c r="AH262" s="35">
        <v>0</v>
      </c>
      <c r="AI262" s="36">
        <v>3053.6645465567499</v>
      </c>
      <c r="AJ262" s="36">
        <v>0</v>
      </c>
      <c r="AK262" s="36">
        <v>0</v>
      </c>
      <c r="AL262" s="36">
        <v>0</v>
      </c>
      <c r="AM262" s="36">
        <v>0</v>
      </c>
      <c r="AN262" s="36">
        <v>0</v>
      </c>
      <c r="AO262" s="36">
        <v>0</v>
      </c>
      <c r="AP262" s="36">
        <v>0</v>
      </c>
      <c r="AQ262" s="36">
        <v>0</v>
      </c>
      <c r="AR262" s="36">
        <v>0</v>
      </c>
      <c r="AS262" s="36">
        <v>0</v>
      </c>
      <c r="AT262" s="36">
        <v>0</v>
      </c>
      <c r="AU262" s="36">
        <v>0</v>
      </c>
      <c r="AV262" s="36">
        <v>0</v>
      </c>
      <c r="AW262" s="37">
        <v>155652</v>
      </c>
      <c r="AX262" s="37">
        <v>0</v>
      </c>
      <c r="AY262" s="37"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2" t="s">
        <v>12</v>
      </c>
      <c r="BL262" s="32" t="s">
        <v>13</v>
      </c>
      <c r="BM262" s="33">
        <v>46090.562430555554</v>
      </c>
      <c r="BN262" s="32" t="s">
        <v>28</v>
      </c>
      <c r="BO262" s="32" t="s">
        <v>29</v>
      </c>
      <c r="BP262" s="38">
        <v>-15</v>
      </c>
      <c r="BQ262" s="42"/>
      <c r="BR262" s="39">
        <v>-15</v>
      </c>
      <c r="BS262" s="4" t="s">
        <v>221</v>
      </c>
      <c r="BT262" s="4" t="str">
        <f t="shared" si="17"/>
        <v>120</v>
      </c>
      <c r="BU262" s="4" t="str">
        <f t="shared" si="17"/>
        <v>-15</v>
      </c>
      <c r="BV262" s="4">
        <f t="shared" si="18"/>
        <v>30</v>
      </c>
      <c r="BW262" s="29">
        <f t="shared" si="19"/>
        <v>-2334780</v>
      </c>
      <c r="BX262" s="4">
        <v>51.49</v>
      </c>
      <c r="BY262" s="29">
        <f t="shared" si="20"/>
        <v>-3293.6389643835619</v>
      </c>
    </row>
    <row r="263" spans="1:77" ht="15" hidden="1" customHeight="1" x14ac:dyDescent="0.35">
      <c r="A263" s="32" t="s">
        <v>217</v>
      </c>
      <c r="B263" s="32" t="s">
        <v>784</v>
      </c>
      <c r="C263" s="32" t="s">
        <v>38</v>
      </c>
      <c r="D263" s="32" t="s">
        <v>94</v>
      </c>
      <c r="E263" s="32" t="s">
        <v>95</v>
      </c>
      <c r="F263" s="32" t="s">
        <v>46</v>
      </c>
      <c r="G263" s="33">
        <v>46090</v>
      </c>
      <c r="H263" s="33">
        <v>46090</v>
      </c>
      <c r="I263" s="33">
        <v>46120</v>
      </c>
      <c r="J263" s="32" t="s">
        <v>11</v>
      </c>
      <c r="K263" s="34">
        <v>112728</v>
      </c>
      <c r="L263" s="34">
        <v>112728</v>
      </c>
      <c r="M263" s="34">
        <v>0</v>
      </c>
      <c r="N263" s="34">
        <v>0</v>
      </c>
      <c r="O263" s="34">
        <v>0</v>
      </c>
      <c r="P263" s="34">
        <v>112728</v>
      </c>
      <c r="Q263" s="34">
        <v>112728</v>
      </c>
      <c r="R263" s="34">
        <v>112728</v>
      </c>
      <c r="S263" s="34">
        <v>2211.5584573551901</v>
      </c>
      <c r="T263" s="34">
        <v>112728</v>
      </c>
      <c r="U263" s="35">
        <v>112728</v>
      </c>
      <c r="V263" s="35">
        <v>0</v>
      </c>
      <c r="W263" s="35">
        <v>0</v>
      </c>
      <c r="X263" s="35">
        <v>0</v>
      </c>
      <c r="Y263" s="35">
        <v>0</v>
      </c>
      <c r="Z263" s="35">
        <v>0</v>
      </c>
      <c r="AA263" s="35">
        <v>0</v>
      </c>
      <c r="AB263" s="35">
        <v>0</v>
      </c>
      <c r="AC263" s="35">
        <v>0</v>
      </c>
      <c r="AD263" s="35">
        <v>0</v>
      </c>
      <c r="AE263" s="35">
        <v>0</v>
      </c>
      <c r="AF263" s="35">
        <v>0</v>
      </c>
      <c r="AG263" s="35">
        <v>0</v>
      </c>
      <c r="AH263" s="35">
        <v>0</v>
      </c>
      <c r="AI263" s="36">
        <v>2211.5584573551901</v>
      </c>
      <c r="AJ263" s="36">
        <v>0</v>
      </c>
      <c r="AK263" s="36">
        <v>0</v>
      </c>
      <c r="AL263" s="36">
        <v>0</v>
      </c>
      <c r="AM263" s="36">
        <v>0</v>
      </c>
      <c r="AN263" s="36">
        <v>0</v>
      </c>
      <c r="AO263" s="36">
        <v>0</v>
      </c>
      <c r="AP263" s="36">
        <v>0</v>
      </c>
      <c r="AQ263" s="36">
        <v>0</v>
      </c>
      <c r="AR263" s="36">
        <v>0</v>
      </c>
      <c r="AS263" s="36">
        <v>0</v>
      </c>
      <c r="AT263" s="36">
        <v>0</v>
      </c>
      <c r="AU263" s="36">
        <v>0</v>
      </c>
      <c r="AV263" s="36">
        <v>0</v>
      </c>
      <c r="AW263" s="37">
        <v>112728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D263" s="37">
        <v>0</v>
      </c>
      <c r="BE263" s="37">
        <v>0</v>
      </c>
      <c r="BF263" s="37">
        <v>0</v>
      </c>
      <c r="BG263" s="37">
        <v>0</v>
      </c>
      <c r="BH263" s="37">
        <v>0</v>
      </c>
      <c r="BI263" s="37">
        <v>0</v>
      </c>
      <c r="BJ263" s="37">
        <v>0</v>
      </c>
      <c r="BK263" s="32" t="s">
        <v>12</v>
      </c>
      <c r="BL263" s="32" t="s">
        <v>13</v>
      </c>
      <c r="BM263" s="33">
        <v>46090.564409722225</v>
      </c>
      <c r="BN263" s="32" t="s">
        <v>28</v>
      </c>
      <c r="BO263" s="32" t="s">
        <v>29</v>
      </c>
      <c r="BP263" s="38">
        <v>-15</v>
      </c>
      <c r="BQ263" s="42"/>
      <c r="BR263" s="39">
        <v>-15</v>
      </c>
      <c r="BS263" s="4" t="s">
        <v>221</v>
      </c>
      <c r="BT263" s="4" t="str">
        <f t="shared" si="17"/>
        <v>120</v>
      </c>
      <c r="BU263" s="4" t="str">
        <f t="shared" si="17"/>
        <v>-15</v>
      </c>
      <c r="BV263" s="4">
        <f t="shared" si="18"/>
        <v>30</v>
      </c>
      <c r="BW263" s="29">
        <f t="shared" si="19"/>
        <v>-1690920</v>
      </c>
      <c r="BX263" s="4">
        <v>51.49</v>
      </c>
      <c r="BY263" s="29">
        <f t="shared" si="20"/>
        <v>-2385.3553643835617</v>
      </c>
    </row>
    <row r="264" spans="1:77" ht="15" hidden="1" customHeight="1" x14ac:dyDescent="0.35">
      <c r="A264" s="32" t="s">
        <v>217</v>
      </c>
      <c r="B264" s="32" t="s">
        <v>785</v>
      </c>
      <c r="C264" s="32" t="s">
        <v>42</v>
      </c>
      <c r="D264" s="32" t="s">
        <v>94</v>
      </c>
      <c r="E264" s="32" t="s">
        <v>95</v>
      </c>
      <c r="F264" s="32" t="s">
        <v>46</v>
      </c>
      <c r="G264" s="33">
        <v>46090</v>
      </c>
      <c r="H264" s="33">
        <v>46090</v>
      </c>
      <c r="I264" s="33">
        <v>46120</v>
      </c>
      <c r="J264" s="32" t="s">
        <v>11</v>
      </c>
      <c r="K264" s="34">
        <v>17322.52</v>
      </c>
      <c r="L264" s="34">
        <v>17322.52</v>
      </c>
      <c r="M264" s="34">
        <v>0</v>
      </c>
      <c r="N264" s="34">
        <v>0</v>
      </c>
      <c r="O264" s="34">
        <v>0</v>
      </c>
      <c r="P264" s="34">
        <v>17322.52</v>
      </c>
      <c r="Q264" s="34">
        <v>17322.52</v>
      </c>
      <c r="R264" s="34">
        <v>17322.52</v>
      </c>
      <c r="S264" s="34">
        <v>339.842502383652</v>
      </c>
      <c r="T264" s="34">
        <v>17322.52</v>
      </c>
      <c r="U264" s="35">
        <v>17322.52</v>
      </c>
      <c r="V264" s="35">
        <v>0</v>
      </c>
      <c r="W264" s="35">
        <v>0</v>
      </c>
      <c r="X264" s="35">
        <v>0</v>
      </c>
      <c r="Y264" s="35">
        <v>0</v>
      </c>
      <c r="Z264" s="35">
        <v>0</v>
      </c>
      <c r="AA264" s="35">
        <v>0</v>
      </c>
      <c r="AB264" s="35">
        <v>0</v>
      </c>
      <c r="AC264" s="35">
        <v>0</v>
      </c>
      <c r="AD264" s="35">
        <v>0</v>
      </c>
      <c r="AE264" s="35">
        <v>0</v>
      </c>
      <c r="AF264" s="35">
        <v>0</v>
      </c>
      <c r="AG264" s="35">
        <v>0</v>
      </c>
      <c r="AH264" s="35">
        <v>0</v>
      </c>
      <c r="AI264" s="36">
        <v>339.842502383652</v>
      </c>
      <c r="AJ264" s="36">
        <v>0</v>
      </c>
      <c r="AK264" s="36">
        <v>0</v>
      </c>
      <c r="AL264" s="36">
        <v>0</v>
      </c>
      <c r="AM264" s="36">
        <v>0</v>
      </c>
      <c r="AN264" s="36">
        <v>0</v>
      </c>
      <c r="AO264" s="36">
        <v>0</v>
      </c>
      <c r="AP264" s="36">
        <v>0</v>
      </c>
      <c r="AQ264" s="36">
        <v>0</v>
      </c>
      <c r="AR264" s="36">
        <v>0</v>
      </c>
      <c r="AS264" s="36">
        <v>0</v>
      </c>
      <c r="AT264" s="36">
        <v>0</v>
      </c>
      <c r="AU264" s="36">
        <v>0</v>
      </c>
      <c r="AV264" s="36">
        <v>0</v>
      </c>
      <c r="AW264" s="37">
        <v>17322.52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2" t="s">
        <v>12</v>
      </c>
      <c r="BL264" s="32" t="s">
        <v>13</v>
      </c>
      <c r="BM264" s="33">
        <v>46090.566469907404</v>
      </c>
      <c r="BN264" s="32" t="s">
        <v>28</v>
      </c>
      <c r="BO264" s="32" t="s">
        <v>29</v>
      </c>
      <c r="BP264" s="38">
        <v>-15</v>
      </c>
      <c r="BQ264" s="42"/>
      <c r="BR264" s="39">
        <v>-15</v>
      </c>
      <c r="BS264" s="4" t="s">
        <v>221</v>
      </c>
      <c r="BT264" s="4" t="str">
        <f t="shared" si="17"/>
        <v>120</v>
      </c>
      <c r="BU264" s="4" t="str">
        <f t="shared" si="17"/>
        <v>-15</v>
      </c>
      <c r="BV264" s="4">
        <f t="shared" si="18"/>
        <v>30</v>
      </c>
      <c r="BW264" s="29">
        <f t="shared" si="19"/>
        <v>-259837.80000000002</v>
      </c>
      <c r="BX264" s="4">
        <v>51.49</v>
      </c>
      <c r="BY264" s="29">
        <f t="shared" si="20"/>
        <v>-366.54926909589045</v>
      </c>
    </row>
    <row r="265" spans="1:77" ht="15" hidden="1" customHeight="1" x14ac:dyDescent="0.35">
      <c r="A265" s="32" t="s">
        <v>217</v>
      </c>
      <c r="B265" s="32" t="s">
        <v>786</v>
      </c>
      <c r="C265" s="32" t="s">
        <v>42</v>
      </c>
      <c r="D265" s="32" t="s">
        <v>94</v>
      </c>
      <c r="E265" s="32" t="s">
        <v>95</v>
      </c>
      <c r="F265" s="32" t="s">
        <v>46</v>
      </c>
      <c r="G265" s="33">
        <v>46090</v>
      </c>
      <c r="H265" s="33">
        <v>46090</v>
      </c>
      <c r="I265" s="33">
        <v>46120</v>
      </c>
      <c r="J265" s="32" t="s">
        <v>11</v>
      </c>
      <c r="K265" s="34">
        <v>22033.48</v>
      </c>
      <c r="L265" s="34">
        <v>22033.48</v>
      </c>
      <c r="M265" s="34">
        <v>0</v>
      </c>
      <c r="N265" s="34">
        <v>0</v>
      </c>
      <c r="O265" s="34">
        <v>0</v>
      </c>
      <c r="P265" s="34">
        <v>22033.48</v>
      </c>
      <c r="Q265" s="34">
        <v>22033.48</v>
      </c>
      <c r="R265" s="34">
        <v>22033.48</v>
      </c>
      <c r="S265" s="34">
        <v>432.26464621891898</v>
      </c>
      <c r="T265" s="34">
        <v>22033.48</v>
      </c>
      <c r="U265" s="35">
        <v>22033.48</v>
      </c>
      <c r="V265" s="35">
        <v>0</v>
      </c>
      <c r="W265" s="35">
        <v>0</v>
      </c>
      <c r="X265" s="35">
        <v>0</v>
      </c>
      <c r="Y265" s="35">
        <v>0</v>
      </c>
      <c r="Z265" s="35">
        <v>0</v>
      </c>
      <c r="AA265" s="35">
        <v>0</v>
      </c>
      <c r="AB265" s="35">
        <v>0</v>
      </c>
      <c r="AC265" s="35">
        <v>0</v>
      </c>
      <c r="AD265" s="35">
        <v>0</v>
      </c>
      <c r="AE265" s="35">
        <v>0</v>
      </c>
      <c r="AF265" s="35">
        <v>0</v>
      </c>
      <c r="AG265" s="35">
        <v>0</v>
      </c>
      <c r="AH265" s="35">
        <v>0</v>
      </c>
      <c r="AI265" s="36">
        <v>432.26464621891898</v>
      </c>
      <c r="AJ265" s="36">
        <v>0</v>
      </c>
      <c r="AK265" s="36">
        <v>0</v>
      </c>
      <c r="AL265" s="36">
        <v>0</v>
      </c>
      <c r="AM265" s="36">
        <v>0</v>
      </c>
      <c r="AN265" s="36">
        <v>0</v>
      </c>
      <c r="AO265" s="36">
        <v>0</v>
      </c>
      <c r="AP265" s="36">
        <v>0</v>
      </c>
      <c r="AQ265" s="36">
        <v>0</v>
      </c>
      <c r="AR265" s="36">
        <v>0</v>
      </c>
      <c r="AS265" s="36">
        <v>0</v>
      </c>
      <c r="AT265" s="36">
        <v>0</v>
      </c>
      <c r="AU265" s="36">
        <v>0</v>
      </c>
      <c r="AV265" s="36">
        <v>0</v>
      </c>
      <c r="AW265" s="37">
        <v>22033.48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D265" s="37">
        <v>0</v>
      </c>
      <c r="BE265" s="37">
        <v>0</v>
      </c>
      <c r="BF265" s="37">
        <v>0</v>
      </c>
      <c r="BG265" s="37">
        <v>0</v>
      </c>
      <c r="BH265" s="37">
        <v>0</v>
      </c>
      <c r="BI265" s="37">
        <v>0</v>
      </c>
      <c r="BJ265" s="37">
        <v>0</v>
      </c>
      <c r="BK265" s="32" t="s">
        <v>12</v>
      </c>
      <c r="BL265" s="32" t="s">
        <v>13</v>
      </c>
      <c r="BM265" s="33">
        <v>46090.579594907409</v>
      </c>
      <c r="BN265" s="32" t="s">
        <v>28</v>
      </c>
      <c r="BO265" s="32" t="s">
        <v>29</v>
      </c>
      <c r="BP265" s="38">
        <v>-15</v>
      </c>
      <c r="BQ265" s="42"/>
      <c r="BR265" s="39">
        <v>-15</v>
      </c>
      <c r="BS265" s="4" t="s">
        <v>221</v>
      </c>
      <c r="BT265" s="4" t="str">
        <f t="shared" si="17"/>
        <v>120</v>
      </c>
      <c r="BU265" s="4" t="str">
        <f t="shared" si="17"/>
        <v>-15</v>
      </c>
      <c r="BV265" s="4">
        <f t="shared" si="18"/>
        <v>30</v>
      </c>
      <c r="BW265" s="29">
        <f t="shared" si="19"/>
        <v>-330502.2</v>
      </c>
      <c r="BX265" s="4">
        <v>51.49</v>
      </c>
      <c r="BY265" s="29">
        <f t="shared" si="20"/>
        <v>-466.23447336986305</v>
      </c>
    </row>
    <row r="266" spans="1:77" ht="15" hidden="1" customHeight="1" x14ac:dyDescent="0.35">
      <c r="A266" s="32" t="s">
        <v>217</v>
      </c>
      <c r="B266" s="32" t="s">
        <v>787</v>
      </c>
      <c r="C266" s="32" t="s">
        <v>42</v>
      </c>
      <c r="D266" s="32" t="s">
        <v>94</v>
      </c>
      <c r="E266" s="32" t="s">
        <v>95</v>
      </c>
      <c r="F266" s="32" t="s">
        <v>46</v>
      </c>
      <c r="G266" s="33">
        <v>46090</v>
      </c>
      <c r="H266" s="33">
        <v>46090</v>
      </c>
      <c r="I266" s="33">
        <v>46120</v>
      </c>
      <c r="J266" s="32" t="s">
        <v>11</v>
      </c>
      <c r="K266" s="34">
        <v>586932</v>
      </c>
      <c r="L266" s="34">
        <v>586932</v>
      </c>
      <c r="M266" s="34">
        <v>0</v>
      </c>
      <c r="N266" s="34">
        <v>0</v>
      </c>
      <c r="O266" s="34">
        <v>0</v>
      </c>
      <c r="P266" s="34">
        <v>586932</v>
      </c>
      <c r="Q266" s="34">
        <v>586932</v>
      </c>
      <c r="R266" s="34">
        <v>586932</v>
      </c>
      <c r="S266" s="34">
        <v>11514.7472543857</v>
      </c>
      <c r="T266" s="34">
        <v>586932</v>
      </c>
      <c r="U266" s="35">
        <v>586932</v>
      </c>
      <c r="V266" s="35">
        <v>0</v>
      </c>
      <c r="W266" s="35">
        <v>0</v>
      </c>
      <c r="X266" s="35">
        <v>0</v>
      </c>
      <c r="Y266" s="35">
        <v>0</v>
      </c>
      <c r="Z266" s="35">
        <v>0</v>
      </c>
      <c r="AA266" s="35">
        <v>0</v>
      </c>
      <c r="AB266" s="35">
        <v>0</v>
      </c>
      <c r="AC266" s="35">
        <v>0</v>
      </c>
      <c r="AD266" s="35">
        <v>0</v>
      </c>
      <c r="AE266" s="35">
        <v>0</v>
      </c>
      <c r="AF266" s="35">
        <v>0</v>
      </c>
      <c r="AG266" s="35">
        <v>0</v>
      </c>
      <c r="AH266" s="35">
        <v>0</v>
      </c>
      <c r="AI266" s="36">
        <v>11514.7472543857</v>
      </c>
      <c r="AJ266" s="36">
        <v>0</v>
      </c>
      <c r="AK266" s="36">
        <v>0</v>
      </c>
      <c r="AL266" s="36">
        <v>0</v>
      </c>
      <c r="AM266" s="36">
        <v>0</v>
      </c>
      <c r="AN266" s="36">
        <v>0</v>
      </c>
      <c r="AO266" s="36">
        <v>0</v>
      </c>
      <c r="AP266" s="36">
        <v>0</v>
      </c>
      <c r="AQ266" s="36">
        <v>0</v>
      </c>
      <c r="AR266" s="36">
        <v>0</v>
      </c>
      <c r="AS266" s="36">
        <v>0</v>
      </c>
      <c r="AT266" s="36">
        <v>0</v>
      </c>
      <c r="AU266" s="36">
        <v>0</v>
      </c>
      <c r="AV266" s="36">
        <v>0</v>
      </c>
      <c r="AW266" s="37">
        <v>586932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2" t="s">
        <v>12</v>
      </c>
      <c r="BL266" s="32" t="s">
        <v>13</v>
      </c>
      <c r="BM266" s="33">
        <v>46090.616666666669</v>
      </c>
      <c r="BN266" s="32" t="s">
        <v>28</v>
      </c>
      <c r="BO266" s="32" t="s">
        <v>29</v>
      </c>
      <c r="BP266" s="38">
        <v>-15</v>
      </c>
      <c r="BQ266" s="42"/>
      <c r="BR266" s="39">
        <v>-15</v>
      </c>
      <c r="BS266" s="4" t="s">
        <v>221</v>
      </c>
      <c r="BT266" s="4" t="str">
        <f t="shared" si="17"/>
        <v>120</v>
      </c>
      <c r="BU266" s="4" t="str">
        <f t="shared" si="17"/>
        <v>-15</v>
      </c>
      <c r="BV266" s="4">
        <f t="shared" si="18"/>
        <v>30</v>
      </c>
      <c r="BW266" s="29">
        <f t="shared" si="19"/>
        <v>-8803980</v>
      </c>
      <c r="BX266" s="4">
        <v>51.49</v>
      </c>
      <c r="BY266" s="29">
        <f t="shared" si="20"/>
        <v>-12419.641923287671</v>
      </c>
    </row>
    <row r="267" spans="1:77" ht="15" hidden="1" customHeight="1" x14ac:dyDescent="0.35">
      <c r="A267" s="32" t="s">
        <v>217</v>
      </c>
      <c r="B267" s="32" t="s">
        <v>788</v>
      </c>
      <c r="C267" s="32" t="s">
        <v>38</v>
      </c>
      <c r="D267" s="32" t="s">
        <v>94</v>
      </c>
      <c r="E267" s="32" t="s">
        <v>95</v>
      </c>
      <c r="F267" s="32" t="s">
        <v>46</v>
      </c>
      <c r="G267" s="33">
        <v>46090</v>
      </c>
      <c r="H267" s="33">
        <v>46090</v>
      </c>
      <c r="I267" s="33">
        <v>46120</v>
      </c>
      <c r="J267" s="32" t="s">
        <v>11</v>
      </c>
      <c r="K267" s="34">
        <v>183836</v>
      </c>
      <c r="L267" s="34">
        <v>183836</v>
      </c>
      <c r="M267" s="34">
        <v>0</v>
      </c>
      <c r="N267" s="34">
        <v>0</v>
      </c>
      <c r="O267" s="34">
        <v>0</v>
      </c>
      <c r="P267" s="34">
        <v>183836</v>
      </c>
      <c r="Q267" s="34">
        <v>183836</v>
      </c>
      <c r="R267" s="34">
        <v>183836</v>
      </c>
      <c r="S267" s="34">
        <v>3606.5933979698698</v>
      </c>
      <c r="T267" s="34">
        <v>183836</v>
      </c>
      <c r="U267" s="35">
        <v>183836</v>
      </c>
      <c r="V267" s="35">
        <v>0</v>
      </c>
      <c r="W267" s="35">
        <v>0</v>
      </c>
      <c r="X267" s="35">
        <v>0</v>
      </c>
      <c r="Y267" s="35">
        <v>0</v>
      </c>
      <c r="Z267" s="35">
        <v>0</v>
      </c>
      <c r="AA267" s="35">
        <v>0</v>
      </c>
      <c r="AB267" s="35">
        <v>0</v>
      </c>
      <c r="AC267" s="35">
        <v>0</v>
      </c>
      <c r="AD267" s="35">
        <v>0</v>
      </c>
      <c r="AE267" s="35">
        <v>0</v>
      </c>
      <c r="AF267" s="35">
        <v>0</v>
      </c>
      <c r="AG267" s="35">
        <v>0</v>
      </c>
      <c r="AH267" s="35">
        <v>0</v>
      </c>
      <c r="AI267" s="36">
        <v>3606.5933979698698</v>
      </c>
      <c r="AJ267" s="36">
        <v>0</v>
      </c>
      <c r="AK267" s="36">
        <v>0</v>
      </c>
      <c r="AL267" s="36">
        <v>0</v>
      </c>
      <c r="AM267" s="36">
        <v>0</v>
      </c>
      <c r="AN267" s="36">
        <v>0</v>
      </c>
      <c r="AO267" s="36">
        <v>0</v>
      </c>
      <c r="AP267" s="36">
        <v>0</v>
      </c>
      <c r="AQ267" s="36">
        <v>0</v>
      </c>
      <c r="AR267" s="36">
        <v>0</v>
      </c>
      <c r="AS267" s="36">
        <v>0</v>
      </c>
      <c r="AT267" s="36">
        <v>0</v>
      </c>
      <c r="AU267" s="36">
        <v>0</v>
      </c>
      <c r="AV267" s="36">
        <v>0</v>
      </c>
      <c r="AW267" s="37">
        <v>183836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D267" s="37">
        <v>0</v>
      </c>
      <c r="BE267" s="37">
        <v>0</v>
      </c>
      <c r="BF267" s="37">
        <v>0</v>
      </c>
      <c r="BG267" s="37">
        <v>0</v>
      </c>
      <c r="BH267" s="37">
        <v>0</v>
      </c>
      <c r="BI267" s="37">
        <v>0</v>
      </c>
      <c r="BJ267" s="37">
        <v>0</v>
      </c>
      <c r="BK267" s="32" t="s">
        <v>12</v>
      </c>
      <c r="BL267" s="32" t="s">
        <v>13</v>
      </c>
      <c r="BM267" s="33">
        <v>46090.618275462963</v>
      </c>
      <c r="BN267" s="32" t="s">
        <v>28</v>
      </c>
      <c r="BO267" s="32" t="s">
        <v>29</v>
      </c>
      <c r="BP267" s="38">
        <v>-15</v>
      </c>
      <c r="BQ267" s="42"/>
      <c r="BR267" s="39">
        <v>-15</v>
      </c>
      <c r="BS267" s="4" t="s">
        <v>221</v>
      </c>
      <c r="BT267" s="4" t="str">
        <f t="shared" si="17"/>
        <v>120</v>
      </c>
      <c r="BU267" s="4" t="str">
        <f t="shared" si="17"/>
        <v>-15</v>
      </c>
      <c r="BV267" s="4">
        <f t="shared" si="18"/>
        <v>30</v>
      </c>
      <c r="BW267" s="29">
        <f t="shared" si="19"/>
        <v>-2757540</v>
      </c>
      <c r="BX267" s="4">
        <v>51.49</v>
      </c>
      <c r="BY267" s="29">
        <f t="shared" si="20"/>
        <v>-3890.0201260273971</v>
      </c>
    </row>
    <row r="268" spans="1:77" ht="15" hidden="1" customHeight="1" x14ac:dyDescent="0.35">
      <c r="A268" s="32" t="s">
        <v>217</v>
      </c>
      <c r="B268" s="32" t="s">
        <v>789</v>
      </c>
      <c r="C268" s="32" t="s">
        <v>42</v>
      </c>
      <c r="D268" s="32" t="s">
        <v>94</v>
      </c>
      <c r="E268" s="32" t="s">
        <v>95</v>
      </c>
      <c r="F268" s="32" t="s">
        <v>46</v>
      </c>
      <c r="G268" s="33">
        <v>46091</v>
      </c>
      <c r="H268" s="33">
        <v>46091</v>
      </c>
      <c r="I268" s="33">
        <v>46121</v>
      </c>
      <c r="J268" s="32" t="s">
        <v>11</v>
      </c>
      <c r="K268" s="34">
        <v>145346.92000000001</v>
      </c>
      <c r="L268" s="34">
        <v>121122.43</v>
      </c>
      <c r="M268" s="34">
        <v>24224.49</v>
      </c>
      <c r="N268" s="34">
        <v>0</v>
      </c>
      <c r="O268" s="34">
        <v>0</v>
      </c>
      <c r="P268" s="34">
        <v>145346.92000000001</v>
      </c>
      <c r="Q268" s="34">
        <v>145346.92000000001</v>
      </c>
      <c r="R268" s="34">
        <v>145346.92000000001</v>
      </c>
      <c r="S268" s="34">
        <v>2851.4939516049899</v>
      </c>
      <c r="T268" s="34">
        <v>145346.92000000001</v>
      </c>
      <c r="U268" s="35">
        <v>0</v>
      </c>
      <c r="V268" s="35">
        <v>145346.92000000001</v>
      </c>
      <c r="W268" s="35">
        <v>0</v>
      </c>
      <c r="X268" s="35">
        <v>0</v>
      </c>
      <c r="Y268" s="35">
        <v>0</v>
      </c>
      <c r="Z268" s="35">
        <v>0</v>
      </c>
      <c r="AA268" s="35">
        <v>0</v>
      </c>
      <c r="AB268" s="35">
        <v>0</v>
      </c>
      <c r="AC268" s="35">
        <v>0</v>
      </c>
      <c r="AD268" s="35">
        <v>0</v>
      </c>
      <c r="AE268" s="35">
        <v>0</v>
      </c>
      <c r="AF268" s="35">
        <v>0</v>
      </c>
      <c r="AG268" s="35">
        <v>0</v>
      </c>
      <c r="AH268" s="35">
        <v>0</v>
      </c>
      <c r="AI268" s="36">
        <v>0</v>
      </c>
      <c r="AJ268" s="36">
        <v>2851.4939516049899</v>
      </c>
      <c r="AK268" s="36">
        <v>0</v>
      </c>
      <c r="AL268" s="36">
        <v>0</v>
      </c>
      <c r="AM268" s="36">
        <v>0</v>
      </c>
      <c r="AN268" s="36">
        <v>0</v>
      </c>
      <c r="AO268" s="36">
        <v>0</v>
      </c>
      <c r="AP268" s="36">
        <v>0</v>
      </c>
      <c r="AQ268" s="36">
        <v>0</v>
      </c>
      <c r="AR268" s="36">
        <v>0</v>
      </c>
      <c r="AS268" s="36">
        <v>0</v>
      </c>
      <c r="AT268" s="36">
        <v>0</v>
      </c>
      <c r="AU268" s="36">
        <v>0</v>
      </c>
      <c r="AV268" s="36">
        <v>0</v>
      </c>
      <c r="AW268" s="37">
        <v>0</v>
      </c>
      <c r="AX268" s="37">
        <v>145346.92000000001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2" t="s">
        <v>12</v>
      </c>
      <c r="BL268" s="32" t="s">
        <v>13</v>
      </c>
      <c r="BM268" s="33">
        <v>46091.510347222225</v>
      </c>
      <c r="BN268" s="32" t="s">
        <v>28</v>
      </c>
      <c r="BO268" s="32" t="s">
        <v>29</v>
      </c>
      <c r="BP268" s="38">
        <v>-16</v>
      </c>
      <c r="BQ268" s="42"/>
      <c r="BR268" s="39">
        <v>-16</v>
      </c>
      <c r="BS268" s="4" t="s">
        <v>221</v>
      </c>
      <c r="BT268" s="4" t="str">
        <f t="shared" si="17"/>
        <v>120</v>
      </c>
      <c r="BU268" s="4" t="str">
        <f t="shared" si="17"/>
        <v>-16</v>
      </c>
      <c r="BV268" s="4">
        <f t="shared" si="18"/>
        <v>30</v>
      </c>
      <c r="BW268" s="29">
        <f t="shared" si="19"/>
        <v>-2325550.7200000002</v>
      </c>
      <c r="BX268" s="4">
        <v>51.49</v>
      </c>
      <c r="BY268" s="29">
        <f t="shared" si="20"/>
        <v>-3280.6193581589046</v>
      </c>
    </row>
    <row r="269" spans="1:77" ht="15" hidden="1" customHeight="1" x14ac:dyDescent="0.35">
      <c r="A269" s="32" t="s">
        <v>217</v>
      </c>
      <c r="B269" s="32" t="s">
        <v>790</v>
      </c>
      <c r="C269" s="32" t="s">
        <v>16</v>
      </c>
      <c r="D269" s="32" t="s">
        <v>791</v>
      </c>
      <c r="E269" s="32" t="s">
        <v>272</v>
      </c>
      <c r="F269" s="32" t="s">
        <v>792</v>
      </c>
      <c r="G269" s="33">
        <v>46092</v>
      </c>
      <c r="H269" s="33">
        <v>46092</v>
      </c>
      <c r="I269" s="33">
        <v>46122</v>
      </c>
      <c r="J269" s="32" t="s">
        <v>11</v>
      </c>
      <c r="K269" s="34">
        <v>232475.56</v>
      </c>
      <c r="L269" s="34">
        <v>232475.56</v>
      </c>
      <c r="M269" s="34">
        <v>0</v>
      </c>
      <c r="N269" s="34">
        <v>0</v>
      </c>
      <c r="O269" s="34">
        <v>0</v>
      </c>
      <c r="P269" s="34">
        <v>232475.56</v>
      </c>
      <c r="Q269" s="34">
        <v>232475.56</v>
      </c>
      <c r="R269" s="34">
        <v>232475.56</v>
      </c>
      <c r="S269" s="34">
        <v>4560.83041344105</v>
      </c>
      <c r="T269" s="34">
        <v>232475.56</v>
      </c>
      <c r="U269" s="35">
        <v>0</v>
      </c>
      <c r="V269" s="35">
        <v>232475.56</v>
      </c>
      <c r="W269" s="35">
        <v>0</v>
      </c>
      <c r="X269" s="35">
        <v>0</v>
      </c>
      <c r="Y269" s="35">
        <v>0</v>
      </c>
      <c r="Z269" s="35">
        <v>0</v>
      </c>
      <c r="AA269" s="35">
        <v>0</v>
      </c>
      <c r="AB269" s="35">
        <v>0</v>
      </c>
      <c r="AC269" s="35">
        <v>0</v>
      </c>
      <c r="AD269" s="35">
        <v>0</v>
      </c>
      <c r="AE269" s="35">
        <v>0</v>
      </c>
      <c r="AF269" s="35">
        <v>0</v>
      </c>
      <c r="AG269" s="35">
        <v>0</v>
      </c>
      <c r="AH269" s="35">
        <v>0</v>
      </c>
      <c r="AI269" s="36">
        <v>0</v>
      </c>
      <c r="AJ269" s="36">
        <v>4560.83041344105</v>
      </c>
      <c r="AK269" s="36">
        <v>0</v>
      </c>
      <c r="AL269" s="36">
        <v>0</v>
      </c>
      <c r="AM269" s="36">
        <v>0</v>
      </c>
      <c r="AN269" s="36">
        <v>0</v>
      </c>
      <c r="AO269" s="36">
        <v>0</v>
      </c>
      <c r="AP269" s="36">
        <v>0</v>
      </c>
      <c r="AQ269" s="36">
        <v>0</v>
      </c>
      <c r="AR269" s="36">
        <v>0</v>
      </c>
      <c r="AS269" s="36">
        <v>0</v>
      </c>
      <c r="AT269" s="36">
        <v>0</v>
      </c>
      <c r="AU269" s="36">
        <v>0</v>
      </c>
      <c r="AV269" s="36">
        <v>0</v>
      </c>
      <c r="AW269" s="37">
        <v>0</v>
      </c>
      <c r="AX269" s="37">
        <v>232475.56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D269" s="37">
        <v>0</v>
      </c>
      <c r="BE269" s="37">
        <v>0</v>
      </c>
      <c r="BF269" s="37">
        <v>0</v>
      </c>
      <c r="BG269" s="37">
        <v>0</v>
      </c>
      <c r="BH269" s="37">
        <v>0</v>
      </c>
      <c r="BI269" s="37">
        <v>0</v>
      </c>
      <c r="BJ269" s="37">
        <v>0</v>
      </c>
      <c r="BK269" s="32" t="s">
        <v>12</v>
      </c>
      <c r="BL269" s="32" t="s">
        <v>13</v>
      </c>
      <c r="BM269" s="33">
        <v>46092.425902777781</v>
      </c>
      <c r="BN269" s="32" t="s">
        <v>28</v>
      </c>
      <c r="BO269" s="32" t="s">
        <v>29</v>
      </c>
      <c r="BP269" s="38">
        <v>-17</v>
      </c>
      <c r="BQ269" s="42"/>
      <c r="BR269" s="39">
        <v>-17</v>
      </c>
      <c r="BS269" s="4" t="s">
        <v>221</v>
      </c>
      <c r="BT269" s="4" t="str">
        <f t="shared" si="17"/>
        <v>120</v>
      </c>
      <c r="BU269" s="4" t="str">
        <f t="shared" si="17"/>
        <v>-17</v>
      </c>
      <c r="BV269" s="4">
        <f t="shared" si="18"/>
        <v>30</v>
      </c>
      <c r="BW269" s="29">
        <f t="shared" si="19"/>
        <v>-3952084.52</v>
      </c>
      <c r="BX269" s="4">
        <v>51.49</v>
      </c>
      <c r="BY269" s="29">
        <f t="shared" si="20"/>
        <v>-5575.1460804054796</v>
      </c>
    </row>
    <row r="270" spans="1:77" ht="15" customHeight="1" x14ac:dyDescent="0.35">
      <c r="A270" s="32" t="s">
        <v>217</v>
      </c>
      <c r="B270" s="32" t="s">
        <v>793</v>
      </c>
      <c r="C270" s="32" t="s">
        <v>7</v>
      </c>
      <c r="D270" s="32" t="s">
        <v>325</v>
      </c>
      <c r="E270" s="32" t="s">
        <v>228</v>
      </c>
      <c r="F270" s="32" t="s">
        <v>104</v>
      </c>
      <c r="G270" s="33">
        <v>46092</v>
      </c>
      <c r="H270" s="33">
        <v>46092</v>
      </c>
      <c r="I270" s="33">
        <v>46107</v>
      </c>
      <c r="J270" s="32" t="s">
        <v>11</v>
      </c>
      <c r="K270" s="34">
        <v>268198.09999999998</v>
      </c>
      <c r="L270" s="34">
        <v>262939.32</v>
      </c>
      <c r="M270" s="34">
        <v>5258.78</v>
      </c>
      <c r="N270" s="34">
        <v>0</v>
      </c>
      <c r="O270" s="34">
        <v>0</v>
      </c>
      <c r="P270" s="34">
        <v>268198.09999999998</v>
      </c>
      <c r="Q270" s="34">
        <v>268198.09999999998</v>
      </c>
      <c r="R270" s="34">
        <v>268198.09999999998</v>
      </c>
      <c r="S270" s="34">
        <v>5261.6543920019103</v>
      </c>
      <c r="T270" s="34">
        <v>268198.09999999998</v>
      </c>
      <c r="U270" s="35">
        <v>268198.09999999998</v>
      </c>
      <c r="V270" s="35">
        <v>0</v>
      </c>
      <c r="W270" s="35">
        <v>0</v>
      </c>
      <c r="X270" s="35">
        <v>0</v>
      </c>
      <c r="Y270" s="35">
        <v>0</v>
      </c>
      <c r="Z270" s="35">
        <v>0</v>
      </c>
      <c r="AA270" s="35">
        <v>0</v>
      </c>
      <c r="AB270" s="35">
        <v>0</v>
      </c>
      <c r="AC270" s="35">
        <v>0</v>
      </c>
      <c r="AD270" s="35">
        <v>0</v>
      </c>
      <c r="AE270" s="35">
        <v>0</v>
      </c>
      <c r="AF270" s="35">
        <v>0</v>
      </c>
      <c r="AG270" s="35">
        <v>0</v>
      </c>
      <c r="AH270" s="35">
        <v>0</v>
      </c>
      <c r="AI270" s="36">
        <v>5261.6543920019103</v>
      </c>
      <c r="AJ270" s="36">
        <v>0</v>
      </c>
      <c r="AK270" s="36">
        <v>0</v>
      </c>
      <c r="AL270" s="36">
        <v>0</v>
      </c>
      <c r="AM270" s="36">
        <v>0</v>
      </c>
      <c r="AN270" s="36">
        <v>0</v>
      </c>
      <c r="AO270" s="36">
        <v>0</v>
      </c>
      <c r="AP270" s="36">
        <v>0</v>
      </c>
      <c r="AQ270" s="36">
        <v>0</v>
      </c>
      <c r="AR270" s="36">
        <v>0</v>
      </c>
      <c r="AS270" s="36">
        <v>0</v>
      </c>
      <c r="AT270" s="36">
        <v>0</v>
      </c>
      <c r="AU270" s="36">
        <v>0</v>
      </c>
      <c r="AV270" s="36">
        <v>0</v>
      </c>
      <c r="AW270" s="37">
        <v>268198.09999999998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2" t="s">
        <v>12</v>
      </c>
      <c r="BL270" s="32" t="s">
        <v>13</v>
      </c>
      <c r="BM270" s="33">
        <v>46092.436030092591</v>
      </c>
      <c r="BN270" s="32" t="s">
        <v>326</v>
      </c>
      <c r="BO270" s="32" t="s">
        <v>26</v>
      </c>
      <c r="BP270" s="38">
        <v>-2</v>
      </c>
      <c r="BQ270" s="42"/>
      <c r="BR270" s="39">
        <v>-2</v>
      </c>
      <c r="BS270" s="4" t="s">
        <v>221</v>
      </c>
      <c r="BT270" s="4" t="str">
        <f t="shared" si="17"/>
        <v>120</v>
      </c>
      <c r="BU270" s="4" t="str">
        <f t="shared" si="17"/>
        <v>-2</v>
      </c>
      <c r="BV270" s="4">
        <f t="shared" si="18"/>
        <v>15</v>
      </c>
      <c r="BW270" s="29">
        <f t="shared" si="19"/>
        <v>-536396.19999999995</v>
      </c>
      <c r="BX270" s="4">
        <v>51.49</v>
      </c>
      <c r="BY270" s="29">
        <f t="shared" si="20"/>
        <v>-756.68603665753426</v>
      </c>
    </row>
    <row r="271" spans="1:77" ht="15" hidden="1" customHeight="1" x14ac:dyDescent="0.35">
      <c r="A271" s="32" t="s">
        <v>217</v>
      </c>
      <c r="B271" s="32" t="s">
        <v>794</v>
      </c>
      <c r="C271" s="32" t="s">
        <v>42</v>
      </c>
      <c r="D271" s="32" t="s">
        <v>756</v>
      </c>
      <c r="E271" s="32" t="s">
        <v>279</v>
      </c>
      <c r="F271" s="32" t="s">
        <v>757</v>
      </c>
      <c r="G271" s="33">
        <v>46097</v>
      </c>
      <c r="H271" s="33">
        <v>46097</v>
      </c>
      <c r="I271" s="33">
        <v>46127</v>
      </c>
      <c r="J271" s="32" t="s">
        <v>11</v>
      </c>
      <c r="K271" s="34">
        <v>261623.88</v>
      </c>
      <c r="L271" s="34">
        <v>256494</v>
      </c>
      <c r="M271" s="34">
        <v>5129.88</v>
      </c>
      <c r="N271" s="34">
        <v>12933.56</v>
      </c>
      <c r="O271" s="34">
        <v>0</v>
      </c>
      <c r="P271" s="34">
        <v>248690.32</v>
      </c>
      <c r="Q271" s="34">
        <v>248690.32</v>
      </c>
      <c r="R271" s="34">
        <v>248690.32</v>
      </c>
      <c r="S271" s="34">
        <v>4878.9402850965798</v>
      </c>
      <c r="T271" s="34">
        <v>248690.32</v>
      </c>
      <c r="U271" s="35">
        <v>0</v>
      </c>
      <c r="V271" s="35">
        <v>248690.32</v>
      </c>
      <c r="W271" s="35">
        <v>0</v>
      </c>
      <c r="X271" s="35">
        <v>0</v>
      </c>
      <c r="Y271" s="35">
        <v>0</v>
      </c>
      <c r="Z271" s="35">
        <v>0</v>
      </c>
      <c r="AA271" s="35">
        <v>0</v>
      </c>
      <c r="AB271" s="35">
        <v>0</v>
      </c>
      <c r="AC271" s="35">
        <v>0</v>
      </c>
      <c r="AD271" s="35">
        <v>0</v>
      </c>
      <c r="AE271" s="35">
        <v>0</v>
      </c>
      <c r="AF271" s="35">
        <v>0</v>
      </c>
      <c r="AG271" s="35">
        <v>0</v>
      </c>
      <c r="AH271" s="35">
        <v>0</v>
      </c>
      <c r="AI271" s="36">
        <v>0</v>
      </c>
      <c r="AJ271" s="36">
        <v>4878.9402850965798</v>
      </c>
      <c r="AK271" s="36">
        <v>0</v>
      </c>
      <c r="AL271" s="36">
        <v>0</v>
      </c>
      <c r="AM271" s="36">
        <v>0</v>
      </c>
      <c r="AN271" s="36">
        <v>0</v>
      </c>
      <c r="AO271" s="36">
        <v>0</v>
      </c>
      <c r="AP271" s="36">
        <v>0</v>
      </c>
      <c r="AQ271" s="36">
        <v>0</v>
      </c>
      <c r="AR271" s="36">
        <v>0</v>
      </c>
      <c r="AS271" s="36">
        <v>0</v>
      </c>
      <c r="AT271" s="36">
        <v>0</v>
      </c>
      <c r="AU271" s="36">
        <v>0</v>
      </c>
      <c r="AV271" s="36">
        <v>0</v>
      </c>
      <c r="AW271" s="37">
        <v>0</v>
      </c>
      <c r="AX271" s="37">
        <v>248690.32</v>
      </c>
      <c r="AY271" s="37">
        <v>0</v>
      </c>
      <c r="AZ271" s="37">
        <v>0</v>
      </c>
      <c r="BA271" s="37">
        <v>0</v>
      </c>
      <c r="BB271" s="37">
        <v>0</v>
      </c>
      <c r="BC271" s="37">
        <v>0</v>
      </c>
      <c r="BD271" s="37">
        <v>0</v>
      </c>
      <c r="BE271" s="37">
        <v>0</v>
      </c>
      <c r="BF271" s="37">
        <v>0</v>
      </c>
      <c r="BG271" s="37">
        <v>0</v>
      </c>
      <c r="BH271" s="37">
        <v>0</v>
      </c>
      <c r="BI271" s="37">
        <v>0</v>
      </c>
      <c r="BJ271" s="37">
        <v>0</v>
      </c>
      <c r="BK271" s="32" t="s">
        <v>12</v>
      </c>
      <c r="BL271" s="32" t="s">
        <v>13</v>
      </c>
      <c r="BM271" s="33">
        <v>46095.871921296297</v>
      </c>
      <c r="BN271" s="32" t="s">
        <v>28</v>
      </c>
      <c r="BO271" s="32" t="s">
        <v>29</v>
      </c>
      <c r="BP271" s="38">
        <v>-22</v>
      </c>
      <c r="BQ271" s="42"/>
      <c r="BR271" s="39">
        <v>-22</v>
      </c>
      <c r="BS271" s="4" t="s">
        <v>221</v>
      </c>
      <c r="BT271" s="4" t="str">
        <f t="shared" si="17"/>
        <v>120</v>
      </c>
      <c r="BU271" s="4" t="str">
        <f t="shared" si="17"/>
        <v>-22</v>
      </c>
      <c r="BV271" s="4">
        <f t="shared" si="18"/>
        <v>30</v>
      </c>
      <c r="BW271" s="29">
        <f t="shared" si="19"/>
        <v>-5471187.04</v>
      </c>
      <c r="BX271" s="4">
        <v>51.49</v>
      </c>
      <c r="BY271" s="29">
        <f t="shared" si="20"/>
        <v>-7718.1211147835611</v>
      </c>
    </row>
    <row r="272" spans="1:77" ht="15" hidden="1" customHeight="1" x14ac:dyDescent="0.35">
      <c r="A272" s="32" t="s">
        <v>217</v>
      </c>
      <c r="B272" s="32" t="s">
        <v>795</v>
      </c>
      <c r="C272" s="32" t="s">
        <v>16</v>
      </c>
      <c r="D272" s="32" t="s">
        <v>796</v>
      </c>
      <c r="E272" s="32" t="s">
        <v>797</v>
      </c>
      <c r="F272" s="32" t="s">
        <v>46</v>
      </c>
      <c r="G272" s="33">
        <v>46097</v>
      </c>
      <c r="H272" s="33">
        <v>46097</v>
      </c>
      <c r="I272" s="33">
        <v>46157</v>
      </c>
      <c r="J272" s="32" t="s">
        <v>11</v>
      </c>
      <c r="K272" s="34">
        <v>55046.34</v>
      </c>
      <c r="L272" s="34">
        <v>53967</v>
      </c>
      <c r="M272" s="34">
        <v>1079.3399999999999</v>
      </c>
      <c r="N272" s="34">
        <v>0</v>
      </c>
      <c r="O272" s="34">
        <v>0</v>
      </c>
      <c r="P272" s="34">
        <v>55046.34</v>
      </c>
      <c r="Q272" s="34">
        <v>55046.34</v>
      </c>
      <c r="R272" s="34">
        <v>55046.34</v>
      </c>
      <c r="S272" s="34">
        <v>1079.9286669988701</v>
      </c>
      <c r="T272" s="34">
        <v>55046.34</v>
      </c>
      <c r="U272" s="35">
        <v>0</v>
      </c>
      <c r="V272" s="35">
        <v>0</v>
      </c>
      <c r="W272" s="35">
        <v>55046.34</v>
      </c>
      <c r="X272" s="35">
        <v>0</v>
      </c>
      <c r="Y272" s="35">
        <v>0</v>
      </c>
      <c r="Z272" s="35">
        <v>0</v>
      </c>
      <c r="AA272" s="35">
        <v>0</v>
      </c>
      <c r="AB272" s="35">
        <v>0</v>
      </c>
      <c r="AC272" s="35">
        <v>0</v>
      </c>
      <c r="AD272" s="35">
        <v>0</v>
      </c>
      <c r="AE272" s="35">
        <v>0</v>
      </c>
      <c r="AF272" s="35">
        <v>0</v>
      </c>
      <c r="AG272" s="35">
        <v>0</v>
      </c>
      <c r="AH272" s="35">
        <v>0</v>
      </c>
      <c r="AI272" s="36">
        <v>0</v>
      </c>
      <c r="AJ272" s="36">
        <v>0</v>
      </c>
      <c r="AK272" s="36">
        <v>1079.9286669988701</v>
      </c>
      <c r="AL272" s="36">
        <v>0</v>
      </c>
      <c r="AM272" s="36">
        <v>0</v>
      </c>
      <c r="AN272" s="36">
        <v>0</v>
      </c>
      <c r="AO272" s="36">
        <v>0</v>
      </c>
      <c r="AP272" s="36">
        <v>0</v>
      </c>
      <c r="AQ272" s="36">
        <v>0</v>
      </c>
      <c r="AR272" s="36">
        <v>0</v>
      </c>
      <c r="AS272" s="36">
        <v>0</v>
      </c>
      <c r="AT272" s="36">
        <v>0</v>
      </c>
      <c r="AU272" s="36">
        <v>0</v>
      </c>
      <c r="AV272" s="36">
        <v>0</v>
      </c>
      <c r="AW272" s="37">
        <v>0</v>
      </c>
      <c r="AX272" s="37">
        <v>0</v>
      </c>
      <c r="AY272" s="37">
        <v>55046.34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2" t="s">
        <v>12</v>
      </c>
      <c r="BL272" s="32" t="s">
        <v>13</v>
      </c>
      <c r="BM272" s="33">
        <v>46095.878321759257</v>
      </c>
      <c r="BN272" s="32" t="s">
        <v>28</v>
      </c>
      <c r="BO272" s="32" t="s">
        <v>29</v>
      </c>
      <c r="BP272" s="38">
        <v>-52</v>
      </c>
      <c r="BQ272" s="42"/>
      <c r="BR272" s="39">
        <v>-52</v>
      </c>
      <c r="BS272" s="4" t="s">
        <v>221</v>
      </c>
      <c r="BT272" s="4" t="str">
        <f t="shared" si="17"/>
        <v>120</v>
      </c>
      <c r="BU272" s="4" t="str">
        <f t="shared" si="17"/>
        <v>-52</v>
      </c>
      <c r="BV272" s="4">
        <f t="shared" si="18"/>
        <v>60</v>
      </c>
      <c r="BW272" s="29">
        <f t="shared" si="19"/>
        <v>-2862409.6799999997</v>
      </c>
      <c r="BX272" s="4">
        <v>51.49</v>
      </c>
      <c r="BY272" s="29">
        <f t="shared" si="20"/>
        <v>-4037.9582033753418</v>
      </c>
    </row>
    <row r="273" spans="1:77" ht="15" hidden="1" customHeight="1" x14ac:dyDescent="0.35">
      <c r="A273" s="32" t="s">
        <v>217</v>
      </c>
      <c r="B273" s="32" t="s">
        <v>811</v>
      </c>
      <c r="C273" s="32" t="s">
        <v>90</v>
      </c>
      <c r="D273" s="32" t="s">
        <v>812</v>
      </c>
      <c r="E273" s="32" t="s">
        <v>549</v>
      </c>
      <c r="F273" s="32" t="s">
        <v>351</v>
      </c>
      <c r="G273" s="33">
        <v>46097</v>
      </c>
      <c r="H273" s="33">
        <v>46097</v>
      </c>
      <c r="I273" s="33">
        <v>46112</v>
      </c>
      <c r="J273" s="32" t="s">
        <v>11</v>
      </c>
      <c r="K273" s="34">
        <v>54309.29</v>
      </c>
      <c r="L273" s="34">
        <v>54309.29</v>
      </c>
      <c r="M273" s="34">
        <v>0</v>
      </c>
      <c r="N273" s="34">
        <v>0</v>
      </c>
      <c r="O273" s="34">
        <v>0</v>
      </c>
      <c r="P273" s="34">
        <v>54309.29</v>
      </c>
      <c r="Q273" s="34">
        <v>54309.29</v>
      </c>
      <c r="R273" s="34">
        <v>54309.29</v>
      </c>
      <c r="S273" s="34">
        <v>1065.46882418259</v>
      </c>
      <c r="T273" s="34">
        <v>54309.29</v>
      </c>
      <c r="U273" s="35">
        <v>54309.29</v>
      </c>
      <c r="V273" s="35">
        <v>0</v>
      </c>
      <c r="W273" s="35">
        <v>0</v>
      </c>
      <c r="X273" s="35">
        <v>0</v>
      </c>
      <c r="Y273" s="35">
        <v>0</v>
      </c>
      <c r="Z273" s="35">
        <v>0</v>
      </c>
      <c r="AA273" s="35">
        <v>0</v>
      </c>
      <c r="AB273" s="35">
        <v>0</v>
      </c>
      <c r="AC273" s="35">
        <v>0</v>
      </c>
      <c r="AD273" s="35">
        <v>0</v>
      </c>
      <c r="AE273" s="35">
        <v>0</v>
      </c>
      <c r="AF273" s="35">
        <v>0</v>
      </c>
      <c r="AG273" s="35">
        <v>0</v>
      </c>
      <c r="AH273" s="35">
        <v>0</v>
      </c>
      <c r="AI273" s="36">
        <v>1065.46882418259</v>
      </c>
      <c r="AJ273" s="36">
        <v>0</v>
      </c>
      <c r="AK273" s="36">
        <v>0</v>
      </c>
      <c r="AL273" s="36">
        <v>0</v>
      </c>
      <c r="AM273" s="36">
        <v>0</v>
      </c>
      <c r="AN273" s="36">
        <v>0</v>
      </c>
      <c r="AO273" s="36">
        <v>0</v>
      </c>
      <c r="AP273" s="36">
        <v>0</v>
      </c>
      <c r="AQ273" s="36">
        <v>0</v>
      </c>
      <c r="AR273" s="36">
        <v>0</v>
      </c>
      <c r="AS273" s="36">
        <v>0</v>
      </c>
      <c r="AT273" s="36">
        <v>0</v>
      </c>
      <c r="AU273" s="36">
        <v>0</v>
      </c>
      <c r="AV273" s="36">
        <v>0</v>
      </c>
      <c r="AW273" s="37">
        <v>54309.29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  <c r="BH273" s="37">
        <v>0</v>
      </c>
      <c r="BI273" s="37">
        <v>0</v>
      </c>
      <c r="BJ273" s="37">
        <v>0</v>
      </c>
      <c r="BK273" s="32" t="s">
        <v>12</v>
      </c>
      <c r="BL273" s="32" t="s">
        <v>408</v>
      </c>
      <c r="BM273" s="33">
        <v>46097.408391203702</v>
      </c>
      <c r="BN273" s="32" t="s">
        <v>28</v>
      </c>
      <c r="BO273" s="32" t="s">
        <v>29</v>
      </c>
      <c r="BP273" s="38">
        <v>-7</v>
      </c>
      <c r="BQ273" s="42"/>
      <c r="BR273" s="39">
        <v>-7</v>
      </c>
      <c r="BS273" s="4" t="s">
        <v>221</v>
      </c>
      <c r="BT273" s="4" t="str">
        <f t="shared" si="17"/>
        <v>120</v>
      </c>
      <c r="BU273" s="4" t="str">
        <f t="shared" si="17"/>
        <v>-7</v>
      </c>
      <c r="BV273" s="4">
        <f t="shared" si="18"/>
        <v>15</v>
      </c>
      <c r="BW273" s="29">
        <f t="shared" si="19"/>
        <v>-380165.03</v>
      </c>
      <c r="BX273" s="4">
        <v>51.49</v>
      </c>
      <c r="BY273" s="29">
        <f t="shared" si="20"/>
        <v>-536.29307930684934</v>
      </c>
    </row>
    <row r="274" spans="1:77" ht="15" hidden="1" customHeight="1" x14ac:dyDescent="0.35">
      <c r="A274" s="32" t="s">
        <v>217</v>
      </c>
      <c r="B274" s="32" t="s">
        <v>813</v>
      </c>
      <c r="C274" s="32" t="s">
        <v>90</v>
      </c>
      <c r="D274" s="32" t="s">
        <v>67</v>
      </c>
      <c r="E274" s="32" t="s">
        <v>68</v>
      </c>
      <c r="F274" s="32" t="s">
        <v>69</v>
      </c>
      <c r="G274" s="33">
        <v>46097</v>
      </c>
      <c r="H274" s="33">
        <v>46097</v>
      </c>
      <c r="I274" s="33">
        <v>46104</v>
      </c>
      <c r="J274" s="32" t="s">
        <v>11</v>
      </c>
      <c r="K274" s="34">
        <v>46483.22</v>
      </c>
      <c r="L274" s="34">
        <v>38736.019999999997</v>
      </c>
      <c r="M274" s="34">
        <v>7747.2</v>
      </c>
      <c r="N274" s="34">
        <v>0</v>
      </c>
      <c r="O274" s="34">
        <v>0</v>
      </c>
      <c r="P274" s="34">
        <v>46483.22</v>
      </c>
      <c r="Q274" s="34">
        <v>0</v>
      </c>
      <c r="R274" s="34">
        <v>46483.22</v>
      </c>
      <c r="S274" s="34">
        <v>911.93277904426304</v>
      </c>
      <c r="T274" s="34">
        <v>46483.22</v>
      </c>
      <c r="U274" s="35">
        <v>0</v>
      </c>
      <c r="V274" s="35">
        <v>0</v>
      </c>
      <c r="W274" s="35">
        <v>0</v>
      </c>
      <c r="X274" s="35">
        <v>0</v>
      </c>
      <c r="Y274" s="35">
        <v>0</v>
      </c>
      <c r="Z274" s="35">
        <v>0</v>
      </c>
      <c r="AA274" s="35">
        <v>0</v>
      </c>
      <c r="AB274" s="35">
        <v>46483.22</v>
      </c>
      <c r="AC274" s="35">
        <v>0</v>
      </c>
      <c r="AD274" s="35">
        <v>0</v>
      </c>
      <c r="AE274" s="35">
        <v>0</v>
      </c>
      <c r="AF274" s="35">
        <v>0</v>
      </c>
      <c r="AG274" s="35">
        <v>0</v>
      </c>
      <c r="AH274" s="35">
        <v>0</v>
      </c>
      <c r="AI274" s="36">
        <v>0</v>
      </c>
      <c r="AJ274" s="36">
        <v>0</v>
      </c>
      <c r="AK274" s="36">
        <v>0</v>
      </c>
      <c r="AL274" s="36">
        <v>0</v>
      </c>
      <c r="AM274" s="36">
        <v>0</v>
      </c>
      <c r="AN274" s="36">
        <v>0</v>
      </c>
      <c r="AO274" s="36">
        <v>0</v>
      </c>
      <c r="AP274" s="36">
        <v>911.93277904426304</v>
      </c>
      <c r="AQ274" s="36">
        <v>0</v>
      </c>
      <c r="AR274" s="36">
        <v>0</v>
      </c>
      <c r="AS274" s="36">
        <v>0</v>
      </c>
      <c r="AT274" s="36">
        <v>0</v>
      </c>
      <c r="AU274" s="36">
        <v>0</v>
      </c>
      <c r="AV274" s="36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46483.22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2" t="s">
        <v>12</v>
      </c>
      <c r="BL274" s="32" t="s">
        <v>13</v>
      </c>
      <c r="BM274" s="33">
        <v>46097.415196759262</v>
      </c>
      <c r="BN274" s="32" t="s">
        <v>70</v>
      </c>
      <c r="BO274" s="32" t="s">
        <v>15</v>
      </c>
      <c r="BP274" s="38">
        <v>1</v>
      </c>
      <c r="BQ274" s="42"/>
      <c r="BR274" s="39">
        <v>1</v>
      </c>
      <c r="BS274" s="4" t="s">
        <v>220</v>
      </c>
      <c r="BT274" s="4" t="str">
        <f t="shared" si="17"/>
        <v>120</v>
      </c>
      <c r="BU274" s="4" t="str">
        <f t="shared" si="17"/>
        <v>1</v>
      </c>
      <c r="BV274" s="4">
        <f t="shared" si="18"/>
        <v>7</v>
      </c>
      <c r="BW274" s="29">
        <f t="shared" si="19"/>
        <v>46483.22</v>
      </c>
      <c r="BX274" s="4">
        <v>51.49</v>
      </c>
      <c r="BY274" s="29">
        <f t="shared" si="20"/>
        <v>65.573178021917812</v>
      </c>
    </row>
    <row r="275" spans="1:77" ht="15" customHeight="1" x14ac:dyDescent="0.35">
      <c r="A275" s="32" t="s">
        <v>217</v>
      </c>
      <c r="B275" s="32" t="s">
        <v>814</v>
      </c>
      <c r="C275" s="32" t="s">
        <v>90</v>
      </c>
      <c r="D275" s="32" t="s">
        <v>8</v>
      </c>
      <c r="E275" s="32" t="s">
        <v>9</v>
      </c>
      <c r="F275" s="32" t="s">
        <v>10</v>
      </c>
      <c r="G275" s="33">
        <v>46097</v>
      </c>
      <c r="H275" s="33">
        <v>46097</v>
      </c>
      <c r="I275" s="33">
        <v>46104</v>
      </c>
      <c r="J275" s="32" t="s">
        <v>11</v>
      </c>
      <c r="K275" s="34">
        <v>70200</v>
      </c>
      <c r="L275" s="34">
        <v>58500</v>
      </c>
      <c r="M275" s="34">
        <v>11700</v>
      </c>
      <c r="N275" s="34">
        <v>0</v>
      </c>
      <c r="O275" s="34">
        <v>0</v>
      </c>
      <c r="P275" s="34">
        <v>70200</v>
      </c>
      <c r="Q275" s="34">
        <v>0</v>
      </c>
      <c r="R275" s="34">
        <v>70200</v>
      </c>
      <c r="S275" s="34">
        <v>1377.2213088703299</v>
      </c>
      <c r="T275" s="34">
        <v>70200</v>
      </c>
      <c r="U275" s="35">
        <v>0</v>
      </c>
      <c r="V275" s="35">
        <v>0</v>
      </c>
      <c r="W275" s="35">
        <v>0</v>
      </c>
      <c r="X275" s="35">
        <v>0</v>
      </c>
      <c r="Y275" s="35">
        <v>0</v>
      </c>
      <c r="Z275" s="35">
        <v>0</v>
      </c>
      <c r="AA275" s="35">
        <v>0</v>
      </c>
      <c r="AB275" s="35">
        <v>70200</v>
      </c>
      <c r="AC275" s="35">
        <v>0</v>
      </c>
      <c r="AD275" s="35">
        <v>0</v>
      </c>
      <c r="AE275" s="35">
        <v>0</v>
      </c>
      <c r="AF275" s="35">
        <v>0</v>
      </c>
      <c r="AG275" s="35">
        <v>0</v>
      </c>
      <c r="AH275" s="35">
        <v>0</v>
      </c>
      <c r="AI275" s="36">
        <v>0</v>
      </c>
      <c r="AJ275" s="36">
        <v>0</v>
      </c>
      <c r="AK275" s="36">
        <v>0</v>
      </c>
      <c r="AL275" s="36">
        <v>0</v>
      </c>
      <c r="AM275" s="36">
        <v>0</v>
      </c>
      <c r="AN275" s="36">
        <v>0</v>
      </c>
      <c r="AO275" s="36">
        <v>0</v>
      </c>
      <c r="AP275" s="36">
        <v>1377.2213088703299</v>
      </c>
      <c r="AQ275" s="36">
        <v>0</v>
      </c>
      <c r="AR275" s="36">
        <v>0</v>
      </c>
      <c r="AS275" s="36">
        <v>0</v>
      </c>
      <c r="AT275" s="36">
        <v>0</v>
      </c>
      <c r="AU275" s="36">
        <v>0</v>
      </c>
      <c r="AV275" s="36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70200</v>
      </c>
      <c r="BE275" s="37">
        <v>0</v>
      </c>
      <c r="BF275" s="37">
        <v>0</v>
      </c>
      <c r="BG275" s="37">
        <v>0</v>
      </c>
      <c r="BH275" s="37">
        <v>0</v>
      </c>
      <c r="BI275" s="37">
        <v>0</v>
      </c>
      <c r="BJ275" s="37">
        <v>0</v>
      </c>
      <c r="BK275" s="32" t="s">
        <v>12</v>
      </c>
      <c r="BL275" s="32" t="s">
        <v>13</v>
      </c>
      <c r="BM275" s="33">
        <v>46097.419085648151</v>
      </c>
      <c r="BN275" s="32" t="s">
        <v>14</v>
      </c>
      <c r="BO275" s="32" t="s">
        <v>15</v>
      </c>
      <c r="BP275" s="38">
        <v>1</v>
      </c>
      <c r="BQ275" s="42"/>
      <c r="BR275" s="39">
        <v>1</v>
      </c>
      <c r="BS275" s="4" t="s">
        <v>220</v>
      </c>
      <c r="BT275" s="4" t="str">
        <f t="shared" si="17"/>
        <v>120</v>
      </c>
      <c r="BU275" s="4" t="str">
        <f t="shared" si="17"/>
        <v>1</v>
      </c>
      <c r="BV275" s="4">
        <f t="shared" si="18"/>
        <v>7</v>
      </c>
      <c r="BW275" s="29">
        <f t="shared" si="19"/>
        <v>70200</v>
      </c>
      <c r="BX275" s="4">
        <v>51.49</v>
      </c>
      <c r="BY275" s="29">
        <f t="shared" si="20"/>
        <v>99.030082191780821</v>
      </c>
    </row>
    <row r="276" spans="1:77" ht="15" customHeight="1" x14ac:dyDescent="0.35">
      <c r="A276" s="32" t="s">
        <v>217</v>
      </c>
      <c r="B276" s="32" t="s">
        <v>815</v>
      </c>
      <c r="C276" s="32" t="s">
        <v>90</v>
      </c>
      <c r="D276" s="32" t="s">
        <v>8</v>
      </c>
      <c r="E276" s="32" t="s">
        <v>9</v>
      </c>
      <c r="F276" s="32" t="s">
        <v>10</v>
      </c>
      <c r="G276" s="33">
        <v>46097</v>
      </c>
      <c r="H276" s="33">
        <v>46097</v>
      </c>
      <c r="I276" s="33">
        <v>46104</v>
      </c>
      <c r="J276" s="32" t="s">
        <v>11</v>
      </c>
      <c r="K276" s="34">
        <v>19731.650000000001</v>
      </c>
      <c r="L276" s="34">
        <v>16443.04</v>
      </c>
      <c r="M276" s="34">
        <v>3288.61</v>
      </c>
      <c r="N276" s="34">
        <v>0</v>
      </c>
      <c r="O276" s="34">
        <v>0</v>
      </c>
      <c r="P276" s="34">
        <v>19731.650000000001</v>
      </c>
      <c r="Q276" s="34">
        <v>0</v>
      </c>
      <c r="R276" s="34">
        <v>19731.650000000001</v>
      </c>
      <c r="S276" s="34">
        <v>387.10610882010201</v>
      </c>
      <c r="T276" s="34">
        <v>19731.650000000001</v>
      </c>
      <c r="U276" s="35">
        <v>0</v>
      </c>
      <c r="V276" s="35">
        <v>0</v>
      </c>
      <c r="W276" s="35">
        <v>0</v>
      </c>
      <c r="X276" s="35">
        <v>0</v>
      </c>
      <c r="Y276" s="35">
        <v>0</v>
      </c>
      <c r="Z276" s="35">
        <v>0</v>
      </c>
      <c r="AA276" s="35">
        <v>0</v>
      </c>
      <c r="AB276" s="35">
        <v>19731.650000000001</v>
      </c>
      <c r="AC276" s="35">
        <v>0</v>
      </c>
      <c r="AD276" s="35">
        <v>0</v>
      </c>
      <c r="AE276" s="35">
        <v>0</v>
      </c>
      <c r="AF276" s="35">
        <v>0</v>
      </c>
      <c r="AG276" s="35">
        <v>0</v>
      </c>
      <c r="AH276" s="35">
        <v>0</v>
      </c>
      <c r="AI276" s="36">
        <v>0</v>
      </c>
      <c r="AJ276" s="36">
        <v>0</v>
      </c>
      <c r="AK276" s="36">
        <v>0</v>
      </c>
      <c r="AL276" s="36">
        <v>0</v>
      </c>
      <c r="AM276" s="36">
        <v>0</v>
      </c>
      <c r="AN276" s="36">
        <v>0</v>
      </c>
      <c r="AO276" s="36">
        <v>0</v>
      </c>
      <c r="AP276" s="36">
        <v>387.10610882010201</v>
      </c>
      <c r="AQ276" s="36">
        <v>0</v>
      </c>
      <c r="AR276" s="36">
        <v>0</v>
      </c>
      <c r="AS276" s="36">
        <v>0</v>
      </c>
      <c r="AT276" s="36">
        <v>0</v>
      </c>
      <c r="AU276" s="36">
        <v>0</v>
      </c>
      <c r="AV276" s="36">
        <v>0</v>
      </c>
      <c r="AW276" s="37">
        <v>0</v>
      </c>
      <c r="AX276" s="37">
        <v>0</v>
      </c>
      <c r="AY276" s="37"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19731.650000000001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2" t="s">
        <v>12</v>
      </c>
      <c r="BL276" s="32" t="s">
        <v>13</v>
      </c>
      <c r="BM276" s="33">
        <v>46097.420810185184</v>
      </c>
      <c r="BN276" s="32" t="s">
        <v>14</v>
      </c>
      <c r="BO276" s="32" t="s">
        <v>15</v>
      </c>
      <c r="BP276" s="38">
        <v>1</v>
      </c>
      <c r="BQ276" s="42"/>
      <c r="BR276" s="39">
        <v>1</v>
      </c>
      <c r="BS276" s="4" t="s">
        <v>220</v>
      </c>
      <c r="BT276" s="4" t="str">
        <f t="shared" si="17"/>
        <v>120</v>
      </c>
      <c r="BU276" s="4" t="str">
        <f t="shared" si="17"/>
        <v>1</v>
      </c>
      <c r="BV276" s="4">
        <f t="shared" si="18"/>
        <v>7</v>
      </c>
      <c r="BW276" s="29">
        <f t="shared" si="19"/>
        <v>19731.650000000001</v>
      </c>
      <c r="BX276" s="4">
        <v>51.49</v>
      </c>
      <c r="BY276" s="29">
        <f t="shared" si="20"/>
        <v>27.835141328767126</v>
      </c>
    </row>
    <row r="277" spans="1:77" ht="15" hidden="1" customHeight="1" x14ac:dyDescent="0.35">
      <c r="A277" s="32" t="s">
        <v>217</v>
      </c>
      <c r="B277" s="32" t="s">
        <v>816</v>
      </c>
      <c r="C277" s="32" t="s">
        <v>90</v>
      </c>
      <c r="D277" s="32" t="s">
        <v>593</v>
      </c>
      <c r="E277" s="32" t="s">
        <v>62</v>
      </c>
      <c r="F277" s="32" t="s">
        <v>594</v>
      </c>
      <c r="G277" s="33">
        <v>46097</v>
      </c>
      <c r="H277" s="33">
        <v>46097</v>
      </c>
      <c r="I277" s="33">
        <v>46127</v>
      </c>
      <c r="J277" s="32" t="s">
        <v>11</v>
      </c>
      <c r="K277" s="34">
        <v>1800</v>
      </c>
      <c r="L277" s="34">
        <v>1500</v>
      </c>
      <c r="M277" s="34">
        <v>300</v>
      </c>
      <c r="N277" s="34">
        <v>0</v>
      </c>
      <c r="O277" s="34">
        <v>0</v>
      </c>
      <c r="P277" s="34">
        <v>1800</v>
      </c>
      <c r="Q277" s="34">
        <v>1800</v>
      </c>
      <c r="R277" s="34">
        <v>1800</v>
      </c>
      <c r="S277" s="34">
        <v>35.313366894110899</v>
      </c>
      <c r="T277" s="34">
        <v>1800</v>
      </c>
      <c r="U277" s="35">
        <v>0</v>
      </c>
      <c r="V277" s="35">
        <v>1800</v>
      </c>
      <c r="W277" s="35">
        <v>0</v>
      </c>
      <c r="X277" s="35">
        <v>0</v>
      </c>
      <c r="Y277" s="35">
        <v>0</v>
      </c>
      <c r="Z277" s="35">
        <v>0</v>
      </c>
      <c r="AA277" s="35">
        <v>0</v>
      </c>
      <c r="AB277" s="35">
        <v>0</v>
      </c>
      <c r="AC277" s="35">
        <v>0</v>
      </c>
      <c r="AD277" s="35">
        <v>0</v>
      </c>
      <c r="AE277" s="35">
        <v>0</v>
      </c>
      <c r="AF277" s="35">
        <v>0</v>
      </c>
      <c r="AG277" s="35">
        <v>0</v>
      </c>
      <c r="AH277" s="35">
        <v>0</v>
      </c>
      <c r="AI277" s="36">
        <v>0</v>
      </c>
      <c r="AJ277" s="36">
        <v>35.313366894110899</v>
      </c>
      <c r="AK277" s="36">
        <v>0</v>
      </c>
      <c r="AL277" s="36">
        <v>0</v>
      </c>
      <c r="AM277" s="36">
        <v>0</v>
      </c>
      <c r="AN277" s="36">
        <v>0</v>
      </c>
      <c r="AO277" s="36">
        <v>0</v>
      </c>
      <c r="AP277" s="36">
        <v>0</v>
      </c>
      <c r="AQ277" s="36">
        <v>0</v>
      </c>
      <c r="AR277" s="36">
        <v>0</v>
      </c>
      <c r="AS277" s="36">
        <v>0</v>
      </c>
      <c r="AT277" s="36">
        <v>0</v>
      </c>
      <c r="AU277" s="36">
        <v>0</v>
      </c>
      <c r="AV277" s="36">
        <v>0</v>
      </c>
      <c r="AW277" s="37">
        <v>0</v>
      </c>
      <c r="AX277" s="37">
        <v>1800</v>
      </c>
      <c r="AY277" s="37">
        <v>0</v>
      </c>
      <c r="AZ277" s="37">
        <v>0</v>
      </c>
      <c r="BA277" s="37">
        <v>0</v>
      </c>
      <c r="BB277" s="37">
        <v>0</v>
      </c>
      <c r="BC277" s="37">
        <v>0</v>
      </c>
      <c r="BD277" s="37">
        <v>0</v>
      </c>
      <c r="BE277" s="37">
        <v>0</v>
      </c>
      <c r="BF277" s="37">
        <v>0</v>
      </c>
      <c r="BG277" s="37">
        <v>0</v>
      </c>
      <c r="BH277" s="37">
        <v>0</v>
      </c>
      <c r="BI277" s="37">
        <v>0</v>
      </c>
      <c r="BJ277" s="37">
        <v>0</v>
      </c>
      <c r="BK277" s="32" t="s">
        <v>12</v>
      </c>
      <c r="BL277" s="32" t="s">
        <v>13</v>
      </c>
      <c r="BM277" s="33">
        <v>46097.422476851854</v>
      </c>
      <c r="BN277" s="32" t="s">
        <v>595</v>
      </c>
      <c r="BO277" s="32" t="s">
        <v>15</v>
      </c>
      <c r="BP277" s="38">
        <v>-22</v>
      </c>
      <c r="BQ277" s="42"/>
      <c r="BR277" s="39">
        <v>-22</v>
      </c>
      <c r="BS277" s="4" t="s">
        <v>221</v>
      </c>
      <c r="BT277" s="4" t="str">
        <f t="shared" si="17"/>
        <v>120</v>
      </c>
      <c r="BU277" s="4" t="str">
        <f t="shared" si="17"/>
        <v>-22</v>
      </c>
      <c r="BV277" s="4">
        <f t="shared" si="18"/>
        <v>30</v>
      </c>
      <c r="BW277" s="29">
        <f t="shared" si="19"/>
        <v>-39600</v>
      </c>
      <c r="BX277" s="4">
        <v>51.49</v>
      </c>
      <c r="BY277" s="29">
        <f t="shared" si="20"/>
        <v>-55.863123287671236</v>
      </c>
    </row>
    <row r="278" spans="1:77" ht="15" hidden="1" customHeight="1" x14ac:dyDescent="0.35">
      <c r="A278" s="32" t="s">
        <v>217</v>
      </c>
      <c r="B278" s="32" t="s">
        <v>817</v>
      </c>
      <c r="C278" s="32" t="s">
        <v>90</v>
      </c>
      <c r="D278" s="32" t="s">
        <v>593</v>
      </c>
      <c r="E278" s="32" t="s">
        <v>62</v>
      </c>
      <c r="F278" s="32" t="s">
        <v>594</v>
      </c>
      <c r="G278" s="33">
        <v>46097</v>
      </c>
      <c r="H278" s="33">
        <v>46097</v>
      </c>
      <c r="I278" s="33">
        <v>46127</v>
      </c>
      <c r="J278" s="32" t="s">
        <v>11</v>
      </c>
      <c r="K278" s="34">
        <v>5400</v>
      </c>
      <c r="L278" s="34">
        <v>4500</v>
      </c>
      <c r="M278" s="34">
        <v>900</v>
      </c>
      <c r="N278" s="34">
        <v>0</v>
      </c>
      <c r="O278" s="34">
        <v>0</v>
      </c>
      <c r="P278" s="34">
        <v>5400</v>
      </c>
      <c r="Q278" s="34">
        <v>5400</v>
      </c>
      <c r="R278" s="34">
        <v>5400</v>
      </c>
      <c r="S278" s="34">
        <v>105.940100682333</v>
      </c>
      <c r="T278" s="34">
        <v>5400</v>
      </c>
      <c r="U278" s="35">
        <v>0</v>
      </c>
      <c r="V278" s="35">
        <v>5400</v>
      </c>
      <c r="W278" s="35">
        <v>0</v>
      </c>
      <c r="X278" s="35">
        <v>0</v>
      </c>
      <c r="Y278" s="35">
        <v>0</v>
      </c>
      <c r="Z278" s="35">
        <v>0</v>
      </c>
      <c r="AA278" s="35">
        <v>0</v>
      </c>
      <c r="AB278" s="35">
        <v>0</v>
      </c>
      <c r="AC278" s="35">
        <v>0</v>
      </c>
      <c r="AD278" s="35">
        <v>0</v>
      </c>
      <c r="AE278" s="35">
        <v>0</v>
      </c>
      <c r="AF278" s="35">
        <v>0</v>
      </c>
      <c r="AG278" s="35">
        <v>0</v>
      </c>
      <c r="AH278" s="35">
        <v>0</v>
      </c>
      <c r="AI278" s="36">
        <v>0</v>
      </c>
      <c r="AJ278" s="36">
        <v>105.940100682333</v>
      </c>
      <c r="AK278" s="36">
        <v>0</v>
      </c>
      <c r="AL278" s="36">
        <v>0</v>
      </c>
      <c r="AM278" s="36">
        <v>0</v>
      </c>
      <c r="AN278" s="36">
        <v>0</v>
      </c>
      <c r="AO278" s="36">
        <v>0</v>
      </c>
      <c r="AP278" s="36">
        <v>0</v>
      </c>
      <c r="AQ278" s="36">
        <v>0</v>
      </c>
      <c r="AR278" s="36">
        <v>0</v>
      </c>
      <c r="AS278" s="36">
        <v>0</v>
      </c>
      <c r="AT278" s="36">
        <v>0</v>
      </c>
      <c r="AU278" s="36">
        <v>0</v>
      </c>
      <c r="AV278" s="36">
        <v>0</v>
      </c>
      <c r="AW278" s="37">
        <v>0</v>
      </c>
      <c r="AX278" s="37">
        <v>5400</v>
      </c>
      <c r="AY278" s="37"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2" t="s">
        <v>12</v>
      </c>
      <c r="BL278" s="32" t="s">
        <v>13</v>
      </c>
      <c r="BM278" s="33">
        <v>46097.43644675926</v>
      </c>
      <c r="BN278" s="32" t="s">
        <v>595</v>
      </c>
      <c r="BO278" s="32" t="s">
        <v>15</v>
      </c>
      <c r="BP278" s="38">
        <v>-22</v>
      </c>
      <c r="BQ278" s="42"/>
      <c r="BR278" s="39">
        <v>-22</v>
      </c>
      <c r="BS278" s="4" t="s">
        <v>221</v>
      </c>
      <c r="BT278" s="4" t="str">
        <f t="shared" si="17"/>
        <v>120</v>
      </c>
      <c r="BU278" s="4" t="str">
        <f t="shared" si="17"/>
        <v>-22</v>
      </c>
      <c r="BV278" s="4">
        <f t="shared" si="18"/>
        <v>30</v>
      </c>
      <c r="BW278" s="29">
        <f t="shared" si="19"/>
        <v>-118800</v>
      </c>
      <c r="BX278" s="4">
        <v>51.49</v>
      </c>
      <c r="BY278" s="29">
        <f t="shared" si="20"/>
        <v>-167.5893698630137</v>
      </c>
    </row>
    <row r="279" spans="1:77" ht="15" hidden="1" customHeight="1" x14ac:dyDescent="0.35">
      <c r="A279" s="32" t="s">
        <v>217</v>
      </c>
      <c r="B279" s="32" t="s">
        <v>818</v>
      </c>
      <c r="C279" s="32" t="s">
        <v>90</v>
      </c>
      <c r="D279" s="32" t="s">
        <v>593</v>
      </c>
      <c r="E279" s="32" t="s">
        <v>62</v>
      </c>
      <c r="F279" s="32" t="s">
        <v>594</v>
      </c>
      <c r="G279" s="33">
        <v>46097</v>
      </c>
      <c r="H279" s="33">
        <v>46097</v>
      </c>
      <c r="I279" s="33">
        <v>46127</v>
      </c>
      <c r="J279" s="32" t="s">
        <v>11</v>
      </c>
      <c r="K279" s="34">
        <v>14400</v>
      </c>
      <c r="L279" s="34">
        <v>12000</v>
      </c>
      <c r="M279" s="34">
        <v>2400</v>
      </c>
      <c r="N279" s="34">
        <v>0</v>
      </c>
      <c r="O279" s="34">
        <v>0</v>
      </c>
      <c r="P279" s="34">
        <v>14400</v>
      </c>
      <c r="Q279" s="34">
        <v>14400</v>
      </c>
      <c r="R279" s="34">
        <v>14400</v>
      </c>
      <c r="S279" s="34">
        <v>282.50693515288702</v>
      </c>
      <c r="T279" s="34">
        <v>14400</v>
      </c>
      <c r="U279" s="35">
        <v>0</v>
      </c>
      <c r="V279" s="35">
        <v>14400</v>
      </c>
      <c r="W279" s="35">
        <v>0</v>
      </c>
      <c r="X279" s="35">
        <v>0</v>
      </c>
      <c r="Y279" s="35">
        <v>0</v>
      </c>
      <c r="Z279" s="35">
        <v>0</v>
      </c>
      <c r="AA279" s="35">
        <v>0</v>
      </c>
      <c r="AB279" s="35">
        <v>0</v>
      </c>
      <c r="AC279" s="35">
        <v>0</v>
      </c>
      <c r="AD279" s="35">
        <v>0</v>
      </c>
      <c r="AE279" s="35">
        <v>0</v>
      </c>
      <c r="AF279" s="35">
        <v>0</v>
      </c>
      <c r="AG279" s="35">
        <v>0</v>
      </c>
      <c r="AH279" s="35">
        <v>0</v>
      </c>
      <c r="AI279" s="36">
        <v>0</v>
      </c>
      <c r="AJ279" s="36">
        <v>282.50693515288702</v>
      </c>
      <c r="AK279" s="36">
        <v>0</v>
      </c>
      <c r="AL279" s="36">
        <v>0</v>
      </c>
      <c r="AM279" s="36">
        <v>0</v>
      </c>
      <c r="AN279" s="36">
        <v>0</v>
      </c>
      <c r="AO279" s="36">
        <v>0</v>
      </c>
      <c r="AP279" s="36">
        <v>0</v>
      </c>
      <c r="AQ279" s="36">
        <v>0</v>
      </c>
      <c r="AR279" s="36">
        <v>0</v>
      </c>
      <c r="AS279" s="36">
        <v>0</v>
      </c>
      <c r="AT279" s="36">
        <v>0</v>
      </c>
      <c r="AU279" s="36">
        <v>0</v>
      </c>
      <c r="AV279" s="36">
        <v>0</v>
      </c>
      <c r="AW279" s="37">
        <v>0</v>
      </c>
      <c r="AX279" s="37">
        <v>14400</v>
      </c>
      <c r="AY279" s="37">
        <v>0</v>
      </c>
      <c r="AZ279" s="37">
        <v>0</v>
      </c>
      <c r="BA279" s="37">
        <v>0</v>
      </c>
      <c r="BB279" s="37">
        <v>0</v>
      </c>
      <c r="BC279" s="37">
        <v>0</v>
      </c>
      <c r="BD279" s="37">
        <v>0</v>
      </c>
      <c r="BE279" s="37">
        <v>0</v>
      </c>
      <c r="BF279" s="37">
        <v>0</v>
      </c>
      <c r="BG279" s="37">
        <v>0</v>
      </c>
      <c r="BH279" s="37">
        <v>0</v>
      </c>
      <c r="BI279" s="37">
        <v>0</v>
      </c>
      <c r="BJ279" s="37">
        <v>0</v>
      </c>
      <c r="BK279" s="32" t="s">
        <v>12</v>
      </c>
      <c r="BL279" s="32" t="s">
        <v>13</v>
      </c>
      <c r="BM279" s="33">
        <v>46097.444641203707</v>
      </c>
      <c r="BN279" s="32" t="s">
        <v>595</v>
      </c>
      <c r="BO279" s="32" t="s">
        <v>15</v>
      </c>
      <c r="BP279" s="38">
        <v>-22</v>
      </c>
      <c r="BQ279" s="42"/>
      <c r="BR279" s="39">
        <v>-22</v>
      </c>
      <c r="BS279" s="4" t="s">
        <v>221</v>
      </c>
      <c r="BT279" s="4" t="str">
        <f t="shared" si="17"/>
        <v>120</v>
      </c>
      <c r="BU279" s="4" t="str">
        <f t="shared" si="17"/>
        <v>-22</v>
      </c>
      <c r="BV279" s="4">
        <f t="shared" si="18"/>
        <v>30</v>
      </c>
      <c r="BW279" s="29">
        <f t="shared" si="19"/>
        <v>-316800</v>
      </c>
      <c r="BX279" s="4">
        <v>51.49</v>
      </c>
      <c r="BY279" s="29">
        <f t="shared" si="20"/>
        <v>-446.90498630136989</v>
      </c>
    </row>
    <row r="280" spans="1:77" ht="15" hidden="1" customHeight="1" x14ac:dyDescent="0.35">
      <c r="A280" s="32" t="s">
        <v>217</v>
      </c>
      <c r="B280" s="32" t="s">
        <v>819</v>
      </c>
      <c r="C280" s="32" t="s">
        <v>16</v>
      </c>
      <c r="D280" s="32" t="s">
        <v>346</v>
      </c>
      <c r="E280" s="32" t="s">
        <v>347</v>
      </c>
      <c r="F280" s="32" t="s">
        <v>46</v>
      </c>
      <c r="G280" s="33">
        <v>46097</v>
      </c>
      <c r="H280" s="33">
        <v>46097</v>
      </c>
      <c r="I280" s="33">
        <v>46157</v>
      </c>
      <c r="J280" s="32" t="s">
        <v>11</v>
      </c>
      <c r="K280" s="34">
        <v>508838.05</v>
      </c>
      <c r="L280" s="34">
        <v>498860.83</v>
      </c>
      <c r="M280" s="34">
        <v>9977.2199999999993</v>
      </c>
      <c r="N280" s="34">
        <v>0</v>
      </c>
      <c r="O280" s="34">
        <v>0</v>
      </c>
      <c r="P280" s="34">
        <v>508838.05</v>
      </c>
      <c r="Q280" s="34">
        <v>508838.05</v>
      </c>
      <c r="R280" s="34">
        <v>508838.05</v>
      </c>
      <c r="S280" s="34">
        <v>9982.65819407442</v>
      </c>
      <c r="T280" s="34">
        <v>508838.05</v>
      </c>
      <c r="U280" s="35">
        <v>0</v>
      </c>
      <c r="V280" s="35">
        <v>0</v>
      </c>
      <c r="W280" s="35">
        <v>508838.05</v>
      </c>
      <c r="X280" s="35">
        <v>0</v>
      </c>
      <c r="Y280" s="35">
        <v>0</v>
      </c>
      <c r="Z280" s="35">
        <v>0</v>
      </c>
      <c r="AA280" s="35">
        <v>0</v>
      </c>
      <c r="AB280" s="35">
        <v>0</v>
      </c>
      <c r="AC280" s="35">
        <v>0</v>
      </c>
      <c r="AD280" s="35">
        <v>0</v>
      </c>
      <c r="AE280" s="35">
        <v>0</v>
      </c>
      <c r="AF280" s="35">
        <v>0</v>
      </c>
      <c r="AG280" s="35">
        <v>0</v>
      </c>
      <c r="AH280" s="35">
        <v>0</v>
      </c>
      <c r="AI280" s="36">
        <v>0</v>
      </c>
      <c r="AJ280" s="36">
        <v>0</v>
      </c>
      <c r="AK280" s="36">
        <v>9982.65819407442</v>
      </c>
      <c r="AL280" s="36">
        <v>0</v>
      </c>
      <c r="AM280" s="36">
        <v>0</v>
      </c>
      <c r="AN280" s="36">
        <v>0</v>
      </c>
      <c r="AO280" s="36">
        <v>0</v>
      </c>
      <c r="AP280" s="36">
        <v>0</v>
      </c>
      <c r="AQ280" s="36">
        <v>0</v>
      </c>
      <c r="AR280" s="36">
        <v>0</v>
      </c>
      <c r="AS280" s="36">
        <v>0</v>
      </c>
      <c r="AT280" s="36">
        <v>0</v>
      </c>
      <c r="AU280" s="36">
        <v>0</v>
      </c>
      <c r="AV280" s="36">
        <v>0</v>
      </c>
      <c r="AW280" s="37">
        <v>0</v>
      </c>
      <c r="AX280" s="37">
        <v>0</v>
      </c>
      <c r="AY280" s="37">
        <v>508838.05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2" t="s">
        <v>12</v>
      </c>
      <c r="BL280" s="32" t="s">
        <v>13</v>
      </c>
      <c r="BM280" s="33">
        <v>46097.495833333334</v>
      </c>
      <c r="BN280" s="32" t="s">
        <v>28</v>
      </c>
      <c r="BO280" s="32" t="s">
        <v>29</v>
      </c>
      <c r="BP280" s="38">
        <v>-52</v>
      </c>
      <c r="BQ280" s="42"/>
      <c r="BR280" s="39">
        <v>-52</v>
      </c>
      <c r="BS280" s="4" t="s">
        <v>221</v>
      </c>
      <c r="BT280" s="4" t="str">
        <f t="shared" si="17"/>
        <v>120</v>
      </c>
      <c r="BU280" s="4" t="str">
        <f t="shared" si="17"/>
        <v>-52</v>
      </c>
      <c r="BV280" s="4">
        <f t="shared" si="18"/>
        <v>60</v>
      </c>
      <c r="BW280" s="29">
        <f t="shared" si="19"/>
        <v>-26459578.599999998</v>
      </c>
      <c r="BX280" s="4">
        <v>51.49</v>
      </c>
      <c r="BY280" s="29">
        <f t="shared" si="20"/>
        <v>-37326.128825041094</v>
      </c>
    </row>
    <row r="281" spans="1:77" ht="15" hidden="1" customHeight="1" x14ac:dyDescent="0.35">
      <c r="A281" s="32" t="s">
        <v>217</v>
      </c>
      <c r="B281" s="32" t="s">
        <v>820</v>
      </c>
      <c r="C281" s="32" t="s">
        <v>16</v>
      </c>
      <c r="D281" s="32" t="s">
        <v>348</v>
      </c>
      <c r="E281" s="32" t="s">
        <v>349</v>
      </c>
      <c r="F281" s="32" t="s">
        <v>46</v>
      </c>
      <c r="G281" s="33">
        <v>46097</v>
      </c>
      <c r="H281" s="33">
        <v>46097</v>
      </c>
      <c r="I281" s="33">
        <v>46142</v>
      </c>
      <c r="J281" s="32" t="s">
        <v>11</v>
      </c>
      <c r="K281" s="34">
        <v>36825.160000000003</v>
      </c>
      <c r="L281" s="34">
        <v>36103.1</v>
      </c>
      <c r="M281" s="34">
        <v>722.06</v>
      </c>
      <c r="N281" s="34">
        <v>0</v>
      </c>
      <c r="O281" s="34">
        <v>0</v>
      </c>
      <c r="P281" s="34">
        <v>36825.160000000003</v>
      </c>
      <c r="Q281" s="34">
        <v>36825.160000000003</v>
      </c>
      <c r="R281" s="34">
        <v>36825.160000000003</v>
      </c>
      <c r="S281" s="34">
        <v>722.45577000796504</v>
      </c>
      <c r="T281" s="34">
        <v>36825.160000000003</v>
      </c>
      <c r="U281" s="35">
        <v>0</v>
      </c>
      <c r="V281" s="35">
        <v>0</v>
      </c>
      <c r="W281" s="35">
        <v>36825.160000000003</v>
      </c>
      <c r="X281" s="35">
        <v>0</v>
      </c>
      <c r="Y281" s="35">
        <v>0</v>
      </c>
      <c r="Z281" s="35">
        <v>0</v>
      </c>
      <c r="AA281" s="35">
        <v>0</v>
      </c>
      <c r="AB281" s="35">
        <v>0</v>
      </c>
      <c r="AC281" s="35">
        <v>0</v>
      </c>
      <c r="AD281" s="35">
        <v>0</v>
      </c>
      <c r="AE281" s="35">
        <v>0</v>
      </c>
      <c r="AF281" s="35">
        <v>0</v>
      </c>
      <c r="AG281" s="35">
        <v>0</v>
      </c>
      <c r="AH281" s="35">
        <v>0</v>
      </c>
      <c r="AI281" s="36">
        <v>0</v>
      </c>
      <c r="AJ281" s="36">
        <v>0</v>
      </c>
      <c r="AK281" s="36">
        <v>722.45577000796504</v>
      </c>
      <c r="AL281" s="36">
        <v>0</v>
      </c>
      <c r="AM281" s="36">
        <v>0</v>
      </c>
      <c r="AN281" s="36">
        <v>0</v>
      </c>
      <c r="AO281" s="36">
        <v>0</v>
      </c>
      <c r="AP281" s="36">
        <v>0</v>
      </c>
      <c r="AQ281" s="36">
        <v>0</v>
      </c>
      <c r="AR281" s="36">
        <v>0</v>
      </c>
      <c r="AS281" s="36">
        <v>0</v>
      </c>
      <c r="AT281" s="36">
        <v>0</v>
      </c>
      <c r="AU281" s="36">
        <v>0</v>
      </c>
      <c r="AV281" s="36">
        <v>0</v>
      </c>
      <c r="AW281" s="37">
        <v>0</v>
      </c>
      <c r="AX281" s="37">
        <v>0</v>
      </c>
      <c r="AY281" s="37">
        <v>36825.160000000003</v>
      </c>
      <c r="AZ281" s="37">
        <v>0</v>
      </c>
      <c r="BA281" s="37">
        <v>0</v>
      </c>
      <c r="BB281" s="37">
        <v>0</v>
      </c>
      <c r="BC281" s="37">
        <v>0</v>
      </c>
      <c r="BD281" s="37">
        <v>0</v>
      </c>
      <c r="BE281" s="37">
        <v>0</v>
      </c>
      <c r="BF281" s="37">
        <v>0</v>
      </c>
      <c r="BG281" s="37">
        <v>0</v>
      </c>
      <c r="BH281" s="37">
        <v>0</v>
      </c>
      <c r="BI281" s="37">
        <v>0</v>
      </c>
      <c r="BJ281" s="37">
        <v>0</v>
      </c>
      <c r="BK281" s="32" t="s">
        <v>12</v>
      </c>
      <c r="BL281" s="32" t="s">
        <v>13</v>
      </c>
      <c r="BM281" s="33">
        <v>46097.522997685184</v>
      </c>
      <c r="BN281" s="32" t="s">
        <v>28</v>
      </c>
      <c r="BO281" s="32" t="s">
        <v>29</v>
      </c>
      <c r="BP281" s="38">
        <v>-37</v>
      </c>
      <c r="BQ281" s="42"/>
      <c r="BR281" s="39">
        <v>-37</v>
      </c>
      <c r="BS281" s="4" t="s">
        <v>221</v>
      </c>
      <c r="BT281" s="4" t="str">
        <f t="shared" si="17"/>
        <v>120</v>
      </c>
      <c r="BU281" s="4" t="str">
        <f t="shared" si="17"/>
        <v>-37</v>
      </c>
      <c r="BV281" s="4">
        <f t="shared" si="18"/>
        <v>45</v>
      </c>
      <c r="BW281" s="29">
        <f t="shared" si="19"/>
        <v>-1362530.9200000002</v>
      </c>
      <c r="BX281" s="4">
        <v>51.49</v>
      </c>
      <c r="BY281" s="29">
        <f t="shared" si="20"/>
        <v>-1922.1018375561646</v>
      </c>
    </row>
    <row r="282" spans="1:77" ht="15" customHeight="1" x14ac:dyDescent="0.35">
      <c r="A282" s="32" t="s">
        <v>217</v>
      </c>
      <c r="B282" s="32" t="s">
        <v>821</v>
      </c>
      <c r="C282" s="32" t="s">
        <v>38</v>
      </c>
      <c r="D282" s="32" t="s">
        <v>105</v>
      </c>
      <c r="E282" s="32" t="s">
        <v>106</v>
      </c>
      <c r="F282" s="32" t="s">
        <v>107</v>
      </c>
      <c r="G282" s="33">
        <v>46098</v>
      </c>
      <c r="H282" s="33">
        <v>46098</v>
      </c>
      <c r="I282" s="33">
        <v>46128</v>
      </c>
      <c r="J282" s="32" t="s">
        <v>11</v>
      </c>
      <c r="K282" s="34">
        <v>79892</v>
      </c>
      <c r="L282" s="34">
        <v>79892</v>
      </c>
      <c r="M282" s="34">
        <v>0</v>
      </c>
      <c r="N282" s="34">
        <v>0</v>
      </c>
      <c r="O282" s="34">
        <v>0</v>
      </c>
      <c r="P282" s="34">
        <v>79892</v>
      </c>
      <c r="Q282" s="34">
        <v>79892</v>
      </c>
      <c r="R282" s="34">
        <v>79892</v>
      </c>
      <c r="S282" s="34">
        <v>1567.36417105795</v>
      </c>
      <c r="T282" s="34">
        <v>79892</v>
      </c>
      <c r="U282" s="35">
        <v>0</v>
      </c>
      <c r="V282" s="35">
        <v>79892</v>
      </c>
      <c r="W282" s="35">
        <v>0</v>
      </c>
      <c r="X282" s="35">
        <v>0</v>
      </c>
      <c r="Y282" s="35">
        <v>0</v>
      </c>
      <c r="Z282" s="35">
        <v>0</v>
      </c>
      <c r="AA282" s="35">
        <v>0</v>
      </c>
      <c r="AB282" s="35">
        <v>0</v>
      </c>
      <c r="AC282" s="35">
        <v>0</v>
      </c>
      <c r="AD282" s="35">
        <v>0</v>
      </c>
      <c r="AE282" s="35">
        <v>0</v>
      </c>
      <c r="AF282" s="35">
        <v>0</v>
      </c>
      <c r="AG282" s="35">
        <v>0</v>
      </c>
      <c r="AH282" s="35">
        <v>0</v>
      </c>
      <c r="AI282" s="36">
        <v>0</v>
      </c>
      <c r="AJ282" s="36">
        <v>1567.36417105795</v>
      </c>
      <c r="AK282" s="36">
        <v>0</v>
      </c>
      <c r="AL282" s="36">
        <v>0</v>
      </c>
      <c r="AM282" s="36">
        <v>0</v>
      </c>
      <c r="AN282" s="36">
        <v>0</v>
      </c>
      <c r="AO282" s="36">
        <v>0</v>
      </c>
      <c r="AP282" s="36">
        <v>0</v>
      </c>
      <c r="AQ282" s="36">
        <v>0</v>
      </c>
      <c r="AR282" s="36">
        <v>0</v>
      </c>
      <c r="AS282" s="36">
        <v>0</v>
      </c>
      <c r="AT282" s="36">
        <v>0</v>
      </c>
      <c r="AU282" s="36">
        <v>0</v>
      </c>
      <c r="AV282" s="36">
        <v>0</v>
      </c>
      <c r="AW282" s="37">
        <v>0</v>
      </c>
      <c r="AX282" s="37">
        <v>79892</v>
      </c>
      <c r="AY282" s="37"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2" t="s">
        <v>12</v>
      </c>
      <c r="BL282" s="32" t="s">
        <v>13</v>
      </c>
      <c r="BM282" s="33">
        <v>46097.732048611113</v>
      </c>
      <c r="BN282" s="32" t="s">
        <v>28</v>
      </c>
      <c r="BO282" s="32" t="s">
        <v>29</v>
      </c>
      <c r="BP282" s="38">
        <v>-23</v>
      </c>
      <c r="BQ282" s="42"/>
      <c r="BR282" s="39">
        <v>-23</v>
      </c>
      <c r="BS282" s="4" t="s">
        <v>221</v>
      </c>
      <c r="BT282" s="4" t="str">
        <f t="shared" si="17"/>
        <v>120</v>
      </c>
      <c r="BU282" s="4" t="str">
        <f t="shared" si="17"/>
        <v>-23</v>
      </c>
      <c r="BV282" s="4">
        <f t="shared" si="18"/>
        <v>30</v>
      </c>
      <c r="BW282" s="29">
        <f t="shared" si="19"/>
        <v>-1837516</v>
      </c>
      <c r="BX282" s="4">
        <v>51.49</v>
      </c>
      <c r="BY282" s="29">
        <f t="shared" si="20"/>
        <v>-2592.1561326027399</v>
      </c>
    </row>
    <row r="283" spans="1:77" ht="15" customHeight="1" x14ac:dyDescent="0.35">
      <c r="A283" s="32" t="s">
        <v>217</v>
      </c>
      <c r="B283" s="32" t="s">
        <v>822</v>
      </c>
      <c r="C283" s="32" t="s">
        <v>35</v>
      </c>
      <c r="D283" s="32" t="s">
        <v>105</v>
      </c>
      <c r="E283" s="32" t="s">
        <v>106</v>
      </c>
      <c r="F283" s="32" t="s">
        <v>107</v>
      </c>
      <c r="G283" s="33">
        <v>46098</v>
      </c>
      <c r="H283" s="33">
        <v>46098</v>
      </c>
      <c r="I283" s="33">
        <v>46128</v>
      </c>
      <c r="J283" s="32" t="s">
        <v>11</v>
      </c>
      <c r="K283" s="34">
        <v>156816</v>
      </c>
      <c r="L283" s="34">
        <v>156816</v>
      </c>
      <c r="M283" s="34">
        <v>0</v>
      </c>
      <c r="N283" s="34">
        <v>0</v>
      </c>
      <c r="O283" s="34">
        <v>0</v>
      </c>
      <c r="P283" s="34">
        <v>156816</v>
      </c>
      <c r="Q283" s="34">
        <v>156816</v>
      </c>
      <c r="R283" s="34">
        <v>156816</v>
      </c>
      <c r="S283" s="34">
        <v>3076.5005238149402</v>
      </c>
      <c r="T283" s="34">
        <v>156816</v>
      </c>
      <c r="U283" s="35">
        <v>0</v>
      </c>
      <c r="V283" s="35">
        <v>156816</v>
      </c>
      <c r="W283" s="35">
        <v>0</v>
      </c>
      <c r="X283" s="35">
        <v>0</v>
      </c>
      <c r="Y283" s="35">
        <v>0</v>
      </c>
      <c r="Z283" s="35">
        <v>0</v>
      </c>
      <c r="AA283" s="35">
        <v>0</v>
      </c>
      <c r="AB283" s="35">
        <v>0</v>
      </c>
      <c r="AC283" s="35">
        <v>0</v>
      </c>
      <c r="AD283" s="35">
        <v>0</v>
      </c>
      <c r="AE283" s="35">
        <v>0</v>
      </c>
      <c r="AF283" s="35">
        <v>0</v>
      </c>
      <c r="AG283" s="35">
        <v>0</v>
      </c>
      <c r="AH283" s="35">
        <v>0</v>
      </c>
      <c r="AI283" s="36">
        <v>0</v>
      </c>
      <c r="AJ283" s="36">
        <v>3076.5005238149402</v>
      </c>
      <c r="AK283" s="36">
        <v>0</v>
      </c>
      <c r="AL283" s="36">
        <v>0</v>
      </c>
      <c r="AM283" s="36">
        <v>0</v>
      </c>
      <c r="AN283" s="36">
        <v>0</v>
      </c>
      <c r="AO283" s="36">
        <v>0</v>
      </c>
      <c r="AP283" s="36">
        <v>0</v>
      </c>
      <c r="AQ283" s="36">
        <v>0</v>
      </c>
      <c r="AR283" s="36">
        <v>0</v>
      </c>
      <c r="AS283" s="36">
        <v>0</v>
      </c>
      <c r="AT283" s="36">
        <v>0</v>
      </c>
      <c r="AU283" s="36">
        <v>0</v>
      </c>
      <c r="AV283" s="36">
        <v>0</v>
      </c>
      <c r="AW283" s="37">
        <v>0</v>
      </c>
      <c r="AX283" s="37">
        <v>156816</v>
      </c>
      <c r="AY283" s="37">
        <v>0</v>
      </c>
      <c r="AZ283" s="37">
        <v>0</v>
      </c>
      <c r="BA283" s="37">
        <v>0</v>
      </c>
      <c r="BB283" s="37">
        <v>0</v>
      </c>
      <c r="BC283" s="37">
        <v>0</v>
      </c>
      <c r="BD283" s="37">
        <v>0</v>
      </c>
      <c r="BE283" s="37">
        <v>0</v>
      </c>
      <c r="BF283" s="37">
        <v>0</v>
      </c>
      <c r="BG283" s="37">
        <v>0</v>
      </c>
      <c r="BH283" s="37">
        <v>0</v>
      </c>
      <c r="BI283" s="37">
        <v>0</v>
      </c>
      <c r="BJ283" s="37">
        <v>0</v>
      </c>
      <c r="BK283" s="32" t="s">
        <v>12</v>
      </c>
      <c r="BL283" s="32" t="s">
        <v>13</v>
      </c>
      <c r="BM283" s="33">
        <v>46097.7346412037</v>
      </c>
      <c r="BN283" s="32" t="s">
        <v>28</v>
      </c>
      <c r="BO283" s="32" t="s">
        <v>29</v>
      </c>
      <c r="BP283" s="38">
        <v>-23</v>
      </c>
      <c r="BQ283" s="42"/>
      <c r="BR283" s="39">
        <v>-23</v>
      </c>
      <c r="BS283" s="4" t="s">
        <v>221</v>
      </c>
      <c r="BT283" s="4" t="str">
        <f t="shared" si="17"/>
        <v>120</v>
      </c>
      <c r="BU283" s="4" t="str">
        <f t="shared" si="17"/>
        <v>-23</v>
      </c>
      <c r="BV283" s="4">
        <f t="shared" si="18"/>
        <v>30</v>
      </c>
      <c r="BW283" s="29">
        <f t="shared" si="19"/>
        <v>-3606768</v>
      </c>
      <c r="BX283" s="4">
        <v>51.49</v>
      </c>
      <c r="BY283" s="29">
        <f t="shared" si="20"/>
        <v>-5088.0132690410956</v>
      </c>
    </row>
    <row r="284" spans="1:77" ht="15" hidden="1" customHeight="1" x14ac:dyDescent="0.35">
      <c r="A284" s="32" t="s">
        <v>217</v>
      </c>
      <c r="B284" s="32" t="s">
        <v>823</v>
      </c>
      <c r="C284" s="32" t="s">
        <v>42</v>
      </c>
      <c r="D284" s="32" t="s">
        <v>94</v>
      </c>
      <c r="E284" s="32" t="s">
        <v>95</v>
      </c>
      <c r="F284" s="32" t="s">
        <v>46</v>
      </c>
      <c r="G284" s="33">
        <v>46098</v>
      </c>
      <c r="H284" s="33">
        <v>46098</v>
      </c>
      <c r="I284" s="33">
        <v>46128</v>
      </c>
      <c r="J284" s="32" t="s">
        <v>11</v>
      </c>
      <c r="K284" s="34">
        <v>674326</v>
      </c>
      <c r="L284" s="34">
        <v>674326</v>
      </c>
      <c r="M284" s="34">
        <v>0</v>
      </c>
      <c r="N284" s="34">
        <v>0</v>
      </c>
      <c r="O284" s="34">
        <v>0</v>
      </c>
      <c r="P284" s="34">
        <v>674326</v>
      </c>
      <c r="Q284" s="34">
        <v>674326</v>
      </c>
      <c r="R284" s="34">
        <v>674326</v>
      </c>
      <c r="S284" s="34">
        <v>13229.289691243501</v>
      </c>
      <c r="T284" s="34">
        <v>674326</v>
      </c>
      <c r="U284" s="35">
        <v>0</v>
      </c>
      <c r="V284" s="35">
        <v>674326</v>
      </c>
      <c r="W284" s="35">
        <v>0</v>
      </c>
      <c r="X284" s="35">
        <v>0</v>
      </c>
      <c r="Y284" s="35">
        <v>0</v>
      </c>
      <c r="Z284" s="35">
        <v>0</v>
      </c>
      <c r="AA284" s="35">
        <v>0</v>
      </c>
      <c r="AB284" s="35">
        <v>0</v>
      </c>
      <c r="AC284" s="35">
        <v>0</v>
      </c>
      <c r="AD284" s="35">
        <v>0</v>
      </c>
      <c r="AE284" s="35">
        <v>0</v>
      </c>
      <c r="AF284" s="35">
        <v>0</v>
      </c>
      <c r="AG284" s="35">
        <v>0</v>
      </c>
      <c r="AH284" s="35">
        <v>0</v>
      </c>
      <c r="AI284" s="36">
        <v>0</v>
      </c>
      <c r="AJ284" s="36">
        <v>13229.289691243501</v>
      </c>
      <c r="AK284" s="36">
        <v>0</v>
      </c>
      <c r="AL284" s="36">
        <v>0</v>
      </c>
      <c r="AM284" s="36">
        <v>0</v>
      </c>
      <c r="AN284" s="36">
        <v>0</v>
      </c>
      <c r="AO284" s="36">
        <v>0</v>
      </c>
      <c r="AP284" s="36">
        <v>0</v>
      </c>
      <c r="AQ284" s="36">
        <v>0</v>
      </c>
      <c r="AR284" s="36">
        <v>0</v>
      </c>
      <c r="AS284" s="36">
        <v>0</v>
      </c>
      <c r="AT284" s="36">
        <v>0</v>
      </c>
      <c r="AU284" s="36">
        <v>0</v>
      </c>
      <c r="AV284" s="36">
        <v>0</v>
      </c>
      <c r="AW284" s="37">
        <v>0</v>
      </c>
      <c r="AX284" s="37">
        <v>674326</v>
      </c>
      <c r="AY284" s="37"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2" t="s">
        <v>12</v>
      </c>
      <c r="BL284" s="32" t="s">
        <v>13</v>
      </c>
      <c r="BM284" s="33">
        <v>46098.466724537036</v>
      </c>
      <c r="BN284" s="32" t="s">
        <v>28</v>
      </c>
      <c r="BO284" s="32" t="s">
        <v>29</v>
      </c>
      <c r="BP284" s="38">
        <v>-23</v>
      </c>
      <c r="BQ284" s="42"/>
      <c r="BR284" s="39">
        <v>-23</v>
      </c>
      <c r="BS284" s="4" t="s">
        <v>221</v>
      </c>
      <c r="BT284" s="4" t="str">
        <f t="shared" si="17"/>
        <v>120</v>
      </c>
      <c r="BU284" s="4" t="str">
        <f t="shared" si="17"/>
        <v>-23</v>
      </c>
      <c r="BV284" s="4">
        <f t="shared" si="18"/>
        <v>30</v>
      </c>
      <c r="BW284" s="29">
        <f t="shared" si="19"/>
        <v>-15509498</v>
      </c>
      <c r="BX284" s="4">
        <v>51.49</v>
      </c>
      <c r="BY284" s="29">
        <f t="shared" si="20"/>
        <v>-21879.015123835616</v>
      </c>
    </row>
    <row r="285" spans="1:77" ht="15" hidden="1" customHeight="1" x14ac:dyDescent="0.35">
      <c r="A285" s="32" t="s">
        <v>217</v>
      </c>
      <c r="B285" s="32" t="s">
        <v>824</v>
      </c>
      <c r="C285" s="32" t="s">
        <v>38</v>
      </c>
      <c r="D285" s="32" t="s">
        <v>94</v>
      </c>
      <c r="E285" s="32" t="s">
        <v>95</v>
      </c>
      <c r="F285" s="32" t="s">
        <v>46</v>
      </c>
      <c r="G285" s="33">
        <v>46098</v>
      </c>
      <c r="H285" s="33">
        <v>46098</v>
      </c>
      <c r="I285" s="33">
        <v>46128</v>
      </c>
      <c r="J285" s="32" t="s">
        <v>11</v>
      </c>
      <c r="K285" s="34">
        <v>138588</v>
      </c>
      <c r="L285" s="34">
        <v>138588</v>
      </c>
      <c r="M285" s="34">
        <v>0</v>
      </c>
      <c r="N285" s="34">
        <v>0</v>
      </c>
      <c r="O285" s="34">
        <v>0</v>
      </c>
      <c r="P285" s="34">
        <v>138588</v>
      </c>
      <c r="Q285" s="34">
        <v>138588</v>
      </c>
      <c r="R285" s="34">
        <v>138588</v>
      </c>
      <c r="S285" s="34">
        <v>2718.8938284005799</v>
      </c>
      <c r="T285" s="34">
        <v>138588</v>
      </c>
      <c r="U285" s="35">
        <v>0</v>
      </c>
      <c r="V285" s="35">
        <v>138588</v>
      </c>
      <c r="W285" s="35">
        <v>0</v>
      </c>
      <c r="X285" s="35">
        <v>0</v>
      </c>
      <c r="Y285" s="35">
        <v>0</v>
      </c>
      <c r="Z285" s="35">
        <v>0</v>
      </c>
      <c r="AA285" s="35">
        <v>0</v>
      </c>
      <c r="AB285" s="35">
        <v>0</v>
      </c>
      <c r="AC285" s="35">
        <v>0</v>
      </c>
      <c r="AD285" s="35">
        <v>0</v>
      </c>
      <c r="AE285" s="35">
        <v>0</v>
      </c>
      <c r="AF285" s="35">
        <v>0</v>
      </c>
      <c r="AG285" s="35">
        <v>0</v>
      </c>
      <c r="AH285" s="35">
        <v>0</v>
      </c>
      <c r="AI285" s="36">
        <v>0</v>
      </c>
      <c r="AJ285" s="36">
        <v>2718.8938284005799</v>
      </c>
      <c r="AK285" s="36">
        <v>0</v>
      </c>
      <c r="AL285" s="36">
        <v>0</v>
      </c>
      <c r="AM285" s="36">
        <v>0</v>
      </c>
      <c r="AN285" s="36">
        <v>0</v>
      </c>
      <c r="AO285" s="36">
        <v>0</v>
      </c>
      <c r="AP285" s="36">
        <v>0</v>
      </c>
      <c r="AQ285" s="36">
        <v>0</v>
      </c>
      <c r="AR285" s="36">
        <v>0</v>
      </c>
      <c r="AS285" s="36">
        <v>0</v>
      </c>
      <c r="AT285" s="36">
        <v>0</v>
      </c>
      <c r="AU285" s="36">
        <v>0</v>
      </c>
      <c r="AV285" s="36">
        <v>0</v>
      </c>
      <c r="AW285" s="37">
        <v>0</v>
      </c>
      <c r="AX285" s="37">
        <v>138588</v>
      </c>
      <c r="AY285" s="37">
        <v>0</v>
      </c>
      <c r="AZ285" s="37">
        <v>0</v>
      </c>
      <c r="BA285" s="37">
        <v>0</v>
      </c>
      <c r="BB285" s="37">
        <v>0</v>
      </c>
      <c r="BC285" s="37">
        <v>0</v>
      </c>
      <c r="BD285" s="37">
        <v>0</v>
      </c>
      <c r="BE285" s="37">
        <v>0</v>
      </c>
      <c r="BF285" s="37">
        <v>0</v>
      </c>
      <c r="BG285" s="37">
        <v>0</v>
      </c>
      <c r="BH285" s="37">
        <v>0</v>
      </c>
      <c r="BI285" s="37">
        <v>0</v>
      </c>
      <c r="BJ285" s="37">
        <v>0</v>
      </c>
      <c r="BK285" s="32" t="s">
        <v>12</v>
      </c>
      <c r="BL285" s="32" t="s">
        <v>13</v>
      </c>
      <c r="BM285" s="33">
        <v>46098.469282407408</v>
      </c>
      <c r="BN285" s="32" t="s">
        <v>28</v>
      </c>
      <c r="BO285" s="32" t="s">
        <v>29</v>
      </c>
      <c r="BP285" s="38">
        <v>-23</v>
      </c>
      <c r="BQ285" s="42"/>
      <c r="BR285" s="39">
        <v>-23</v>
      </c>
      <c r="BS285" s="4" t="s">
        <v>221</v>
      </c>
      <c r="BT285" s="4" t="str">
        <f t="shared" si="17"/>
        <v>120</v>
      </c>
      <c r="BU285" s="4" t="str">
        <f t="shared" si="17"/>
        <v>-23</v>
      </c>
      <c r="BV285" s="4">
        <f t="shared" si="18"/>
        <v>30</v>
      </c>
      <c r="BW285" s="29">
        <f t="shared" si="19"/>
        <v>-3187524</v>
      </c>
      <c r="BX285" s="4">
        <v>51.49</v>
      </c>
      <c r="BY285" s="29">
        <f t="shared" si="20"/>
        <v>-4496.5920756164387</v>
      </c>
    </row>
    <row r="286" spans="1:77" ht="15" hidden="1" customHeight="1" x14ac:dyDescent="0.35">
      <c r="A286" s="32" t="s">
        <v>217</v>
      </c>
      <c r="B286" s="32" t="s">
        <v>825</v>
      </c>
      <c r="C286" s="32" t="s">
        <v>502</v>
      </c>
      <c r="D286" s="32" t="s">
        <v>418</v>
      </c>
      <c r="E286" s="32" t="s">
        <v>134</v>
      </c>
      <c r="F286" s="32" t="s">
        <v>503</v>
      </c>
      <c r="G286" s="33">
        <v>46099</v>
      </c>
      <c r="H286" s="33">
        <v>46099</v>
      </c>
      <c r="I286" s="33">
        <v>46106</v>
      </c>
      <c r="J286" s="32" t="s">
        <v>11</v>
      </c>
      <c r="K286" s="34">
        <v>5000</v>
      </c>
      <c r="L286" s="34">
        <v>4166.67</v>
      </c>
      <c r="M286" s="34">
        <v>833.33</v>
      </c>
      <c r="N286" s="34">
        <v>0</v>
      </c>
      <c r="O286" s="34">
        <v>0</v>
      </c>
      <c r="P286" s="34">
        <v>5000</v>
      </c>
      <c r="Q286" s="34">
        <v>5000</v>
      </c>
      <c r="R286" s="34">
        <v>5000</v>
      </c>
      <c r="S286" s="34">
        <v>98.092685816974694</v>
      </c>
      <c r="T286" s="34">
        <v>5000</v>
      </c>
      <c r="U286" s="35">
        <v>5000</v>
      </c>
      <c r="V286" s="35">
        <v>0</v>
      </c>
      <c r="W286" s="35">
        <v>0</v>
      </c>
      <c r="X286" s="35">
        <v>0</v>
      </c>
      <c r="Y286" s="35">
        <v>0</v>
      </c>
      <c r="Z286" s="35">
        <v>0</v>
      </c>
      <c r="AA286" s="35">
        <v>0</v>
      </c>
      <c r="AB286" s="35">
        <v>0</v>
      </c>
      <c r="AC286" s="35">
        <v>0</v>
      </c>
      <c r="AD286" s="35">
        <v>0</v>
      </c>
      <c r="AE286" s="35">
        <v>0</v>
      </c>
      <c r="AF286" s="35">
        <v>0</v>
      </c>
      <c r="AG286" s="35">
        <v>0</v>
      </c>
      <c r="AH286" s="35">
        <v>0</v>
      </c>
      <c r="AI286" s="36">
        <v>98.092685816974694</v>
      </c>
      <c r="AJ286" s="36">
        <v>0</v>
      </c>
      <c r="AK286" s="36">
        <v>0</v>
      </c>
      <c r="AL286" s="36">
        <v>0</v>
      </c>
      <c r="AM286" s="36">
        <v>0</v>
      </c>
      <c r="AN286" s="36">
        <v>0</v>
      </c>
      <c r="AO286" s="36">
        <v>0</v>
      </c>
      <c r="AP286" s="36">
        <v>0</v>
      </c>
      <c r="AQ286" s="36">
        <v>0</v>
      </c>
      <c r="AR286" s="36">
        <v>0</v>
      </c>
      <c r="AS286" s="36">
        <v>0</v>
      </c>
      <c r="AT286" s="36">
        <v>0</v>
      </c>
      <c r="AU286" s="36">
        <v>0</v>
      </c>
      <c r="AV286" s="36">
        <v>0</v>
      </c>
      <c r="AW286" s="37">
        <v>5000</v>
      </c>
      <c r="AX286" s="37">
        <v>0</v>
      </c>
      <c r="AY286" s="37"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2" t="s">
        <v>12</v>
      </c>
      <c r="BL286" s="32" t="s">
        <v>13</v>
      </c>
      <c r="BM286" s="33">
        <v>46099.526319444441</v>
      </c>
      <c r="BN286" s="32" t="s">
        <v>504</v>
      </c>
      <c r="BO286" s="32" t="s">
        <v>505</v>
      </c>
      <c r="BP286" s="38">
        <v>-1</v>
      </c>
      <c r="BQ286" s="42"/>
      <c r="BR286" s="39">
        <v>-1</v>
      </c>
      <c r="BS286" s="4" t="s">
        <v>221</v>
      </c>
      <c r="BT286" s="4" t="str">
        <f t="shared" si="17"/>
        <v>135</v>
      </c>
      <c r="BU286" s="4" t="str">
        <f t="shared" si="17"/>
        <v>-1</v>
      </c>
      <c r="BV286" s="4">
        <f t="shared" si="18"/>
        <v>7</v>
      </c>
      <c r="BW286" s="29">
        <f t="shared" si="19"/>
        <v>-5000</v>
      </c>
      <c r="BX286" s="4">
        <v>51.49</v>
      </c>
      <c r="BY286" s="29">
        <f t="shared" si="20"/>
        <v>-7.0534246575342463</v>
      </c>
    </row>
    <row r="287" spans="1:77" ht="15" hidden="1" customHeight="1" x14ac:dyDescent="0.35">
      <c r="A287" s="32" t="s">
        <v>217</v>
      </c>
      <c r="B287" s="32" t="s">
        <v>826</v>
      </c>
      <c r="C287" s="32" t="s">
        <v>502</v>
      </c>
      <c r="D287" s="32" t="s">
        <v>418</v>
      </c>
      <c r="E287" s="32" t="s">
        <v>134</v>
      </c>
      <c r="F287" s="32" t="s">
        <v>503</v>
      </c>
      <c r="G287" s="33">
        <v>46099</v>
      </c>
      <c r="H287" s="33">
        <v>46099</v>
      </c>
      <c r="I287" s="33">
        <v>46106</v>
      </c>
      <c r="J287" s="32" t="s">
        <v>11</v>
      </c>
      <c r="K287" s="34">
        <v>5000</v>
      </c>
      <c r="L287" s="34">
        <v>4166.67</v>
      </c>
      <c r="M287" s="34">
        <v>833.33</v>
      </c>
      <c r="N287" s="34">
        <v>0</v>
      </c>
      <c r="O287" s="34">
        <v>0</v>
      </c>
      <c r="P287" s="34">
        <v>5000</v>
      </c>
      <c r="Q287" s="34">
        <v>5000</v>
      </c>
      <c r="R287" s="34">
        <v>5000</v>
      </c>
      <c r="S287" s="34">
        <v>98.092685816974694</v>
      </c>
      <c r="T287" s="34">
        <v>5000</v>
      </c>
      <c r="U287" s="35">
        <v>5000</v>
      </c>
      <c r="V287" s="35">
        <v>0</v>
      </c>
      <c r="W287" s="35">
        <v>0</v>
      </c>
      <c r="X287" s="35">
        <v>0</v>
      </c>
      <c r="Y287" s="35">
        <v>0</v>
      </c>
      <c r="Z287" s="35">
        <v>0</v>
      </c>
      <c r="AA287" s="35">
        <v>0</v>
      </c>
      <c r="AB287" s="35">
        <v>0</v>
      </c>
      <c r="AC287" s="35">
        <v>0</v>
      </c>
      <c r="AD287" s="35">
        <v>0</v>
      </c>
      <c r="AE287" s="35">
        <v>0</v>
      </c>
      <c r="AF287" s="35">
        <v>0</v>
      </c>
      <c r="AG287" s="35">
        <v>0</v>
      </c>
      <c r="AH287" s="35">
        <v>0</v>
      </c>
      <c r="AI287" s="36">
        <v>98.092685816974694</v>
      </c>
      <c r="AJ287" s="36">
        <v>0</v>
      </c>
      <c r="AK287" s="36">
        <v>0</v>
      </c>
      <c r="AL287" s="36">
        <v>0</v>
      </c>
      <c r="AM287" s="36">
        <v>0</v>
      </c>
      <c r="AN287" s="36">
        <v>0</v>
      </c>
      <c r="AO287" s="36">
        <v>0</v>
      </c>
      <c r="AP287" s="36">
        <v>0</v>
      </c>
      <c r="AQ287" s="36">
        <v>0</v>
      </c>
      <c r="AR287" s="36">
        <v>0</v>
      </c>
      <c r="AS287" s="36">
        <v>0</v>
      </c>
      <c r="AT287" s="36">
        <v>0</v>
      </c>
      <c r="AU287" s="36">
        <v>0</v>
      </c>
      <c r="AV287" s="36">
        <v>0</v>
      </c>
      <c r="AW287" s="37">
        <v>5000</v>
      </c>
      <c r="AX287" s="37">
        <v>0</v>
      </c>
      <c r="AY287" s="37">
        <v>0</v>
      </c>
      <c r="AZ287" s="37">
        <v>0</v>
      </c>
      <c r="BA287" s="37">
        <v>0</v>
      </c>
      <c r="BB287" s="37">
        <v>0</v>
      </c>
      <c r="BC287" s="37">
        <v>0</v>
      </c>
      <c r="BD287" s="37">
        <v>0</v>
      </c>
      <c r="BE287" s="37">
        <v>0</v>
      </c>
      <c r="BF287" s="37">
        <v>0</v>
      </c>
      <c r="BG287" s="37">
        <v>0</v>
      </c>
      <c r="BH287" s="37">
        <v>0</v>
      </c>
      <c r="BI287" s="37">
        <v>0</v>
      </c>
      <c r="BJ287" s="37">
        <v>0</v>
      </c>
      <c r="BK287" s="32" t="s">
        <v>12</v>
      </c>
      <c r="BL287" s="32" t="s">
        <v>13</v>
      </c>
      <c r="BM287" s="33">
        <v>46099.526643518519</v>
      </c>
      <c r="BN287" s="32" t="s">
        <v>504</v>
      </c>
      <c r="BO287" s="32" t="s">
        <v>505</v>
      </c>
      <c r="BP287" s="38">
        <v>-1</v>
      </c>
      <c r="BQ287" s="42"/>
      <c r="BR287" s="39">
        <v>-1</v>
      </c>
      <c r="BS287" s="4" t="s">
        <v>221</v>
      </c>
      <c r="BT287" s="4" t="str">
        <f t="shared" si="17"/>
        <v>135</v>
      </c>
      <c r="BU287" s="4" t="str">
        <f t="shared" si="17"/>
        <v>-1</v>
      </c>
      <c r="BV287" s="4">
        <f t="shared" si="18"/>
        <v>7</v>
      </c>
      <c r="BW287" s="29">
        <f t="shared" si="19"/>
        <v>-5000</v>
      </c>
      <c r="BX287" s="4">
        <v>51.49</v>
      </c>
      <c r="BY287" s="29">
        <f t="shared" si="20"/>
        <v>-7.0534246575342463</v>
      </c>
    </row>
    <row r="288" spans="1:77" ht="15" hidden="1" customHeight="1" x14ac:dyDescent="0.35">
      <c r="A288" s="32" t="s">
        <v>217</v>
      </c>
      <c r="B288" s="32" t="s">
        <v>827</v>
      </c>
      <c r="C288" s="32" t="s">
        <v>502</v>
      </c>
      <c r="D288" s="32" t="s">
        <v>418</v>
      </c>
      <c r="E288" s="32" t="s">
        <v>134</v>
      </c>
      <c r="F288" s="32" t="s">
        <v>503</v>
      </c>
      <c r="G288" s="33">
        <v>46099</v>
      </c>
      <c r="H288" s="33">
        <v>46099</v>
      </c>
      <c r="I288" s="33">
        <v>46106</v>
      </c>
      <c r="J288" s="32" t="s">
        <v>11</v>
      </c>
      <c r="K288" s="34">
        <v>5000</v>
      </c>
      <c r="L288" s="34">
        <v>4166.67</v>
      </c>
      <c r="M288" s="34">
        <v>833.33</v>
      </c>
      <c r="N288" s="34">
        <v>0</v>
      </c>
      <c r="O288" s="34">
        <v>0</v>
      </c>
      <c r="P288" s="34">
        <v>5000</v>
      </c>
      <c r="Q288" s="34">
        <v>5000</v>
      </c>
      <c r="R288" s="34">
        <v>5000</v>
      </c>
      <c r="S288" s="34">
        <v>98.092685816974694</v>
      </c>
      <c r="T288" s="34">
        <v>5000</v>
      </c>
      <c r="U288" s="35">
        <v>5000</v>
      </c>
      <c r="V288" s="35">
        <v>0</v>
      </c>
      <c r="W288" s="35">
        <v>0</v>
      </c>
      <c r="X288" s="35">
        <v>0</v>
      </c>
      <c r="Y288" s="35">
        <v>0</v>
      </c>
      <c r="Z288" s="35">
        <v>0</v>
      </c>
      <c r="AA288" s="35">
        <v>0</v>
      </c>
      <c r="AB288" s="35">
        <v>0</v>
      </c>
      <c r="AC288" s="35">
        <v>0</v>
      </c>
      <c r="AD288" s="35">
        <v>0</v>
      </c>
      <c r="AE288" s="35">
        <v>0</v>
      </c>
      <c r="AF288" s="35">
        <v>0</v>
      </c>
      <c r="AG288" s="35">
        <v>0</v>
      </c>
      <c r="AH288" s="35">
        <v>0</v>
      </c>
      <c r="AI288" s="36">
        <v>98.092685816974694</v>
      </c>
      <c r="AJ288" s="36">
        <v>0</v>
      </c>
      <c r="AK288" s="36">
        <v>0</v>
      </c>
      <c r="AL288" s="36">
        <v>0</v>
      </c>
      <c r="AM288" s="36">
        <v>0</v>
      </c>
      <c r="AN288" s="36">
        <v>0</v>
      </c>
      <c r="AO288" s="36">
        <v>0</v>
      </c>
      <c r="AP288" s="36">
        <v>0</v>
      </c>
      <c r="AQ288" s="36">
        <v>0</v>
      </c>
      <c r="AR288" s="36">
        <v>0</v>
      </c>
      <c r="AS288" s="36">
        <v>0</v>
      </c>
      <c r="AT288" s="36">
        <v>0</v>
      </c>
      <c r="AU288" s="36">
        <v>0</v>
      </c>
      <c r="AV288" s="36">
        <v>0</v>
      </c>
      <c r="AW288" s="37">
        <v>5000</v>
      </c>
      <c r="AX288" s="37">
        <v>0</v>
      </c>
      <c r="AY288" s="37"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2" t="s">
        <v>12</v>
      </c>
      <c r="BL288" s="32" t="s">
        <v>13</v>
      </c>
      <c r="BM288" s="33">
        <v>46099.526979166665</v>
      </c>
      <c r="BN288" s="32" t="s">
        <v>504</v>
      </c>
      <c r="BO288" s="32" t="s">
        <v>505</v>
      </c>
      <c r="BP288" s="38">
        <v>-1</v>
      </c>
      <c r="BQ288" s="42"/>
      <c r="BR288" s="39">
        <v>-1</v>
      </c>
      <c r="BS288" s="4" t="s">
        <v>221</v>
      </c>
      <c r="BT288" s="4" t="str">
        <f t="shared" si="17"/>
        <v>135</v>
      </c>
      <c r="BU288" s="4" t="str">
        <f t="shared" si="17"/>
        <v>-1</v>
      </c>
      <c r="BV288" s="4">
        <f t="shared" si="18"/>
        <v>7</v>
      </c>
      <c r="BW288" s="29">
        <f t="shared" si="19"/>
        <v>-5000</v>
      </c>
      <c r="BX288" s="4">
        <v>51.49</v>
      </c>
      <c r="BY288" s="29">
        <f t="shared" si="20"/>
        <v>-7.0534246575342463</v>
      </c>
    </row>
    <row r="289" spans="1:77" ht="15" hidden="1" customHeight="1" x14ac:dyDescent="0.35">
      <c r="A289" s="32" t="s">
        <v>217</v>
      </c>
      <c r="B289" s="32" t="s">
        <v>828</v>
      </c>
      <c r="C289" s="32" t="s">
        <v>502</v>
      </c>
      <c r="D289" s="32" t="s">
        <v>418</v>
      </c>
      <c r="E289" s="32" t="s">
        <v>134</v>
      </c>
      <c r="F289" s="32" t="s">
        <v>503</v>
      </c>
      <c r="G289" s="33">
        <v>46099</v>
      </c>
      <c r="H289" s="33">
        <v>46099</v>
      </c>
      <c r="I289" s="33">
        <v>46106</v>
      </c>
      <c r="J289" s="32" t="s">
        <v>11</v>
      </c>
      <c r="K289" s="34">
        <v>5000</v>
      </c>
      <c r="L289" s="34">
        <v>4166.67</v>
      </c>
      <c r="M289" s="34">
        <v>833.33</v>
      </c>
      <c r="N289" s="34">
        <v>0</v>
      </c>
      <c r="O289" s="34">
        <v>0</v>
      </c>
      <c r="P289" s="34">
        <v>5000</v>
      </c>
      <c r="Q289" s="34">
        <v>5000</v>
      </c>
      <c r="R289" s="34">
        <v>5000</v>
      </c>
      <c r="S289" s="34">
        <v>98.092685816974694</v>
      </c>
      <c r="T289" s="34">
        <v>5000</v>
      </c>
      <c r="U289" s="35">
        <v>5000</v>
      </c>
      <c r="V289" s="35">
        <v>0</v>
      </c>
      <c r="W289" s="35">
        <v>0</v>
      </c>
      <c r="X289" s="35">
        <v>0</v>
      </c>
      <c r="Y289" s="35">
        <v>0</v>
      </c>
      <c r="Z289" s="35">
        <v>0</v>
      </c>
      <c r="AA289" s="35">
        <v>0</v>
      </c>
      <c r="AB289" s="35">
        <v>0</v>
      </c>
      <c r="AC289" s="35">
        <v>0</v>
      </c>
      <c r="AD289" s="35">
        <v>0</v>
      </c>
      <c r="AE289" s="35">
        <v>0</v>
      </c>
      <c r="AF289" s="35">
        <v>0</v>
      </c>
      <c r="AG289" s="35">
        <v>0</v>
      </c>
      <c r="AH289" s="35">
        <v>0</v>
      </c>
      <c r="AI289" s="36">
        <v>98.092685816974694</v>
      </c>
      <c r="AJ289" s="36">
        <v>0</v>
      </c>
      <c r="AK289" s="36">
        <v>0</v>
      </c>
      <c r="AL289" s="36">
        <v>0</v>
      </c>
      <c r="AM289" s="36">
        <v>0</v>
      </c>
      <c r="AN289" s="36">
        <v>0</v>
      </c>
      <c r="AO289" s="36">
        <v>0</v>
      </c>
      <c r="AP289" s="36">
        <v>0</v>
      </c>
      <c r="AQ289" s="36">
        <v>0</v>
      </c>
      <c r="AR289" s="36">
        <v>0</v>
      </c>
      <c r="AS289" s="36">
        <v>0</v>
      </c>
      <c r="AT289" s="36">
        <v>0</v>
      </c>
      <c r="AU289" s="36">
        <v>0</v>
      </c>
      <c r="AV289" s="36">
        <v>0</v>
      </c>
      <c r="AW289" s="37">
        <v>5000</v>
      </c>
      <c r="AX289" s="37">
        <v>0</v>
      </c>
      <c r="AY289" s="37">
        <v>0</v>
      </c>
      <c r="AZ289" s="37">
        <v>0</v>
      </c>
      <c r="BA289" s="37">
        <v>0</v>
      </c>
      <c r="BB289" s="37">
        <v>0</v>
      </c>
      <c r="BC289" s="37">
        <v>0</v>
      </c>
      <c r="BD289" s="37">
        <v>0</v>
      </c>
      <c r="BE289" s="37">
        <v>0</v>
      </c>
      <c r="BF289" s="37">
        <v>0</v>
      </c>
      <c r="BG289" s="37">
        <v>0</v>
      </c>
      <c r="BH289" s="37">
        <v>0</v>
      </c>
      <c r="BI289" s="37">
        <v>0</v>
      </c>
      <c r="BJ289" s="37">
        <v>0</v>
      </c>
      <c r="BK289" s="32" t="s">
        <v>12</v>
      </c>
      <c r="BL289" s="32" t="s">
        <v>13</v>
      </c>
      <c r="BM289" s="33">
        <v>46099.527303240742</v>
      </c>
      <c r="BN289" s="32" t="s">
        <v>504</v>
      </c>
      <c r="BO289" s="32" t="s">
        <v>505</v>
      </c>
      <c r="BP289" s="38">
        <v>-1</v>
      </c>
      <c r="BQ289" s="42"/>
      <c r="BR289" s="39">
        <v>-1</v>
      </c>
      <c r="BS289" s="4" t="s">
        <v>221</v>
      </c>
      <c r="BT289" s="4" t="str">
        <f t="shared" si="17"/>
        <v>135</v>
      </c>
      <c r="BU289" s="4" t="str">
        <f t="shared" si="17"/>
        <v>-1</v>
      </c>
      <c r="BV289" s="4">
        <f t="shared" si="18"/>
        <v>7</v>
      </c>
      <c r="BW289" s="29">
        <f t="shared" si="19"/>
        <v>-5000</v>
      </c>
      <c r="BX289" s="4">
        <v>51.49</v>
      </c>
      <c r="BY289" s="29">
        <f t="shared" si="20"/>
        <v>-7.0534246575342463</v>
      </c>
    </row>
    <row r="290" spans="1:77" ht="15" hidden="1" customHeight="1" x14ac:dyDescent="0.35">
      <c r="A290" s="32" t="s">
        <v>217</v>
      </c>
      <c r="B290" s="32" t="s">
        <v>829</v>
      </c>
      <c r="C290" s="32" t="s">
        <v>502</v>
      </c>
      <c r="D290" s="32" t="s">
        <v>418</v>
      </c>
      <c r="E290" s="32" t="s">
        <v>134</v>
      </c>
      <c r="F290" s="32" t="s">
        <v>503</v>
      </c>
      <c r="G290" s="33">
        <v>46099</v>
      </c>
      <c r="H290" s="33">
        <v>46099</v>
      </c>
      <c r="I290" s="33">
        <v>46106</v>
      </c>
      <c r="J290" s="32" t="s">
        <v>11</v>
      </c>
      <c r="K290" s="34">
        <v>5000</v>
      </c>
      <c r="L290" s="34">
        <v>4166.67</v>
      </c>
      <c r="M290" s="34">
        <v>833.33</v>
      </c>
      <c r="N290" s="34">
        <v>0</v>
      </c>
      <c r="O290" s="34">
        <v>0</v>
      </c>
      <c r="P290" s="34">
        <v>5000</v>
      </c>
      <c r="Q290" s="34">
        <v>5000</v>
      </c>
      <c r="R290" s="34">
        <v>5000</v>
      </c>
      <c r="S290" s="34">
        <v>98.092685816974694</v>
      </c>
      <c r="T290" s="34">
        <v>5000</v>
      </c>
      <c r="U290" s="35">
        <v>5000</v>
      </c>
      <c r="V290" s="35">
        <v>0</v>
      </c>
      <c r="W290" s="35">
        <v>0</v>
      </c>
      <c r="X290" s="35">
        <v>0</v>
      </c>
      <c r="Y290" s="35">
        <v>0</v>
      </c>
      <c r="Z290" s="35">
        <v>0</v>
      </c>
      <c r="AA290" s="35">
        <v>0</v>
      </c>
      <c r="AB290" s="35">
        <v>0</v>
      </c>
      <c r="AC290" s="35">
        <v>0</v>
      </c>
      <c r="AD290" s="35">
        <v>0</v>
      </c>
      <c r="AE290" s="35">
        <v>0</v>
      </c>
      <c r="AF290" s="35">
        <v>0</v>
      </c>
      <c r="AG290" s="35">
        <v>0</v>
      </c>
      <c r="AH290" s="35">
        <v>0</v>
      </c>
      <c r="AI290" s="36">
        <v>98.092685816974694</v>
      </c>
      <c r="AJ290" s="36">
        <v>0</v>
      </c>
      <c r="AK290" s="36">
        <v>0</v>
      </c>
      <c r="AL290" s="36">
        <v>0</v>
      </c>
      <c r="AM290" s="36">
        <v>0</v>
      </c>
      <c r="AN290" s="36">
        <v>0</v>
      </c>
      <c r="AO290" s="36">
        <v>0</v>
      </c>
      <c r="AP290" s="36">
        <v>0</v>
      </c>
      <c r="AQ290" s="36">
        <v>0</v>
      </c>
      <c r="AR290" s="36">
        <v>0</v>
      </c>
      <c r="AS290" s="36">
        <v>0</v>
      </c>
      <c r="AT290" s="36">
        <v>0</v>
      </c>
      <c r="AU290" s="36">
        <v>0</v>
      </c>
      <c r="AV290" s="36">
        <v>0</v>
      </c>
      <c r="AW290" s="37">
        <v>5000</v>
      </c>
      <c r="AX290" s="37">
        <v>0</v>
      </c>
      <c r="AY290" s="37"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2" t="s">
        <v>12</v>
      </c>
      <c r="BL290" s="32" t="s">
        <v>13</v>
      </c>
      <c r="BM290" s="33">
        <v>46099.527627314812</v>
      </c>
      <c r="BN290" s="32" t="s">
        <v>504</v>
      </c>
      <c r="BO290" s="32" t="s">
        <v>505</v>
      </c>
      <c r="BP290" s="38">
        <v>-1</v>
      </c>
      <c r="BQ290" s="42"/>
      <c r="BR290" s="39">
        <v>-1</v>
      </c>
      <c r="BS290" s="4" t="s">
        <v>221</v>
      </c>
      <c r="BT290" s="4" t="str">
        <f t="shared" si="17"/>
        <v>135</v>
      </c>
      <c r="BU290" s="4" t="str">
        <f t="shared" si="17"/>
        <v>-1</v>
      </c>
      <c r="BV290" s="4">
        <f t="shared" si="18"/>
        <v>7</v>
      </c>
      <c r="BW290" s="29">
        <f t="shared" si="19"/>
        <v>-5000</v>
      </c>
      <c r="BX290" s="4">
        <v>51.49</v>
      </c>
      <c r="BY290" s="29">
        <f t="shared" si="20"/>
        <v>-7.0534246575342463</v>
      </c>
    </row>
    <row r="291" spans="1:77" ht="15" hidden="1" customHeight="1" x14ac:dyDescent="0.35">
      <c r="A291" s="32" t="s">
        <v>217</v>
      </c>
      <c r="B291" s="32" t="s">
        <v>830</v>
      </c>
      <c r="C291" s="32" t="s">
        <v>502</v>
      </c>
      <c r="D291" s="32" t="s">
        <v>418</v>
      </c>
      <c r="E291" s="32" t="s">
        <v>134</v>
      </c>
      <c r="F291" s="32" t="s">
        <v>503</v>
      </c>
      <c r="G291" s="33">
        <v>46099</v>
      </c>
      <c r="H291" s="33">
        <v>46099</v>
      </c>
      <c r="I291" s="33">
        <v>46106</v>
      </c>
      <c r="J291" s="32" t="s">
        <v>11</v>
      </c>
      <c r="K291" s="34">
        <v>5000</v>
      </c>
      <c r="L291" s="34">
        <v>4166.67</v>
      </c>
      <c r="M291" s="34">
        <v>833.33</v>
      </c>
      <c r="N291" s="34">
        <v>0</v>
      </c>
      <c r="O291" s="34">
        <v>0</v>
      </c>
      <c r="P291" s="34">
        <v>5000</v>
      </c>
      <c r="Q291" s="34">
        <v>5000</v>
      </c>
      <c r="R291" s="34">
        <v>5000</v>
      </c>
      <c r="S291" s="34">
        <v>98.092685816974694</v>
      </c>
      <c r="T291" s="34">
        <v>5000</v>
      </c>
      <c r="U291" s="35">
        <v>5000</v>
      </c>
      <c r="V291" s="35">
        <v>0</v>
      </c>
      <c r="W291" s="35">
        <v>0</v>
      </c>
      <c r="X291" s="35">
        <v>0</v>
      </c>
      <c r="Y291" s="35">
        <v>0</v>
      </c>
      <c r="Z291" s="35">
        <v>0</v>
      </c>
      <c r="AA291" s="35">
        <v>0</v>
      </c>
      <c r="AB291" s="35">
        <v>0</v>
      </c>
      <c r="AC291" s="35">
        <v>0</v>
      </c>
      <c r="AD291" s="35">
        <v>0</v>
      </c>
      <c r="AE291" s="35">
        <v>0</v>
      </c>
      <c r="AF291" s="35">
        <v>0</v>
      </c>
      <c r="AG291" s="35">
        <v>0</v>
      </c>
      <c r="AH291" s="35">
        <v>0</v>
      </c>
      <c r="AI291" s="36">
        <v>98.092685816974694</v>
      </c>
      <c r="AJ291" s="36">
        <v>0</v>
      </c>
      <c r="AK291" s="36">
        <v>0</v>
      </c>
      <c r="AL291" s="36">
        <v>0</v>
      </c>
      <c r="AM291" s="36">
        <v>0</v>
      </c>
      <c r="AN291" s="36">
        <v>0</v>
      </c>
      <c r="AO291" s="36">
        <v>0</v>
      </c>
      <c r="AP291" s="36">
        <v>0</v>
      </c>
      <c r="AQ291" s="36">
        <v>0</v>
      </c>
      <c r="AR291" s="36">
        <v>0</v>
      </c>
      <c r="AS291" s="36">
        <v>0</v>
      </c>
      <c r="AT291" s="36">
        <v>0</v>
      </c>
      <c r="AU291" s="36">
        <v>0</v>
      </c>
      <c r="AV291" s="36">
        <v>0</v>
      </c>
      <c r="AW291" s="37">
        <v>5000</v>
      </c>
      <c r="AX291" s="37">
        <v>0</v>
      </c>
      <c r="AY291" s="37">
        <v>0</v>
      </c>
      <c r="AZ291" s="37">
        <v>0</v>
      </c>
      <c r="BA291" s="37">
        <v>0</v>
      </c>
      <c r="BB291" s="37">
        <v>0</v>
      </c>
      <c r="BC291" s="37">
        <v>0</v>
      </c>
      <c r="BD291" s="37">
        <v>0</v>
      </c>
      <c r="BE291" s="37">
        <v>0</v>
      </c>
      <c r="BF291" s="37">
        <v>0</v>
      </c>
      <c r="BG291" s="37">
        <v>0</v>
      </c>
      <c r="BH291" s="37">
        <v>0</v>
      </c>
      <c r="BI291" s="37">
        <v>0</v>
      </c>
      <c r="BJ291" s="37">
        <v>0</v>
      </c>
      <c r="BK291" s="32" t="s">
        <v>12</v>
      </c>
      <c r="BL291" s="32" t="s">
        <v>13</v>
      </c>
      <c r="BM291" s="33">
        <v>46099.527962962966</v>
      </c>
      <c r="BN291" s="32" t="s">
        <v>504</v>
      </c>
      <c r="BO291" s="32" t="s">
        <v>505</v>
      </c>
      <c r="BP291" s="38">
        <v>-1</v>
      </c>
      <c r="BQ291" s="42"/>
      <c r="BR291" s="39">
        <v>-1</v>
      </c>
      <c r="BS291" s="4" t="s">
        <v>221</v>
      </c>
      <c r="BT291" s="4" t="str">
        <f t="shared" si="17"/>
        <v>135</v>
      </c>
      <c r="BU291" s="4" t="str">
        <f t="shared" si="17"/>
        <v>-1</v>
      </c>
      <c r="BV291" s="4">
        <f t="shared" si="18"/>
        <v>7</v>
      </c>
      <c r="BW291" s="29">
        <f t="shared" si="19"/>
        <v>-5000</v>
      </c>
      <c r="BX291" s="4">
        <v>51.49</v>
      </c>
      <c r="BY291" s="29">
        <f t="shared" si="20"/>
        <v>-7.0534246575342463</v>
      </c>
    </row>
    <row r="292" spans="1:77" ht="15" hidden="1" customHeight="1" x14ac:dyDescent="0.35">
      <c r="A292" s="32" t="s">
        <v>217</v>
      </c>
      <c r="B292" s="32" t="s">
        <v>831</v>
      </c>
      <c r="C292" s="32" t="s">
        <v>502</v>
      </c>
      <c r="D292" s="32" t="s">
        <v>418</v>
      </c>
      <c r="E292" s="32" t="s">
        <v>134</v>
      </c>
      <c r="F292" s="32" t="s">
        <v>503</v>
      </c>
      <c r="G292" s="33">
        <v>46099</v>
      </c>
      <c r="H292" s="33">
        <v>46099</v>
      </c>
      <c r="I292" s="33">
        <v>46106</v>
      </c>
      <c r="J292" s="32" t="s">
        <v>11</v>
      </c>
      <c r="K292" s="34">
        <v>5000</v>
      </c>
      <c r="L292" s="34">
        <v>4166.67</v>
      </c>
      <c r="M292" s="34">
        <v>833.33</v>
      </c>
      <c r="N292" s="34">
        <v>0</v>
      </c>
      <c r="O292" s="34">
        <v>0</v>
      </c>
      <c r="P292" s="34">
        <v>5000</v>
      </c>
      <c r="Q292" s="34">
        <v>5000</v>
      </c>
      <c r="R292" s="34">
        <v>5000</v>
      </c>
      <c r="S292" s="34">
        <v>98.092685816974694</v>
      </c>
      <c r="T292" s="34">
        <v>5000</v>
      </c>
      <c r="U292" s="35">
        <v>5000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6">
        <v>98.092685816974694</v>
      </c>
      <c r="AJ292" s="36">
        <v>0</v>
      </c>
      <c r="AK292" s="36">
        <v>0</v>
      </c>
      <c r="AL292" s="36">
        <v>0</v>
      </c>
      <c r="AM292" s="36">
        <v>0</v>
      </c>
      <c r="AN292" s="36">
        <v>0</v>
      </c>
      <c r="AO292" s="36">
        <v>0</v>
      </c>
      <c r="AP292" s="36">
        <v>0</v>
      </c>
      <c r="AQ292" s="36">
        <v>0</v>
      </c>
      <c r="AR292" s="36">
        <v>0</v>
      </c>
      <c r="AS292" s="36">
        <v>0</v>
      </c>
      <c r="AT292" s="36">
        <v>0</v>
      </c>
      <c r="AU292" s="36">
        <v>0</v>
      </c>
      <c r="AV292" s="36">
        <v>0</v>
      </c>
      <c r="AW292" s="37">
        <v>5000</v>
      </c>
      <c r="AX292" s="37">
        <v>0</v>
      </c>
      <c r="AY292" s="37"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2" t="s">
        <v>12</v>
      </c>
      <c r="BL292" s="32" t="s">
        <v>13</v>
      </c>
      <c r="BM292" s="33">
        <v>46099.528287037036</v>
      </c>
      <c r="BN292" s="32" t="s">
        <v>504</v>
      </c>
      <c r="BO292" s="32" t="s">
        <v>505</v>
      </c>
      <c r="BP292" s="38">
        <v>-1</v>
      </c>
      <c r="BQ292" s="42"/>
      <c r="BR292" s="39">
        <v>-1</v>
      </c>
      <c r="BS292" s="4" t="s">
        <v>221</v>
      </c>
      <c r="BT292" s="4" t="str">
        <f t="shared" si="17"/>
        <v>135</v>
      </c>
      <c r="BU292" s="4" t="str">
        <f t="shared" si="17"/>
        <v>-1</v>
      </c>
      <c r="BV292" s="4">
        <f t="shared" si="18"/>
        <v>7</v>
      </c>
      <c r="BW292" s="29">
        <f t="shared" si="19"/>
        <v>-5000</v>
      </c>
      <c r="BX292" s="4">
        <v>51.49</v>
      </c>
      <c r="BY292" s="29">
        <f t="shared" si="20"/>
        <v>-7.0534246575342463</v>
      </c>
    </row>
    <row r="293" spans="1:77" ht="15" hidden="1" customHeight="1" x14ac:dyDescent="0.35">
      <c r="A293" s="32" t="s">
        <v>217</v>
      </c>
      <c r="B293" s="32" t="s">
        <v>832</v>
      </c>
      <c r="C293" s="32" t="s">
        <v>502</v>
      </c>
      <c r="D293" s="32" t="s">
        <v>418</v>
      </c>
      <c r="E293" s="32" t="s">
        <v>134</v>
      </c>
      <c r="F293" s="32" t="s">
        <v>503</v>
      </c>
      <c r="G293" s="33">
        <v>46099</v>
      </c>
      <c r="H293" s="33">
        <v>46099</v>
      </c>
      <c r="I293" s="33">
        <v>46106</v>
      </c>
      <c r="J293" s="32" t="s">
        <v>11</v>
      </c>
      <c r="K293" s="34">
        <v>5000</v>
      </c>
      <c r="L293" s="34">
        <v>4166.67</v>
      </c>
      <c r="M293" s="34">
        <v>833.33</v>
      </c>
      <c r="N293" s="34">
        <v>0</v>
      </c>
      <c r="O293" s="34">
        <v>0</v>
      </c>
      <c r="P293" s="34">
        <v>5000</v>
      </c>
      <c r="Q293" s="34">
        <v>5000</v>
      </c>
      <c r="R293" s="34">
        <v>5000</v>
      </c>
      <c r="S293" s="34">
        <v>98.092685816974694</v>
      </c>
      <c r="T293" s="34">
        <v>5000</v>
      </c>
      <c r="U293" s="35">
        <v>5000</v>
      </c>
      <c r="V293" s="35">
        <v>0</v>
      </c>
      <c r="W293" s="35">
        <v>0</v>
      </c>
      <c r="X293" s="35">
        <v>0</v>
      </c>
      <c r="Y293" s="35">
        <v>0</v>
      </c>
      <c r="Z293" s="35">
        <v>0</v>
      </c>
      <c r="AA293" s="35">
        <v>0</v>
      </c>
      <c r="AB293" s="35">
        <v>0</v>
      </c>
      <c r="AC293" s="35">
        <v>0</v>
      </c>
      <c r="AD293" s="35">
        <v>0</v>
      </c>
      <c r="AE293" s="35">
        <v>0</v>
      </c>
      <c r="AF293" s="35">
        <v>0</v>
      </c>
      <c r="AG293" s="35">
        <v>0</v>
      </c>
      <c r="AH293" s="35">
        <v>0</v>
      </c>
      <c r="AI293" s="36">
        <v>98.092685816974694</v>
      </c>
      <c r="AJ293" s="36">
        <v>0</v>
      </c>
      <c r="AK293" s="36">
        <v>0</v>
      </c>
      <c r="AL293" s="36">
        <v>0</v>
      </c>
      <c r="AM293" s="36">
        <v>0</v>
      </c>
      <c r="AN293" s="36">
        <v>0</v>
      </c>
      <c r="AO293" s="36">
        <v>0</v>
      </c>
      <c r="AP293" s="36">
        <v>0</v>
      </c>
      <c r="AQ293" s="36">
        <v>0</v>
      </c>
      <c r="AR293" s="36">
        <v>0</v>
      </c>
      <c r="AS293" s="36">
        <v>0</v>
      </c>
      <c r="AT293" s="36">
        <v>0</v>
      </c>
      <c r="AU293" s="36">
        <v>0</v>
      </c>
      <c r="AV293" s="36">
        <v>0</v>
      </c>
      <c r="AW293" s="37">
        <v>5000</v>
      </c>
      <c r="AX293" s="37">
        <v>0</v>
      </c>
      <c r="AY293" s="37">
        <v>0</v>
      </c>
      <c r="AZ293" s="37">
        <v>0</v>
      </c>
      <c r="BA293" s="37">
        <v>0</v>
      </c>
      <c r="BB293" s="37">
        <v>0</v>
      </c>
      <c r="BC293" s="37">
        <v>0</v>
      </c>
      <c r="BD293" s="37">
        <v>0</v>
      </c>
      <c r="BE293" s="37">
        <v>0</v>
      </c>
      <c r="BF293" s="37">
        <v>0</v>
      </c>
      <c r="BG293" s="37">
        <v>0</v>
      </c>
      <c r="BH293" s="37">
        <v>0</v>
      </c>
      <c r="BI293" s="37">
        <v>0</v>
      </c>
      <c r="BJ293" s="37">
        <v>0</v>
      </c>
      <c r="BK293" s="32" t="s">
        <v>12</v>
      </c>
      <c r="BL293" s="32" t="s">
        <v>13</v>
      </c>
      <c r="BM293" s="33">
        <v>46099.528611111113</v>
      </c>
      <c r="BN293" s="32" t="s">
        <v>504</v>
      </c>
      <c r="BO293" s="32" t="s">
        <v>505</v>
      </c>
      <c r="BP293" s="38">
        <v>-1</v>
      </c>
      <c r="BQ293" s="42"/>
      <c r="BR293" s="39">
        <v>-1</v>
      </c>
      <c r="BS293" s="4" t="s">
        <v>221</v>
      </c>
      <c r="BT293" s="4" t="str">
        <f t="shared" si="17"/>
        <v>135</v>
      </c>
      <c r="BU293" s="4" t="str">
        <f t="shared" si="17"/>
        <v>-1</v>
      </c>
      <c r="BV293" s="4">
        <f t="shared" si="18"/>
        <v>7</v>
      </c>
      <c r="BW293" s="29">
        <f t="shared" si="19"/>
        <v>-5000</v>
      </c>
      <c r="BX293" s="4">
        <v>51.49</v>
      </c>
      <c r="BY293" s="29">
        <f t="shared" si="20"/>
        <v>-7.0534246575342463</v>
      </c>
    </row>
    <row r="294" spans="1:77" ht="15" hidden="1" customHeight="1" x14ac:dyDescent="0.35">
      <c r="A294" s="32" t="s">
        <v>217</v>
      </c>
      <c r="B294" s="32" t="s">
        <v>833</v>
      </c>
      <c r="C294" s="32" t="s">
        <v>502</v>
      </c>
      <c r="D294" s="32" t="s">
        <v>418</v>
      </c>
      <c r="E294" s="32" t="s">
        <v>134</v>
      </c>
      <c r="F294" s="32" t="s">
        <v>503</v>
      </c>
      <c r="G294" s="33">
        <v>46099</v>
      </c>
      <c r="H294" s="33">
        <v>46099</v>
      </c>
      <c r="I294" s="33">
        <v>46106</v>
      </c>
      <c r="J294" s="32" t="s">
        <v>11</v>
      </c>
      <c r="K294" s="34">
        <v>5000</v>
      </c>
      <c r="L294" s="34">
        <v>4166.67</v>
      </c>
      <c r="M294" s="34">
        <v>833.33</v>
      </c>
      <c r="N294" s="34">
        <v>0</v>
      </c>
      <c r="O294" s="34">
        <v>0</v>
      </c>
      <c r="P294" s="34">
        <v>5000</v>
      </c>
      <c r="Q294" s="34">
        <v>5000</v>
      </c>
      <c r="R294" s="34">
        <v>5000</v>
      </c>
      <c r="S294" s="34">
        <v>98.092685816974694</v>
      </c>
      <c r="T294" s="34">
        <v>5000</v>
      </c>
      <c r="U294" s="35">
        <v>5000</v>
      </c>
      <c r="V294" s="35">
        <v>0</v>
      </c>
      <c r="W294" s="35">
        <v>0</v>
      </c>
      <c r="X294" s="35">
        <v>0</v>
      </c>
      <c r="Y294" s="35">
        <v>0</v>
      </c>
      <c r="Z294" s="35">
        <v>0</v>
      </c>
      <c r="AA294" s="35">
        <v>0</v>
      </c>
      <c r="AB294" s="35">
        <v>0</v>
      </c>
      <c r="AC294" s="35">
        <v>0</v>
      </c>
      <c r="AD294" s="35">
        <v>0</v>
      </c>
      <c r="AE294" s="35">
        <v>0</v>
      </c>
      <c r="AF294" s="35">
        <v>0</v>
      </c>
      <c r="AG294" s="35">
        <v>0</v>
      </c>
      <c r="AH294" s="35">
        <v>0</v>
      </c>
      <c r="AI294" s="36">
        <v>98.092685816974694</v>
      </c>
      <c r="AJ294" s="36">
        <v>0</v>
      </c>
      <c r="AK294" s="36">
        <v>0</v>
      </c>
      <c r="AL294" s="36">
        <v>0</v>
      </c>
      <c r="AM294" s="36">
        <v>0</v>
      </c>
      <c r="AN294" s="36">
        <v>0</v>
      </c>
      <c r="AO294" s="36">
        <v>0</v>
      </c>
      <c r="AP294" s="36">
        <v>0</v>
      </c>
      <c r="AQ294" s="36">
        <v>0</v>
      </c>
      <c r="AR294" s="36">
        <v>0</v>
      </c>
      <c r="AS294" s="36">
        <v>0</v>
      </c>
      <c r="AT294" s="36">
        <v>0</v>
      </c>
      <c r="AU294" s="36">
        <v>0</v>
      </c>
      <c r="AV294" s="36">
        <v>0</v>
      </c>
      <c r="AW294" s="37">
        <v>5000</v>
      </c>
      <c r="AX294" s="37">
        <v>0</v>
      </c>
      <c r="AY294" s="37"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2" t="s">
        <v>12</v>
      </c>
      <c r="BL294" s="32" t="s">
        <v>13</v>
      </c>
      <c r="BM294" s="33">
        <v>46099.528935185182</v>
      </c>
      <c r="BN294" s="32" t="s">
        <v>504</v>
      </c>
      <c r="BO294" s="32" t="s">
        <v>505</v>
      </c>
      <c r="BP294" s="38">
        <v>-1</v>
      </c>
      <c r="BQ294" s="42"/>
      <c r="BR294" s="39">
        <v>-1</v>
      </c>
      <c r="BS294" s="4" t="s">
        <v>221</v>
      </c>
      <c r="BT294" s="4" t="str">
        <f t="shared" si="17"/>
        <v>135</v>
      </c>
      <c r="BU294" s="4" t="str">
        <f t="shared" si="17"/>
        <v>-1</v>
      </c>
      <c r="BV294" s="4">
        <f t="shared" si="18"/>
        <v>7</v>
      </c>
      <c r="BW294" s="29">
        <f t="shared" si="19"/>
        <v>-5000</v>
      </c>
      <c r="BX294" s="4">
        <v>51.49</v>
      </c>
      <c r="BY294" s="29">
        <f t="shared" si="20"/>
        <v>-7.0534246575342463</v>
      </c>
    </row>
    <row r="295" spans="1:77" ht="15" hidden="1" customHeight="1" x14ac:dyDescent="0.35">
      <c r="A295" s="32" t="s">
        <v>217</v>
      </c>
      <c r="B295" s="32" t="s">
        <v>834</v>
      </c>
      <c r="C295" s="32" t="s">
        <v>502</v>
      </c>
      <c r="D295" s="32" t="s">
        <v>418</v>
      </c>
      <c r="E295" s="32" t="s">
        <v>134</v>
      </c>
      <c r="F295" s="32" t="s">
        <v>503</v>
      </c>
      <c r="G295" s="33">
        <v>46099</v>
      </c>
      <c r="H295" s="33">
        <v>46099</v>
      </c>
      <c r="I295" s="33">
        <v>46106</v>
      </c>
      <c r="J295" s="32" t="s">
        <v>11</v>
      </c>
      <c r="K295" s="34">
        <v>5000</v>
      </c>
      <c r="L295" s="34">
        <v>4166.67</v>
      </c>
      <c r="M295" s="34">
        <v>833.33</v>
      </c>
      <c r="N295" s="34">
        <v>0</v>
      </c>
      <c r="O295" s="34">
        <v>0</v>
      </c>
      <c r="P295" s="34">
        <v>5000</v>
      </c>
      <c r="Q295" s="34">
        <v>5000</v>
      </c>
      <c r="R295" s="34">
        <v>5000</v>
      </c>
      <c r="S295" s="34">
        <v>98.092685816974694</v>
      </c>
      <c r="T295" s="34">
        <v>5000</v>
      </c>
      <c r="U295" s="35">
        <v>5000</v>
      </c>
      <c r="V295" s="35">
        <v>0</v>
      </c>
      <c r="W295" s="35">
        <v>0</v>
      </c>
      <c r="X295" s="35">
        <v>0</v>
      </c>
      <c r="Y295" s="35">
        <v>0</v>
      </c>
      <c r="Z295" s="35">
        <v>0</v>
      </c>
      <c r="AA295" s="35">
        <v>0</v>
      </c>
      <c r="AB295" s="35">
        <v>0</v>
      </c>
      <c r="AC295" s="35">
        <v>0</v>
      </c>
      <c r="AD295" s="35">
        <v>0</v>
      </c>
      <c r="AE295" s="35">
        <v>0</v>
      </c>
      <c r="AF295" s="35">
        <v>0</v>
      </c>
      <c r="AG295" s="35">
        <v>0</v>
      </c>
      <c r="AH295" s="35">
        <v>0</v>
      </c>
      <c r="AI295" s="36">
        <v>98.092685816974694</v>
      </c>
      <c r="AJ295" s="36">
        <v>0</v>
      </c>
      <c r="AK295" s="36">
        <v>0</v>
      </c>
      <c r="AL295" s="36">
        <v>0</v>
      </c>
      <c r="AM295" s="36">
        <v>0</v>
      </c>
      <c r="AN295" s="36">
        <v>0</v>
      </c>
      <c r="AO295" s="36">
        <v>0</v>
      </c>
      <c r="AP295" s="36">
        <v>0</v>
      </c>
      <c r="AQ295" s="36">
        <v>0</v>
      </c>
      <c r="AR295" s="36">
        <v>0</v>
      </c>
      <c r="AS295" s="36">
        <v>0</v>
      </c>
      <c r="AT295" s="36">
        <v>0</v>
      </c>
      <c r="AU295" s="36">
        <v>0</v>
      </c>
      <c r="AV295" s="36">
        <v>0</v>
      </c>
      <c r="AW295" s="37">
        <v>5000</v>
      </c>
      <c r="AX295" s="37">
        <v>0</v>
      </c>
      <c r="AY295" s="37">
        <v>0</v>
      </c>
      <c r="AZ295" s="37">
        <v>0</v>
      </c>
      <c r="BA295" s="37">
        <v>0</v>
      </c>
      <c r="BB295" s="37">
        <v>0</v>
      </c>
      <c r="BC295" s="37">
        <v>0</v>
      </c>
      <c r="BD295" s="37">
        <v>0</v>
      </c>
      <c r="BE295" s="37">
        <v>0</v>
      </c>
      <c r="BF295" s="37">
        <v>0</v>
      </c>
      <c r="BG295" s="37">
        <v>0</v>
      </c>
      <c r="BH295" s="37">
        <v>0</v>
      </c>
      <c r="BI295" s="37">
        <v>0</v>
      </c>
      <c r="BJ295" s="37">
        <v>0</v>
      </c>
      <c r="BK295" s="32" t="s">
        <v>12</v>
      </c>
      <c r="BL295" s="32" t="s">
        <v>13</v>
      </c>
      <c r="BM295" s="33">
        <v>46099.52925925926</v>
      </c>
      <c r="BN295" s="32" t="s">
        <v>504</v>
      </c>
      <c r="BO295" s="32" t="s">
        <v>505</v>
      </c>
      <c r="BP295" s="38">
        <v>-1</v>
      </c>
      <c r="BQ295" s="42"/>
      <c r="BR295" s="39">
        <v>-1</v>
      </c>
      <c r="BS295" s="4" t="s">
        <v>221</v>
      </c>
      <c r="BT295" s="4" t="str">
        <f t="shared" si="17"/>
        <v>135</v>
      </c>
      <c r="BU295" s="4" t="str">
        <f t="shared" si="17"/>
        <v>-1</v>
      </c>
      <c r="BV295" s="4">
        <f t="shared" si="18"/>
        <v>7</v>
      </c>
      <c r="BW295" s="29">
        <f t="shared" si="19"/>
        <v>-5000</v>
      </c>
      <c r="BX295" s="4">
        <v>51.49</v>
      </c>
      <c r="BY295" s="29">
        <f t="shared" si="20"/>
        <v>-7.0534246575342463</v>
      </c>
    </row>
    <row r="296" spans="1:77" ht="15" hidden="1" customHeight="1" x14ac:dyDescent="0.35">
      <c r="A296" s="32" t="s">
        <v>217</v>
      </c>
      <c r="B296" s="32" t="s">
        <v>835</v>
      </c>
      <c r="C296" s="32" t="s">
        <v>502</v>
      </c>
      <c r="D296" s="32" t="s">
        <v>418</v>
      </c>
      <c r="E296" s="32" t="s">
        <v>134</v>
      </c>
      <c r="F296" s="32" t="s">
        <v>503</v>
      </c>
      <c r="G296" s="33">
        <v>46099</v>
      </c>
      <c r="H296" s="33">
        <v>46099</v>
      </c>
      <c r="I296" s="33">
        <v>46106</v>
      </c>
      <c r="J296" s="32" t="s">
        <v>11</v>
      </c>
      <c r="K296" s="34">
        <v>5000</v>
      </c>
      <c r="L296" s="34">
        <v>4166.67</v>
      </c>
      <c r="M296" s="34">
        <v>833.33</v>
      </c>
      <c r="N296" s="34">
        <v>0</v>
      </c>
      <c r="O296" s="34">
        <v>0</v>
      </c>
      <c r="P296" s="34">
        <v>5000</v>
      </c>
      <c r="Q296" s="34">
        <v>5000</v>
      </c>
      <c r="R296" s="34">
        <v>5000</v>
      </c>
      <c r="S296" s="34">
        <v>98.092685816974694</v>
      </c>
      <c r="T296" s="34">
        <v>5000</v>
      </c>
      <c r="U296" s="35">
        <v>5000</v>
      </c>
      <c r="V296" s="35">
        <v>0</v>
      </c>
      <c r="W296" s="35">
        <v>0</v>
      </c>
      <c r="X296" s="35">
        <v>0</v>
      </c>
      <c r="Y296" s="35">
        <v>0</v>
      </c>
      <c r="Z296" s="35">
        <v>0</v>
      </c>
      <c r="AA296" s="35">
        <v>0</v>
      </c>
      <c r="AB296" s="35">
        <v>0</v>
      </c>
      <c r="AC296" s="35">
        <v>0</v>
      </c>
      <c r="AD296" s="35">
        <v>0</v>
      </c>
      <c r="AE296" s="35">
        <v>0</v>
      </c>
      <c r="AF296" s="35">
        <v>0</v>
      </c>
      <c r="AG296" s="35">
        <v>0</v>
      </c>
      <c r="AH296" s="35">
        <v>0</v>
      </c>
      <c r="AI296" s="36">
        <v>98.092685816974694</v>
      </c>
      <c r="AJ296" s="36">
        <v>0</v>
      </c>
      <c r="AK296" s="36">
        <v>0</v>
      </c>
      <c r="AL296" s="36">
        <v>0</v>
      </c>
      <c r="AM296" s="36">
        <v>0</v>
      </c>
      <c r="AN296" s="36">
        <v>0</v>
      </c>
      <c r="AO296" s="36">
        <v>0</v>
      </c>
      <c r="AP296" s="36">
        <v>0</v>
      </c>
      <c r="AQ296" s="36">
        <v>0</v>
      </c>
      <c r="AR296" s="36">
        <v>0</v>
      </c>
      <c r="AS296" s="36">
        <v>0</v>
      </c>
      <c r="AT296" s="36">
        <v>0</v>
      </c>
      <c r="AU296" s="36">
        <v>0</v>
      </c>
      <c r="AV296" s="36">
        <v>0</v>
      </c>
      <c r="AW296" s="37">
        <v>5000</v>
      </c>
      <c r="AX296" s="37">
        <v>0</v>
      </c>
      <c r="AY296" s="37"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2" t="s">
        <v>12</v>
      </c>
      <c r="BL296" s="32" t="s">
        <v>13</v>
      </c>
      <c r="BM296" s="33">
        <v>46099.529594907406</v>
      </c>
      <c r="BN296" s="32" t="s">
        <v>504</v>
      </c>
      <c r="BO296" s="32" t="s">
        <v>505</v>
      </c>
      <c r="BP296" s="38">
        <v>-1</v>
      </c>
      <c r="BQ296" s="42"/>
      <c r="BR296" s="39">
        <v>-1</v>
      </c>
      <c r="BS296" s="4" t="s">
        <v>221</v>
      </c>
      <c r="BT296" s="4" t="str">
        <f t="shared" si="17"/>
        <v>135</v>
      </c>
      <c r="BU296" s="4" t="str">
        <f t="shared" si="17"/>
        <v>-1</v>
      </c>
      <c r="BV296" s="4">
        <f t="shared" si="18"/>
        <v>7</v>
      </c>
      <c r="BW296" s="29">
        <f t="shared" si="19"/>
        <v>-5000</v>
      </c>
      <c r="BX296" s="4">
        <v>51.49</v>
      </c>
      <c r="BY296" s="29">
        <f t="shared" si="20"/>
        <v>-7.0534246575342463</v>
      </c>
    </row>
    <row r="297" spans="1:77" ht="15" hidden="1" customHeight="1" x14ac:dyDescent="0.35">
      <c r="A297" s="32" t="s">
        <v>217</v>
      </c>
      <c r="B297" s="32" t="s">
        <v>836</v>
      </c>
      <c r="C297" s="32" t="s">
        <v>502</v>
      </c>
      <c r="D297" s="32" t="s">
        <v>418</v>
      </c>
      <c r="E297" s="32" t="s">
        <v>134</v>
      </c>
      <c r="F297" s="32" t="s">
        <v>503</v>
      </c>
      <c r="G297" s="33">
        <v>46099</v>
      </c>
      <c r="H297" s="33">
        <v>46099</v>
      </c>
      <c r="I297" s="33">
        <v>46106</v>
      </c>
      <c r="J297" s="32" t="s">
        <v>11</v>
      </c>
      <c r="K297" s="34">
        <v>5000</v>
      </c>
      <c r="L297" s="34">
        <v>4166.67</v>
      </c>
      <c r="M297" s="34">
        <v>833.33</v>
      </c>
      <c r="N297" s="34">
        <v>0</v>
      </c>
      <c r="O297" s="34">
        <v>0</v>
      </c>
      <c r="P297" s="34">
        <v>5000</v>
      </c>
      <c r="Q297" s="34">
        <v>5000</v>
      </c>
      <c r="R297" s="34">
        <v>5000</v>
      </c>
      <c r="S297" s="34">
        <v>98.092685816974694</v>
      </c>
      <c r="T297" s="34">
        <v>5000</v>
      </c>
      <c r="U297" s="35">
        <v>5000</v>
      </c>
      <c r="V297" s="35">
        <v>0</v>
      </c>
      <c r="W297" s="35">
        <v>0</v>
      </c>
      <c r="X297" s="35">
        <v>0</v>
      </c>
      <c r="Y297" s="35">
        <v>0</v>
      </c>
      <c r="Z297" s="35">
        <v>0</v>
      </c>
      <c r="AA297" s="35">
        <v>0</v>
      </c>
      <c r="AB297" s="35">
        <v>0</v>
      </c>
      <c r="AC297" s="35">
        <v>0</v>
      </c>
      <c r="AD297" s="35">
        <v>0</v>
      </c>
      <c r="AE297" s="35">
        <v>0</v>
      </c>
      <c r="AF297" s="35">
        <v>0</v>
      </c>
      <c r="AG297" s="35">
        <v>0</v>
      </c>
      <c r="AH297" s="35">
        <v>0</v>
      </c>
      <c r="AI297" s="36">
        <v>98.092685816974694</v>
      </c>
      <c r="AJ297" s="36">
        <v>0</v>
      </c>
      <c r="AK297" s="36">
        <v>0</v>
      </c>
      <c r="AL297" s="36">
        <v>0</v>
      </c>
      <c r="AM297" s="36">
        <v>0</v>
      </c>
      <c r="AN297" s="36">
        <v>0</v>
      </c>
      <c r="AO297" s="36">
        <v>0</v>
      </c>
      <c r="AP297" s="36">
        <v>0</v>
      </c>
      <c r="AQ297" s="36">
        <v>0</v>
      </c>
      <c r="AR297" s="36">
        <v>0</v>
      </c>
      <c r="AS297" s="36">
        <v>0</v>
      </c>
      <c r="AT297" s="36">
        <v>0</v>
      </c>
      <c r="AU297" s="36">
        <v>0</v>
      </c>
      <c r="AV297" s="36">
        <v>0</v>
      </c>
      <c r="AW297" s="37">
        <v>5000</v>
      </c>
      <c r="AX297" s="37">
        <v>0</v>
      </c>
      <c r="AY297" s="37">
        <v>0</v>
      </c>
      <c r="AZ297" s="37">
        <v>0</v>
      </c>
      <c r="BA297" s="37">
        <v>0</v>
      </c>
      <c r="BB297" s="37">
        <v>0</v>
      </c>
      <c r="BC297" s="37">
        <v>0</v>
      </c>
      <c r="BD297" s="37">
        <v>0</v>
      </c>
      <c r="BE297" s="37">
        <v>0</v>
      </c>
      <c r="BF297" s="37">
        <v>0</v>
      </c>
      <c r="BG297" s="37">
        <v>0</v>
      </c>
      <c r="BH297" s="37">
        <v>0</v>
      </c>
      <c r="BI297" s="37">
        <v>0</v>
      </c>
      <c r="BJ297" s="37">
        <v>0</v>
      </c>
      <c r="BK297" s="32" t="s">
        <v>12</v>
      </c>
      <c r="BL297" s="32" t="s">
        <v>13</v>
      </c>
      <c r="BM297" s="33">
        <v>46099.529918981483</v>
      </c>
      <c r="BN297" s="32" t="s">
        <v>504</v>
      </c>
      <c r="BO297" s="32" t="s">
        <v>505</v>
      </c>
      <c r="BP297" s="38">
        <v>-1</v>
      </c>
      <c r="BQ297" s="42"/>
      <c r="BR297" s="39">
        <v>-1</v>
      </c>
      <c r="BS297" s="4" t="s">
        <v>221</v>
      </c>
      <c r="BT297" s="4" t="str">
        <f t="shared" si="17"/>
        <v>135</v>
      </c>
      <c r="BU297" s="4" t="str">
        <f t="shared" si="17"/>
        <v>-1</v>
      </c>
      <c r="BV297" s="4">
        <f t="shared" si="18"/>
        <v>7</v>
      </c>
      <c r="BW297" s="29">
        <f t="shared" si="19"/>
        <v>-5000</v>
      </c>
      <c r="BX297" s="4">
        <v>51.49</v>
      </c>
      <c r="BY297" s="29">
        <f t="shared" si="20"/>
        <v>-7.0534246575342463</v>
      </c>
    </row>
    <row r="298" spans="1:77" ht="15" hidden="1" customHeight="1" x14ac:dyDescent="0.35">
      <c r="A298" s="32" t="s">
        <v>217</v>
      </c>
      <c r="B298" s="32" t="s">
        <v>837</v>
      </c>
      <c r="C298" s="32" t="s">
        <v>502</v>
      </c>
      <c r="D298" s="32" t="s">
        <v>418</v>
      </c>
      <c r="E298" s="32" t="s">
        <v>134</v>
      </c>
      <c r="F298" s="32" t="s">
        <v>503</v>
      </c>
      <c r="G298" s="33">
        <v>46099</v>
      </c>
      <c r="H298" s="33">
        <v>46099</v>
      </c>
      <c r="I298" s="33">
        <v>46106</v>
      </c>
      <c r="J298" s="32" t="s">
        <v>11</v>
      </c>
      <c r="K298" s="34">
        <v>5000</v>
      </c>
      <c r="L298" s="34">
        <v>4166.67</v>
      </c>
      <c r="M298" s="34">
        <v>833.33</v>
      </c>
      <c r="N298" s="34">
        <v>0</v>
      </c>
      <c r="O298" s="34">
        <v>0</v>
      </c>
      <c r="P298" s="34">
        <v>5000</v>
      </c>
      <c r="Q298" s="34">
        <v>5000</v>
      </c>
      <c r="R298" s="34">
        <v>5000</v>
      </c>
      <c r="S298" s="34">
        <v>98.092685816974694</v>
      </c>
      <c r="T298" s="34">
        <v>5000</v>
      </c>
      <c r="U298" s="35">
        <v>5000</v>
      </c>
      <c r="V298" s="35">
        <v>0</v>
      </c>
      <c r="W298" s="35">
        <v>0</v>
      </c>
      <c r="X298" s="35">
        <v>0</v>
      </c>
      <c r="Y298" s="35">
        <v>0</v>
      </c>
      <c r="Z298" s="35">
        <v>0</v>
      </c>
      <c r="AA298" s="35">
        <v>0</v>
      </c>
      <c r="AB298" s="35">
        <v>0</v>
      </c>
      <c r="AC298" s="35">
        <v>0</v>
      </c>
      <c r="AD298" s="35">
        <v>0</v>
      </c>
      <c r="AE298" s="35">
        <v>0</v>
      </c>
      <c r="AF298" s="35">
        <v>0</v>
      </c>
      <c r="AG298" s="35">
        <v>0</v>
      </c>
      <c r="AH298" s="35">
        <v>0</v>
      </c>
      <c r="AI298" s="36">
        <v>98.092685816974694</v>
      </c>
      <c r="AJ298" s="36">
        <v>0</v>
      </c>
      <c r="AK298" s="36">
        <v>0</v>
      </c>
      <c r="AL298" s="36">
        <v>0</v>
      </c>
      <c r="AM298" s="36">
        <v>0</v>
      </c>
      <c r="AN298" s="36">
        <v>0</v>
      </c>
      <c r="AO298" s="36">
        <v>0</v>
      </c>
      <c r="AP298" s="36">
        <v>0</v>
      </c>
      <c r="AQ298" s="36">
        <v>0</v>
      </c>
      <c r="AR298" s="36">
        <v>0</v>
      </c>
      <c r="AS298" s="36">
        <v>0</v>
      </c>
      <c r="AT298" s="36">
        <v>0</v>
      </c>
      <c r="AU298" s="36">
        <v>0</v>
      </c>
      <c r="AV298" s="36">
        <v>0</v>
      </c>
      <c r="AW298" s="37">
        <v>5000</v>
      </c>
      <c r="AX298" s="37">
        <v>0</v>
      </c>
      <c r="AY298" s="37"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2" t="s">
        <v>12</v>
      </c>
      <c r="BL298" s="32" t="s">
        <v>13</v>
      </c>
      <c r="BM298" s="33">
        <v>46099.530243055553</v>
      </c>
      <c r="BN298" s="32" t="s">
        <v>504</v>
      </c>
      <c r="BO298" s="32" t="s">
        <v>505</v>
      </c>
      <c r="BP298" s="38">
        <v>-1</v>
      </c>
      <c r="BQ298" s="42"/>
      <c r="BR298" s="39">
        <v>-1</v>
      </c>
      <c r="BS298" s="4" t="s">
        <v>221</v>
      </c>
      <c r="BT298" s="4" t="str">
        <f t="shared" si="17"/>
        <v>135</v>
      </c>
      <c r="BU298" s="4" t="str">
        <f t="shared" si="17"/>
        <v>-1</v>
      </c>
      <c r="BV298" s="4">
        <f t="shared" si="18"/>
        <v>7</v>
      </c>
      <c r="BW298" s="29">
        <f t="shared" si="19"/>
        <v>-5000</v>
      </c>
      <c r="BX298" s="4">
        <v>51.49</v>
      </c>
      <c r="BY298" s="29">
        <f t="shared" si="20"/>
        <v>-7.0534246575342463</v>
      </c>
    </row>
    <row r="299" spans="1:77" ht="15" hidden="1" customHeight="1" x14ac:dyDescent="0.35">
      <c r="A299" s="32" t="s">
        <v>217</v>
      </c>
      <c r="B299" s="32" t="s">
        <v>838</v>
      </c>
      <c r="C299" s="32" t="s">
        <v>502</v>
      </c>
      <c r="D299" s="32" t="s">
        <v>418</v>
      </c>
      <c r="E299" s="32" t="s">
        <v>134</v>
      </c>
      <c r="F299" s="32" t="s">
        <v>503</v>
      </c>
      <c r="G299" s="33">
        <v>46099</v>
      </c>
      <c r="H299" s="33">
        <v>46099</v>
      </c>
      <c r="I299" s="33">
        <v>46106</v>
      </c>
      <c r="J299" s="32" t="s">
        <v>11</v>
      </c>
      <c r="K299" s="34">
        <v>5000</v>
      </c>
      <c r="L299" s="34">
        <v>4166.67</v>
      </c>
      <c r="M299" s="34">
        <v>833.33</v>
      </c>
      <c r="N299" s="34">
        <v>0</v>
      </c>
      <c r="O299" s="34">
        <v>0</v>
      </c>
      <c r="P299" s="34">
        <v>5000</v>
      </c>
      <c r="Q299" s="34">
        <v>5000</v>
      </c>
      <c r="R299" s="34">
        <v>5000</v>
      </c>
      <c r="S299" s="34">
        <v>98.092685816974694</v>
      </c>
      <c r="T299" s="34">
        <v>5000</v>
      </c>
      <c r="U299" s="35">
        <v>5000</v>
      </c>
      <c r="V299" s="35">
        <v>0</v>
      </c>
      <c r="W299" s="35">
        <v>0</v>
      </c>
      <c r="X299" s="35">
        <v>0</v>
      </c>
      <c r="Y299" s="35">
        <v>0</v>
      </c>
      <c r="Z299" s="35">
        <v>0</v>
      </c>
      <c r="AA299" s="35">
        <v>0</v>
      </c>
      <c r="AB299" s="35">
        <v>0</v>
      </c>
      <c r="AC299" s="35">
        <v>0</v>
      </c>
      <c r="AD299" s="35">
        <v>0</v>
      </c>
      <c r="AE299" s="35">
        <v>0</v>
      </c>
      <c r="AF299" s="35">
        <v>0</v>
      </c>
      <c r="AG299" s="35">
        <v>0</v>
      </c>
      <c r="AH299" s="35">
        <v>0</v>
      </c>
      <c r="AI299" s="36">
        <v>98.092685816974694</v>
      </c>
      <c r="AJ299" s="36">
        <v>0</v>
      </c>
      <c r="AK299" s="36">
        <v>0</v>
      </c>
      <c r="AL299" s="36">
        <v>0</v>
      </c>
      <c r="AM299" s="36">
        <v>0</v>
      </c>
      <c r="AN299" s="36">
        <v>0</v>
      </c>
      <c r="AO299" s="36">
        <v>0</v>
      </c>
      <c r="AP299" s="36">
        <v>0</v>
      </c>
      <c r="AQ299" s="36">
        <v>0</v>
      </c>
      <c r="AR299" s="36">
        <v>0</v>
      </c>
      <c r="AS299" s="36">
        <v>0</v>
      </c>
      <c r="AT299" s="36">
        <v>0</v>
      </c>
      <c r="AU299" s="36">
        <v>0</v>
      </c>
      <c r="AV299" s="36">
        <v>0</v>
      </c>
      <c r="AW299" s="37">
        <v>5000</v>
      </c>
      <c r="AX299" s="37">
        <v>0</v>
      </c>
      <c r="AY299" s="37">
        <v>0</v>
      </c>
      <c r="AZ299" s="37">
        <v>0</v>
      </c>
      <c r="BA299" s="37">
        <v>0</v>
      </c>
      <c r="BB299" s="37">
        <v>0</v>
      </c>
      <c r="BC299" s="37">
        <v>0</v>
      </c>
      <c r="BD299" s="37">
        <v>0</v>
      </c>
      <c r="BE299" s="37">
        <v>0</v>
      </c>
      <c r="BF299" s="37">
        <v>0</v>
      </c>
      <c r="BG299" s="37">
        <v>0</v>
      </c>
      <c r="BH299" s="37">
        <v>0</v>
      </c>
      <c r="BI299" s="37">
        <v>0</v>
      </c>
      <c r="BJ299" s="37">
        <v>0</v>
      </c>
      <c r="BK299" s="32" t="s">
        <v>12</v>
      </c>
      <c r="BL299" s="32" t="s">
        <v>13</v>
      </c>
      <c r="BM299" s="33">
        <v>46099.53056712963</v>
      </c>
      <c r="BN299" s="32" t="s">
        <v>504</v>
      </c>
      <c r="BO299" s="32" t="s">
        <v>505</v>
      </c>
      <c r="BP299" s="38">
        <v>-1</v>
      </c>
      <c r="BQ299" s="42"/>
      <c r="BR299" s="39">
        <v>-1</v>
      </c>
      <c r="BS299" s="4" t="s">
        <v>221</v>
      </c>
      <c r="BT299" s="4" t="str">
        <f t="shared" si="17"/>
        <v>135</v>
      </c>
      <c r="BU299" s="4" t="str">
        <f t="shared" si="17"/>
        <v>-1</v>
      </c>
      <c r="BV299" s="4">
        <f t="shared" si="18"/>
        <v>7</v>
      </c>
      <c r="BW299" s="29">
        <f t="shared" si="19"/>
        <v>-5000</v>
      </c>
      <c r="BX299" s="4">
        <v>51.49</v>
      </c>
      <c r="BY299" s="29">
        <f t="shared" si="20"/>
        <v>-7.0534246575342463</v>
      </c>
    </row>
    <row r="300" spans="1:77" ht="15" hidden="1" customHeight="1" x14ac:dyDescent="0.35">
      <c r="A300" s="32" t="s">
        <v>217</v>
      </c>
      <c r="B300" s="32" t="s">
        <v>839</v>
      </c>
      <c r="C300" s="32" t="s">
        <v>502</v>
      </c>
      <c r="D300" s="32" t="s">
        <v>418</v>
      </c>
      <c r="E300" s="32" t="s">
        <v>134</v>
      </c>
      <c r="F300" s="32" t="s">
        <v>503</v>
      </c>
      <c r="G300" s="33">
        <v>46099</v>
      </c>
      <c r="H300" s="33">
        <v>46099</v>
      </c>
      <c r="I300" s="33">
        <v>46106</v>
      </c>
      <c r="J300" s="32" t="s">
        <v>11</v>
      </c>
      <c r="K300" s="34">
        <v>5000</v>
      </c>
      <c r="L300" s="34">
        <v>4166.67</v>
      </c>
      <c r="M300" s="34">
        <v>833.33</v>
      </c>
      <c r="N300" s="34">
        <v>0</v>
      </c>
      <c r="O300" s="34">
        <v>0</v>
      </c>
      <c r="P300" s="34">
        <v>5000</v>
      </c>
      <c r="Q300" s="34">
        <v>5000</v>
      </c>
      <c r="R300" s="34">
        <v>5000</v>
      </c>
      <c r="S300" s="34">
        <v>98.092685816974694</v>
      </c>
      <c r="T300" s="34">
        <v>5000</v>
      </c>
      <c r="U300" s="35">
        <v>5000</v>
      </c>
      <c r="V300" s="35">
        <v>0</v>
      </c>
      <c r="W300" s="35">
        <v>0</v>
      </c>
      <c r="X300" s="35">
        <v>0</v>
      </c>
      <c r="Y300" s="35">
        <v>0</v>
      </c>
      <c r="Z300" s="35">
        <v>0</v>
      </c>
      <c r="AA300" s="35">
        <v>0</v>
      </c>
      <c r="AB300" s="35">
        <v>0</v>
      </c>
      <c r="AC300" s="35">
        <v>0</v>
      </c>
      <c r="AD300" s="35">
        <v>0</v>
      </c>
      <c r="AE300" s="35">
        <v>0</v>
      </c>
      <c r="AF300" s="35">
        <v>0</v>
      </c>
      <c r="AG300" s="35">
        <v>0</v>
      </c>
      <c r="AH300" s="35">
        <v>0</v>
      </c>
      <c r="AI300" s="36">
        <v>98.092685816974694</v>
      </c>
      <c r="AJ300" s="36">
        <v>0</v>
      </c>
      <c r="AK300" s="36">
        <v>0</v>
      </c>
      <c r="AL300" s="36">
        <v>0</v>
      </c>
      <c r="AM300" s="36">
        <v>0</v>
      </c>
      <c r="AN300" s="36">
        <v>0</v>
      </c>
      <c r="AO300" s="36">
        <v>0</v>
      </c>
      <c r="AP300" s="36">
        <v>0</v>
      </c>
      <c r="AQ300" s="36">
        <v>0</v>
      </c>
      <c r="AR300" s="36">
        <v>0</v>
      </c>
      <c r="AS300" s="36">
        <v>0</v>
      </c>
      <c r="AT300" s="36">
        <v>0</v>
      </c>
      <c r="AU300" s="36">
        <v>0</v>
      </c>
      <c r="AV300" s="36">
        <v>0</v>
      </c>
      <c r="AW300" s="37">
        <v>5000</v>
      </c>
      <c r="AX300" s="37">
        <v>0</v>
      </c>
      <c r="AY300" s="37"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2" t="s">
        <v>12</v>
      </c>
      <c r="BL300" s="32" t="s">
        <v>13</v>
      </c>
      <c r="BM300" s="33">
        <v>46099.530902777777</v>
      </c>
      <c r="BN300" s="32" t="s">
        <v>504</v>
      </c>
      <c r="BO300" s="32" t="s">
        <v>505</v>
      </c>
      <c r="BP300" s="38">
        <v>-1</v>
      </c>
      <c r="BQ300" s="42"/>
      <c r="BR300" s="39">
        <v>-1</v>
      </c>
      <c r="BS300" s="4" t="s">
        <v>221</v>
      </c>
      <c r="BT300" s="4" t="str">
        <f t="shared" si="17"/>
        <v>135</v>
      </c>
      <c r="BU300" s="4" t="str">
        <f t="shared" si="17"/>
        <v>-1</v>
      </c>
      <c r="BV300" s="4">
        <f t="shared" si="18"/>
        <v>7</v>
      </c>
      <c r="BW300" s="29">
        <f t="shared" si="19"/>
        <v>-5000</v>
      </c>
      <c r="BX300" s="4">
        <v>51.49</v>
      </c>
      <c r="BY300" s="29">
        <f t="shared" si="20"/>
        <v>-7.0534246575342463</v>
      </c>
    </row>
    <row r="301" spans="1:77" ht="15" hidden="1" customHeight="1" x14ac:dyDescent="0.35">
      <c r="A301" s="32" t="s">
        <v>217</v>
      </c>
      <c r="B301" s="32" t="s">
        <v>840</v>
      </c>
      <c r="C301" s="32" t="s">
        <v>502</v>
      </c>
      <c r="D301" s="32" t="s">
        <v>418</v>
      </c>
      <c r="E301" s="32" t="s">
        <v>134</v>
      </c>
      <c r="F301" s="32" t="s">
        <v>503</v>
      </c>
      <c r="G301" s="33">
        <v>46099</v>
      </c>
      <c r="H301" s="33">
        <v>46099</v>
      </c>
      <c r="I301" s="33">
        <v>46106</v>
      </c>
      <c r="J301" s="32" t="s">
        <v>11</v>
      </c>
      <c r="K301" s="34">
        <v>5000</v>
      </c>
      <c r="L301" s="34">
        <v>4166.67</v>
      </c>
      <c r="M301" s="34">
        <v>833.33</v>
      </c>
      <c r="N301" s="34">
        <v>0</v>
      </c>
      <c r="O301" s="34">
        <v>0</v>
      </c>
      <c r="P301" s="34">
        <v>5000</v>
      </c>
      <c r="Q301" s="34">
        <v>5000</v>
      </c>
      <c r="R301" s="34">
        <v>5000</v>
      </c>
      <c r="S301" s="34">
        <v>98.092685816974694</v>
      </c>
      <c r="T301" s="34">
        <v>5000</v>
      </c>
      <c r="U301" s="35">
        <v>5000</v>
      </c>
      <c r="V301" s="35">
        <v>0</v>
      </c>
      <c r="W301" s="35">
        <v>0</v>
      </c>
      <c r="X301" s="35">
        <v>0</v>
      </c>
      <c r="Y301" s="35">
        <v>0</v>
      </c>
      <c r="Z301" s="35">
        <v>0</v>
      </c>
      <c r="AA301" s="35">
        <v>0</v>
      </c>
      <c r="AB301" s="35">
        <v>0</v>
      </c>
      <c r="AC301" s="35">
        <v>0</v>
      </c>
      <c r="AD301" s="35">
        <v>0</v>
      </c>
      <c r="AE301" s="35">
        <v>0</v>
      </c>
      <c r="AF301" s="35">
        <v>0</v>
      </c>
      <c r="AG301" s="35">
        <v>0</v>
      </c>
      <c r="AH301" s="35">
        <v>0</v>
      </c>
      <c r="AI301" s="36">
        <v>98.092685816974694</v>
      </c>
      <c r="AJ301" s="36">
        <v>0</v>
      </c>
      <c r="AK301" s="36">
        <v>0</v>
      </c>
      <c r="AL301" s="36">
        <v>0</v>
      </c>
      <c r="AM301" s="36">
        <v>0</v>
      </c>
      <c r="AN301" s="36">
        <v>0</v>
      </c>
      <c r="AO301" s="36">
        <v>0</v>
      </c>
      <c r="AP301" s="36">
        <v>0</v>
      </c>
      <c r="AQ301" s="36">
        <v>0</v>
      </c>
      <c r="AR301" s="36">
        <v>0</v>
      </c>
      <c r="AS301" s="36">
        <v>0</v>
      </c>
      <c r="AT301" s="36">
        <v>0</v>
      </c>
      <c r="AU301" s="36">
        <v>0</v>
      </c>
      <c r="AV301" s="36">
        <v>0</v>
      </c>
      <c r="AW301" s="37">
        <v>5000</v>
      </c>
      <c r="AX301" s="37">
        <v>0</v>
      </c>
      <c r="AY301" s="37">
        <v>0</v>
      </c>
      <c r="AZ301" s="37">
        <v>0</v>
      </c>
      <c r="BA301" s="37">
        <v>0</v>
      </c>
      <c r="BB301" s="37">
        <v>0</v>
      </c>
      <c r="BC301" s="37">
        <v>0</v>
      </c>
      <c r="BD301" s="37">
        <v>0</v>
      </c>
      <c r="BE301" s="37">
        <v>0</v>
      </c>
      <c r="BF301" s="37">
        <v>0</v>
      </c>
      <c r="BG301" s="37">
        <v>0</v>
      </c>
      <c r="BH301" s="37">
        <v>0</v>
      </c>
      <c r="BI301" s="37">
        <v>0</v>
      </c>
      <c r="BJ301" s="37">
        <v>0</v>
      </c>
      <c r="BK301" s="32" t="s">
        <v>12</v>
      </c>
      <c r="BL301" s="32" t="s">
        <v>13</v>
      </c>
      <c r="BM301" s="33">
        <v>46099.531226851854</v>
      </c>
      <c r="BN301" s="32" t="s">
        <v>504</v>
      </c>
      <c r="BO301" s="32" t="s">
        <v>505</v>
      </c>
      <c r="BP301" s="38">
        <v>-1</v>
      </c>
      <c r="BQ301" s="42"/>
      <c r="BR301" s="39">
        <v>-1</v>
      </c>
      <c r="BS301" s="4" t="s">
        <v>221</v>
      </c>
      <c r="BT301" s="4" t="str">
        <f t="shared" si="17"/>
        <v>135</v>
      </c>
      <c r="BU301" s="4" t="str">
        <f t="shared" si="17"/>
        <v>-1</v>
      </c>
      <c r="BV301" s="4">
        <f t="shared" si="18"/>
        <v>7</v>
      </c>
      <c r="BW301" s="29">
        <f t="shared" si="19"/>
        <v>-5000</v>
      </c>
      <c r="BX301" s="4">
        <v>51.49</v>
      </c>
      <c r="BY301" s="29">
        <f t="shared" si="20"/>
        <v>-7.0534246575342463</v>
      </c>
    </row>
    <row r="302" spans="1:77" ht="15" hidden="1" customHeight="1" x14ac:dyDescent="0.35">
      <c r="A302" s="32" t="s">
        <v>217</v>
      </c>
      <c r="B302" s="32" t="s">
        <v>841</v>
      </c>
      <c r="C302" s="32" t="s">
        <v>502</v>
      </c>
      <c r="D302" s="32" t="s">
        <v>418</v>
      </c>
      <c r="E302" s="32" t="s">
        <v>134</v>
      </c>
      <c r="F302" s="32" t="s">
        <v>503</v>
      </c>
      <c r="G302" s="33">
        <v>46099</v>
      </c>
      <c r="H302" s="33">
        <v>46099</v>
      </c>
      <c r="I302" s="33">
        <v>46106</v>
      </c>
      <c r="J302" s="32" t="s">
        <v>11</v>
      </c>
      <c r="K302" s="34">
        <v>2600</v>
      </c>
      <c r="L302" s="34">
        <v>2166.67</v>
      </c>
      <c r="M302" s="34">
        <v>433.33</v>
      </c>
      <c r="N302" s="34">
        <v>0</v>
      </c>
      <c r="O302" s="34">
        <v>0</v>
      </c>
      <c r="P302" s="34">
        <v>2600</v>
      </c>
      <c r="Q302" s="34">
        <v>2600</v>
      </c>
      <c r="R302" s="34">
        <v>2600</v>
      </c>
      <c r="S302" s="34">
        <v>51.008196624826901</v>
      </c>
      <c r="T302" s="34">
        <v>2600</v>
      </c>
      <c r="U302" s="35">
        <v>2600</v>
      </c>
      <c r="V302" s="35">
        <v>0</v>
      </c>
      <c r="W302" s="35">
        <v>0</v>
      </c>
      <c r="X302" s="35">
        <v>0</v>
      </c>
      <c r="Y302" s="35">
        <v>0</v>
      </c>
      <c r="Z302" s="35">
        <v>0</v>
      </c>
      <c r="AA302" s="35">
        <v>0</v>
      </c>
      <c r="AB302" s="35">
        <v>0</v>
      </c>
      <c r="AC302" s="35">
        <v>0</v>
      </c>
      <c r="AD302" s="35">
        <v>0</v>
      </c>
      <c r="AE302" s="35">
        <v>0</v>
      </c>
      <c r="AF302" s="35">
        <v>0</v>
      </c>
      <c r="AG302" s="35">
        <v>0</v>
      </c>
      <c r="AH302" s="35">
        <v>0</v>
      </c>
      <c r="AI302" s="36">
        <v>51.008196624826901</v>
      </c>
      <c r="AJ302" s="36">
        <v>0</v>
      </c>
      <c r="AK302" s="36">
        <v>0</v>
      </c>
      <c r="AL302" s="36">
        <v>0</v>
      </c>
      <c r="AM302" s="36">
        <v>0</v>
      </c>
      <c r="AN302" s="36">
        <v>0</v>
      </c>
      <c r="AO302" s="36">
        <v>0</v>
      </c>
      <c r="AP302" s="36">
        <v>0</v>
      </c>
      <c r="AQ302" s="36">
        <v>0</v>
      </c>
      <c r="AR302" s="36">
        <v>0</v>
      </c>
      <c r="AS302" s="36">
        <v>0</v>
      </c>
      <c r="AT302" s="36">
        <v>0</v>
      </c>
      <c r="AU302" s="36">
        <v>0</v>
      </c>
      <c r="AV302" s="36">
        <v>0</v>
      </c>
      <c r="AW302" s="37">
        <v>2600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2" t="s">
        <v>12</v>
      </c>
      <c r="BL302" s="32" t="s">
        <v>13</v>
      </c>
      <c r="BM302" s="33">
        <v>46099.531550925924</v>
      </c>
      <c r="BN302" s="32" t="s">
        <v>504</v>
      </c>
      <c r="BO302" s="32" t="s">
        <v>505</v>
      </c>
      <c r="BP302" s="38">
        <v>-1</v>
      </c>
      <c r="BQ302" s="42"/>
      <c r="BR302" s="39">
        <v>-1</v>
      </c>
      <c r="BS302" s="4" t="s">
        <v>221</v>
      </c>
      <c r="BT302" s="4" t="str">
        <f t="shared" si="17"/>
        <v>135</v>
      </c>
      <c r="BU302" s="4" t="str">
        <f t="shared" si="17"/>
        <v>-1</v>
      </c>
      <c r="BV302" s="4">
        <f t="shared" si="18"/>
        <v>7</v>
      </c>
      <c r="BW302" s="29">
        <f t="shared" si="19"/>
        <v>-2600</v>
      </c>
      <c r="BX302" s="4">
        <v>51.49</v>
      </c>
      <c r="BY302" s="29">
        <f t="shared" si="20"/>
        <v>-3.6677808219178081</v>
      </c>
    </row>
    <row r="303" spans="1:77" ht="15" hidden="1" customHeight="1" x14ac:dyDescent="0.35">
      <c r="A303" s="32" t="s">
        <v>217</v>
      </c>
      <c r="B303" s="32" t="s">
        <v>842</v>
      </c>
      <c r="C303" s="32" t="s">
        <v>502</v>
      </c>
      <c r="D303" s="32" t="s">
        <v>418</v>
      </c>
      <c r="E303" s="32" t="s">
        <v>134</v>
      </c>
      <c r="F303" s="32" t="s">
        <v>503</v>
      </c>
      <c r="G303" s="33">
        <v>46099</v>
      </c>
      <c r="H303" s="33">
        <v>46099</v>
      </c>
      <c r="I303" s="33">
        <v>46106</v>
      </c>
      <c r="J303" s="32" t="s">
        <v>11</v>
      </c>
      <c r="K303" s="34">
        <v>2600</v>
      </c>
      <c r="L303" s="34">
        <v>2166.67</v>
      </c>
      <c r="M303" s="34">
        <v>433.33</v>
      </c>
      <c r="N303" s="34">
        <v>0</v>
      </c>
      <c r="O303" s="34">
        <v>0</v>
      </c>
      <c r="P303" s="34">
        <v>2600</v>
      </c>
      <c r="Q303" s="34">
        <v>2600</v>
      </c>
      <c r="R303" s="34">
        <v>2600</v>
      </c>
      <c r="S303" s="34">
        <v>51.008196624826901</v>
      </c>
      <c r="T303" s="34">
        <v>2600</v>
      </c>
      <c r="U303" s="35">
        <v>2600</v>
      </c>
      <c r="V303" s="35">
        <v>0</v>
      </c>
      <c r="W303" s="35">
        <v>0</v>
      </c>
      <c r="X303" s="35">
        <v>0</v>
      </c>
      <c r="Y303" s="35">
        <v>0</v>
      </c>
      <c r="Z303" s="35">
        <v>0</v>
      </c>
      <c r="AA303" s="35">
        <v>0</v>
      </c>
      <c r="AB303" s="35">
        <v>0</v>
      </c>
      <c r="AC303" s="35">
        <v>0</v>
      </c>
      <c r="AD303" s="35">
        <v>0</v>
      </c>
      <c r="AE303" s="35">
        <v>0</v>
      </c>
      <c r="AF303" s="35">
        <v>0</v>
      </c>
      <c r="AG303" s="35">
        <v>0</v>
      </c>
      <c r="AH303" s="35">
        <v>0</v>
      </c>
      <c r="AI303" s="36">
        <v>51.008196624826901</v>
      </c>
      <c r="AJ303" s="36">
        <v>0</v>
      </c>
      <c r="AK303" s="36">
        <v>0</v>
      </c>
      <c r="AL303" s="36">
        <v>0</v>
      </c>
      <c r="AM303" s="36">
        <v>0</v>
      </c>
      <c r="AN303" s="36">
        <v>0</v>
      </c>
      <c r="AO303" s="36">
        <v>0</v>
      </c>
      <c r="AP303" s="36">
        <v>0</v>
      </c>
      <c r="AQ303" s="36">
        <v>0</v>
      </c>
      <c r="AR303" s="36">
        <v>0</v>
      </c>
      <c r="AS303" s="36">
        <v>0</v>
      </c>
      <c r="AT303" s="36">
        <v>0</v>
      </c>
      <c r="AU303" s="36">
        <v>0</v>
      </c>
      <c r="AV303" s="36">
        <v>0</v>
      </c>
      <c r="AW303" s="37">
        <v>2600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  <c r="BH303" s="37">
        <v>0</v>
      </c>
      <c r="BI303" s="37">
        <v>0</v>
      </c>
      <c r="BJ303" s="37">
        <v>0</v>
      </c>
      <c r="BK303" s="32" t="s">
        <v>12</v>
      </c>
      <c r="BL303" s="32" t="s">
        <v>13</v>
      </c>
      <c r="BM303" s="33">
        <v>46099.531875000001</v>
      </c>
      <c r="BN303" s="32" t="s">
        <v>504</v>
      </c>
      <c r="BO303" s="32" t="s">
        <v>505</v>
      </c>
      <c r="BP303" s="38">
        <v>-1</v>
      </c>
      <c r="BQ303" s="42"/>
      <c r="BR303" s="39">
        <v>-1</v>
      </c>
      <c r="BS303" s="4" t="s">
        <v>221</v>
      </c>
      <c r="BT303" s="4" t="str">
        <f t="shared" si="17"/>
        <v>135</v>
      </c>
      <c r="BU303" s="4" t="str">
        <f t="shared" si="17"/>
        <v>-1</v>
      </c>
      <c r="BV303" s="4">
        <f t="shared" si="18"/>
        <v>7</v>
      </c>
      <c r="BW303" s="29">
        <f t="shared" si="19"/>
        <v>-2600</v>
      </c>
      <c r="BX303" s="4">
        <v>51.49</v>
      </c>
      <c r="BY303" s="29">
        <f t="shared" si="20"/>
        <v>-3.6677808219178081</v>
      </c>
    </row>
    <row r="304" spans="1:77" ht="15" hidden="1" customHeight="1" x14ac:dyDescent="0.35">
      <c r="A304" s="32" t="s">
        <v>217</v>
      </c>
      <c r="B304" s="32" t="s">
        <v>843</v>
      </c>
      <c r="C304" s="32" t="s">
        <v>502</v>
      </c>
      <c r="D304" s="32" t="s">
        <v>418</v>
      </c>
      <c r="E304" s="32" t="s">
        <v>134</v>
      </c>
      <c r="F304" s="32" t="s">
        <v>503</v>
      </c>
      <c r="G304" s="33">
        <v>46099</v>
      </c>
      <c r="H304" s="33">
        <v>46099</v>
      </c>
      <c r="I304" s="33">
        <v>46106</v>
      </c>
      <c r="J304" s="32" t="s">
        <v>11</v>
      </c>
      <c r="K304" s="34">
        <v>2600</v>
      </c>
      <c r="L304" s="34">
        <v>2166.67</v>
      </c>
      <c r="M304" s="34">
        <v>433.33</v>
      </c>
      <c r="N304" s="34">
        <v>0</v>
      </c>
      <c r="O304" s="34">
        <v>0</v>
      </c>
      <c r="P304" s="34">
        <v>2600</v>
      </c>
      <c r="Q304" s="34">
        <v>2600</v>
      </c>
      <c r="R304" s="34">
        <v>2600</v>
      </c>
      <c r="S304" s="34">
        <v>51.008196624826901</v>
      </c>
      <c r="T304" s="34">
        <v>2600</v>
      </c>
      <c r="U304" s="35">
        <v>2600</v>
      </c>
      <c r="V304" s="35">
        <v>0</v>
      </c>
      <c r="W304" s="35">
        <v>0</v>
      </c>
      <c r="X304" s="35">
        <v>0</v>
      </c>
      <c r="Y304" s="35">
        <v>0</v>
      </c>
      <c r="Z304" s="35">
        <v>0</v>
      </c>
      <c r="AA304" s="35">
        <v>0</v>
      </c>
      <c r="AB304" s="35">
        <v>0</v>
      </c>
      <c r="AC304" s="35">
        <v>0</v>
      </c>
      <c r="AD304" s="35">
        <v>0</v>
      </c>
      <c r="AE304" s="35">
        <v>0</v>
      </c>
      <c r="AF304" s="35">
        <v>0</v>
      </c>
      <c r="AG304" s="35">
        <v>0</v>
      </c>
      <c r="AH304" s="35">
        <v>0</v>
      </c>
      <c r="AI304" s="36">
        <v>51.008196624826901</v>
      </c>
      <c r="AJ304" s="36">
        <v>0</v>
      </c>
      <c r="AK304" s="36">
        <v>0</v>
      </c>
      <c r="AL304" s="36">
        <v>0</v>
      </c>
      <c r="AM304" s="36">
        <v>0</v>
      </c>
      <c r="AN304" s="36">
        <v>0</v>
      </c>
      <c r="AO304" s="36">
        <v>0</v>
      </c>
      <c r="AP304" s="36">
        <v>0</v>
      </c>
      <c r="AQ304" s="36">
        <v>0</v>
      </c>
      <c r="AR304" s="36">
        <v>0</v>
      </c>
      <c r="AS304" s="36">
        <v>0</v>
      </c>
      <c r="AT304" s="36">
        <v>0</v>
      </c>
      <c r="AU304" s="36">
        <v>0</v>
      </c>
      <c r="AV304" s="36">
        <v>0</v>
      </c>
      <c r="AW304" s="37">
        <v>2600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2" t="s">
        <v>12</v>
      </c>
      <c r="BL304" s="32" t="s">
        <v>13</v>
      </c>
      <c r="BM304" s="33">
        <v>46099.532210648147</v>
      </c>
      <c r="BN304" s="32" t="s">
        <v>504</v>
      </c>
      <c r="BO304" s="32" t="s">
        <v>505</v>
      </c>
      <c r="BP304" s="38">
        <v>-1</v>
      </c>
      <c r="BQ304" s="42"/>
      <c r="BR304" s="39">
        <v>-1</v>
      </c>
      <c r="BS304" s="4" t="s">
        <v>221</v>
      </c>
      <c r="BT304" s="4" t="str">
        <f t="shared" si="17"/>
        <v>135</v>
      </c>
      <c r="BU304" s="4" t="str">
        <f t="shared" si="17"/>
        <v>-1</v>
      </c>
      <c r="BV304" s="4">
        <f t="shared" si="18"/>
        <v>7</v>
      </c>
      <c r="BW304" s="29">
        <f t="shared" si="19"/>
        <v>-2600</v>
      </c>
      <c r="BX304" s="4">
        <v>51.49</v>
      </c>
      <c r="BY304" s="29">
        <f t="shared" si="20"/>
        <v>-3.6677808219178081</v>
      </c>
    </row>
    <row r="305" spans="1:77" ht="15" hidden="1" customHeight="1" x14ac:dyDescent="0.35">
      <c r="A305" s="32" t="s">
        <v>217</v>
      </c>
      <c r="B305" s="32" t="s">
        <v>844</v>
      </c>
      <c r="C305" s="32" t="s">
        <v>502</v>
      </c>
      <c r="D305" s="32" t="s">
        <v>418</v>
      </c>
      <c r="E305" s="32" t="s">
        <v>134</v>
      </c>
      <c r="F305" s="32" t="s">
        <v>503</v>
      </c>
      <c r="G305" s="33">
        <v>46099</v>
      </c>
      <c r="H305" s="33">
        <v>46099</v>
      </c>
      <c r="I305" s="33">
        <v>46106</v>
      </c>
      <c r="J305" s="32" t="s">
        <v>11</v>
      </c>
      <c r="K305" s="34">
        <v>2600</v>
      </c>
      <c r="L305" s="34">
        <v>2166.67</v>
      </c>
      <c r="M305" s="34">
        <v>433.33</v>
      </c>
      <c r="N305" s="34">
        <v>0</v>
      </c>
      <c r="O305" s="34">
        <v>0</v>
      </c>
      <c r="P305" s="34">
        <v>2600</v>
      </c>
      <c r="Q305" s="34">
        <v>2600</v>
      </c>
      <c r="R305" s="34">
        <v>2600</v>
      </c>
      <c r="S305" s="34">
        <v>51.008196624826901</v>
      </c>
      <c r="T305" s="34">
        <v>2600</v>
      </c>
      <c r="U305" s="35">
        <v>2600</v>
      </c>
      <c r="V305" s="35">
        <v>0</v>
      </c>
      <c r="W305" s="35">
        <v>0</v>
      </c>
      <c r="X305" s="35">
        <v>0</v>
      </c>
      <c r="Y305" s="35">
        <v>0</v>
      </c>
      <c r="Z305" s="35">
        <v>0</v>
      </c>
      <c r="AA305" s="35">
        <v>0</v>
      </c>
      <c r="AB305" s="35">
        <v>0</v>
      </c>
      <c r="AC305" s="35">
        <v>0</v>
      </c>
      <c r="AD305" s="35">
        <v>0</v>
      </c>
      <c r="AE305" s="35">
        <v>0</v>
      </c>
      <c r="AF305" s="35">
        <v>0</v>
      </c>
      <c r="AG305" s="35">
        <v>0</v>
      </c>
      <c r="AH305" s="35">
        <v>0</v>
      </c>
      <c r="AI305" s="36">
        <v>51.008196624826901</v>
      </c>
      <c r="AJ305" s="36">
        <v>0</v>
      </c>
      <c r="AK305" s="36">
        <v>0</v>
      </c>
      <c r="AL305" s="36">
        <v>0</v>
      </c>
      <c r="AM305" s="36">
        <v>0</v>
      </c>
      <c r="AN305" s="36">
        <v>0</v>
      </c>
      <c r="AO305" s="36">
        <v>0</v>
      </c>
      <c r="AP305" s="36">
        <v>0</v>
      </c>
      <c r="AQ305" s="36">
        <v>0</v>
      </c>
      <c r="AR305" s="36">
        <v>0</v>
      </c>
      <c r="AS305" s="36">
        <v>0</v>
      </c>
      <c r="AT305" s="36">
        <v>0</v>
      </c>
      <c r="AU305" s="36">
        <v>0</v>
      </c>
      <c r="AV305" s="36">
        <v>0</v>
      </c>
      <c r="AW305" s="37">
        <v>2600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D305" s="37">
        <v>0</v>
      </c>
      <c r="BE305" s="37">
        <v>0</v>
      </c>
      <c r="BF305" s="37">
        <v>0</v>
      </c>
      <c r="BG305" s="37">
        <v>0</v>
      </c>
      <c r="BH305" s="37">
        <v>0</v>
      </c>
      <c r="BI305" s="37">
        <v>0</v>
      </c>
      <c r="BJ305" s="37">
        <v>0</v>
      </c>
      <c r="BK305" s="32" t="s">
        <v>12</v>
      </c>
      <c r="BL305" s="32" t="s">
        <v>13</v>
      </c>
      <c r="BM305" s="33">
        <v>46099.532534722224</v>
      </c>
      <c r="BN305" s="32" t="s">
        <v>504</v>
      </c>
      <c r="BO305" s="32" t="s">
        <v>505</v>
      </c>
      <c r="BP305" s="38">
        <v>-1</v>
      </c>
      <c r="BQ305" s="42"/>
      <c r="BR305" s="39">
        <v>-1</v>
      </c>
      <c r="BS305" s="4" t="s">
        <v>221</v>
      </c>
      <c r="BT305" s="4" t="str">
        <f t="shared" si="17"/>
        <v>135</v>
      </c>
      <c r="BU305" s="4" t="str">
        <f t="shared" si="17"/>
        <v>-1</v>
      </c>
      <c r="BV305" s="4">
        <f t="shared" si="18"/>
        <v>7</v>
      </c>
      <c r="BW305" s="29">
        <f t="shared" si="19"/>
        <v>-2600</v>
      </c>
      <c r="BX305" s="4">
        <v>51.49</v>
      </c>
      <c r="BY305" s="29">
        <f t="shared" si="20"/>
        <v>-3.6677808219178081</v>
      </c>
    </row>
    <row r="306" spans="1:77" ht="15" hidden="1" customHeight="1" x14ac:dyDescent="0.35">
      <c r="A306" s="32" t="s">
        <v>217</v>
      </c>
      <c r="B306" s="32" t="s">
        <v>845</v>
      </c>
      <c r="C306" s="32" t="s">
        <v>502</v>
      </c>
      <c r="D306" s="32" t="s">
        <v>418</v>
      </c>
      <c r="E306" s="32" t="s">
        <v>134</v>
      </c>
      <c r="F306" s="32" t="s">
        <v>503</v>
      </c>
      <c r="G306" s="33">
        <v>46099</v>
      </c>
      <c r="H306" s="33">
        <v>46099</v>
      </c>
      <c r="I306" s="33">
        <v>46106</v>
      </c>
      <c r="J306" s="32" t="s">
        <v>11</v>
      </c>
      <c r="K306" s="34">
        <v>2600</v>
      </c>
      <c r="L306" s="34">
        <v>2166.67</v>
      </c>
      <c r="M306" s="34">
        <v>433.33</v>
      </c>
      <c r="N306" s="34">
        <v>0</v>
      </c>
      <c r="O306" s="34">
        <v>0</v>
      </c>
      <c r="P306" s="34">
        <v>2600</v>
      </c>
      <c r="Q306" s="34">
        <v>2600</v>
      </c>
      <c r="R306" s="34">
        <v>2600</v>
      </c>
      <c r="S306" s="34">
        <v>51.008196624826901</v>
      </c>
      <c r="T306" s="34">
        <v>2600</v>
      </c>
      <c r="U306" s="35">
        <v>2600</v>
      </c>
      <c r="V306" s="35">
        <v>0</v>
      </c>
      <c r="W306" s="35">
        <v>0</v>
      </c>
      <c r="X306" s="35">
        <v>0</v>
      </c>
      <c r="Y306" s="35">
        <v>0</v>
      </c>
      <c r="Z306" s="35">
        <v>0</v>
      </c>
      <c r="AA306" s="35">
        <v>0</v>
      </c>
      <c r="AB306" s="35">
        <v>0</v>
      </c>
      <c r="AC306" s="35">
        <v>0</v>
      </c>
      <c r="AD306" s="35">
        <v>0</v>
      </c>
      <c r="AE306" s="35">
        <v>0</v>
      </c>
      <c r="AF306" s="35">
        <v>0</v>
      </c>
      <c r="AG306" s="35">
        <v>0</v>
      </c>
      <c r="AH306" s="35">
        <v>0</v>
      </c>
      <c r="AI306" s="36">
        <v>51.008196624826901</v>
      </c>
      <c r="AJ306" s="36">
        <v>0</v>
      </c>
      <c r="AK306" s="36">
        <v>0</v>
      </c>
      <c r="AL306" s="36">
        <v>0</v>
      </c>
      <c r="AM306" s="36">
        <v>0</v>
      </c>
      <c r="AN306" s="36">
        <v>0</v>
      </c>
      <c r="AO306" s="36">
        <v>0</v>
      </c>
      <c r="AP306" s="36">
        <v>0</v>
      </c>
      <c r="AQ306" s="36">
        <v>0</v>
      </c>
      <c r="AR306" s="36">
        <v>0</v>
      </c>
      <c r="AS306" s="36">
        <v>0</v>
      </c>
      <c r="AT306" s="36">
        <v>0</v>
      </c>
      <c r="AU306" s="36">
        <v>0</v>
      </c>
      <c r="AV306" s="36">
        <v>0</v>
      </c>
      <c r="AW306" s="37">
        <v>2600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2" t="s">
        <v>12</v>
      </c>
      <c r="BL306" s="32" t="s">
        <v>13</v>
      </c>
      <c r="BM306" s="33">
        <v>46099.532858796294</v>
      </c>
      <c r="BN306" s="32" t="s">
        <v>504</v>
      </c>
      <c r="BO306" s="32" t="s">
        <v>505</v>
      </c>
      <c r="BP306" s="38">
        <v>-1</v>
      </c>
      <c r="BQ306" s="42"/>
      <c r="BR306" s="39">
        <v>-1</v>
      </c>
      <c r="BS306" s="4" t="s">
        <v>221</v>
      </c>
      <c r="BT306" s="4" t="str">
        <f t="shared" si="17"/>
        <v>135</v>
      </c>
      <c r="BU306" s="4" t="str">
        <f t="shared" si="17"/>
        <v>-1</v>
      </c>
      <c r="BV306" s="4">
        <f t="shared" si="18"/>
        <v>7</v>
      </c>
      <c r="BW306" s="29">
        <f t="shared" si="19"/>
        <v>-2600</v>
      </c>
      <c r="BX306" s="4">
        <v>51.49</v>
      </c>
      <c r="BY306" s="29">
        <f t="shared" si="20"/>
        <v>-3.6677808219178081</v>
      </c>
    </row>
    <row r="307" spans="1:77" ht="15" hidden="1" customHeight="1" x14ac:dyDescent="0.35">
      <c r="A307" s="32" t="s">
        <v>217</v>
      </c>
      <c r="B307" s="32" t="s">
        <v>846</v>
      </c>
      <c r="C307" s="32" t="s">
        <v>502</v>
      </c>
      <c r="D307" s="32" t="s">
        <v>418</v>
      </c>
      <c r="E307" s="32" t="s">
        <v>134</v>
      </c>
      <c r="F307" s="32" t="s">
        <v>503</v>
      </c>
      <c r="G307" s="33">
        <v>46099</v>
      </c>
      <c r="H307" s="33">
        <v>46099</v>
      </c>
      <c r="I307" s="33">
        <v>46106</v>
      </c>
      <c r="J307" s="32" t="s">
        <v>11</v>
      </c>
      <c r="K307" s="34">
        <v>2600</v>
      </c>
      <c r="L307" s="34">
        <v>2166.67</v>
      </c>
      <c r="M307" s="34">
        <v>433.33</v>
      </c>
      <c r="N307" s="34">
        <v>0</v>
      </c>
      <c r="O307" s="34">
        <v>0</v>
      </c>
      <c r="P307" s="34">
        <v>2600</v>
      </c>
      <c r="Q307" s="34">
        <v>2600</v>
      </c>
      <c r="R307" s="34">
        <v>2600</v>
      </c>
      <c r="S307" s="34">
        <v>51.008196624826901</v>
      </c>
      <c r="T307" s="34">
        <v>2600</v>
      </c>
      <c r="U307" s="35">
        <v>2600</v>
      </c>
      <c r="V307" s="35">
        <v>0</v>
      </c>
      <c r="W307" s="35">
        <v>0</v>
      </c>
      <c r="X307" s="35">
        <v>0</v>
      </c>
      <c r="Y307" s="35">
        <v>0</v>
      </c>
      <c r="Z307" s="35">
        <v>0</v>
      </c>
      <c r="AA307" s="35">
        <v>0</v>
      </c>
      <c r="AB307" s="35">
        <v>0</v>
      </c>
      <c r="AC307" s="35">
        <v>0</v>
      </c>
      <c r="AD307" s="35">
        <v>0</v>
      </c>
      <c r="AE307" s="35">
        <v>0</v>
      </c>
      <c r="AF307" s="35">
        <v>0</v>
      </c>
      <c r="AG307" s="35">
        <v>0</v>
      </c>
      <c r="AH307" s="35">
        <v>0</v>
      </c>
      <c r="AI307" s="36">
        <v>51.008196624826901</v>
      </c>
      <c r="AJ307" s="36">
        <v>0</v>
      </c>
      <c r="AK307" s="36">
        <v>0</v>
      </c>
      <c r="AL307" s="36">
        <v>0</v>
      </c>
      <c r="AM307" s="36">
        <v>0</v>
      </c>
      <c r="AN307" s="36">
        <v>0</v>
      </c>
      <c r="AO307" s="36">
        <v>0</v>
      </c>
      <c r="AP307" s="36">
        <v>0</v>
      </c>
      <c r="AQ307" s="36">
        <v>0</v>
      </c>
      <c r="AR307" s="36">
        <v>0</v>
      </c>
      <c r="AS307" s="36">
        <v>0</v>
      </c>
      <c r="AT307" s="36">
        <v>0</v>
      </c>
      <c r="AU307" s="36">
        <v>0</v>
      </c>
      <c r="AV307" s="36">
        <v>0</v>
      </c>
      <c r="AW307" s="37">
        <v>2600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D307" s="37">
        <v>0</v>
      </c>
      <c r="BE307" s="37">
        <v>0</v>
      </c>
      <c r="BF307" s="37">
        <v>0</v>
      </c>
      <c r="BG307" s="37">
        <v>0</v>
      </c>
      <c r="BH307" s="37">
        <v>0</v>
      </c>
      <c r="BI307" s="37">
        <v>0</v>
      </c>
      <c r="BJ307" s="37">
        <v>0</v>
      </c>
      <c r="BK307" s="32" t="s">
        <v>12</v>
      </c>
      <c r="BL307" s="32" t="s">
        <v>13</v>
      </c>
      <c r="BM307" s="33">
        <v>46099.533182870371</v>
      </c>
      <c r="BN307" s="32" t="s">
        <v>504</v>
      </c>
      <c r="BO307" s="32" t="s">
        <v>505</v>
      </c>
      <c r="BP307" s="38">
        <v>-1</v>
      </c>
      <c r="BQ307" s="42"/>
      <c r="BR307" s="39">
        <v>-1</v>
      </c>
      <c r="BS307" s="4" t="s">
        <v>221</v>
      </c>
      <c r="BT307" s="4" t="str">
        <f t="shared" si="17"/>
        <v>135</v>
      </c>
      <c r="BU307" s="4" t="str">
        <f t="shared" si="17"/>
        <v>-1</v>
      </c>
      <c r="BV307" s="4">
        <f t="shared" si="18"/>
        <v>7</v>
      </c>
      <c r="BW307" s="29">
        <f t="shared" si="19"/>
        <v>-2600</v>
      </c>
      <c r="BX307" s="4">
        <v>51.49</v>
      </c>
      <c r="BY307" s="29">
        <f t="shared" si="20"/>
        <v>-3.6677808219178081</v>
      </c>
    </row>
    <row r="308" spans="1:77" ht="15" hidden="1" customHeight="1" x14ac:dyDescent="0.35">
      <c r="A308" s="32" t="s">
        <v>217</v>
      </c>
      <c r="B308" s="32" t="s">
        <v>847</v>
      </c>
      <c r="C308" s="32" t="s">
        <v>502</v>
      </c>
      <c r="D308" s="32" t="s">
        <v>418</v>
      </c>
      <c r="E308" s="32" t="s">
        <v>134</v>
      </c>
      <c r="F308" s="32" t="s">
        <v>503</v>
      </c>
      <c r="G308" s="33">
        <v>46099</v>
      </c>
      <c r="H308" s="33">
        <v>46099</v>
      </c>
      <c r="I308" s="33">
        <v>46106</v>
      </c>
      <c r="J308" s="32" t="s">
        <v>11</v>
      </c>
      <c r="K308" s="34">
        <v>2600</v>
      </c>
      <c r="L308" s="34">
        <v>2166.67</v>
      </c>
      <c r="M308" s="34">
        <v>433.33</v>
      </c>
      <c r="N308" s="34">
        <v>0</v>
      </c>
      <c r="O308" s="34">
        <v>0</v>
      </c>
      <c r="P308" s="34">
        <v>2600</v>
      </c>
      <c r="Q308" s="34">
        <v>2600</v>
      </c>
      <c r="R308" s="34">
        <v>2600</v>
      </c>
      <c r="S308" s="34">
        <v>51.008196624826901</v>
      </c>
      <c r="T308" s="34">
        <v>2600</v>
      </c>
      <c r="U308" s="35">
        <v>2600</v>
      </c>
      <c r="V308" s="35">
        <v>0</v>
      </c>
      <c r="W308" s="35">
        <v>0</v>
      </c>
      <c r="X308" s="35">
        <v>0</v>
      </c>
      <c r="Y308" s="35">
        <v>0</v>
      </c>
      <c r="Z308" s="35">
        <v>0</v>
      </c>
      <c r="AA308" s="35">
        <v>0</v>
      </c>
      <c r="AB308" s="35">
        <v>0</v>
      </c>
      <c r="AC308" s="35">
        <v>0</v>
      </c>
      <c r="AD308" s="35">
        <v>0</v>
      </c>
      <c r="AE308" s="35">
        <v>0</v>
      </c>
      <c r="AF308" s="35">
        <v>0</v>
      </c>
      <c r="AG308" s="35">
        <v>0</v>
      </c>
      <c r="AH308" s="35">
        <v>0</v>
      </c>
      <c r="AI308" s="36">
        <v>51.008196624826901</v>
      </c>
      <c r="AJ308" s="36">
        <v>0</v>
      </c>
      <c r="AK308" s="36">
        <v>0</v>
      </c>
      <c r="AL308" s="36">
        <v>0</v>
      </c>
      <c r="AM308" s="36">
        <v>0</v>
      </c>
      <c r="AN308" s="36">
        <v>0</v>
      </c>
      <c r="AO308" s="36">
        <v>0</v>
      </c>
      <c r="AP308" s="36">
        <v>0</v>
      </c>
      <c r="AQ308" s="36">
        <v>0</v>
      </c>
      <c r="AR308" s="36">
        <v>0</v>
      </c>
      <c r="AS308" s="36">
        <v>0</v>
      </c>
      <c r="AT308" s="36">
        <v>0</v>
      </c>
      <c r="AU308" s="36">
        <v>0</v>
      </c>
      <c r="AV308" s="36">
        <v>0</v>
      </c>
      <c r="AW308" s="37">
        <v>2600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2" t="s">
        <v>12</v>
      </c>
      <c r="BL308" s="32" t="s">
        <v>13</v>
      </c>
      <c r="BM308" s="33">
        <v>46099.533518518518</v>
      </c>
      <c r="BN308" s="32" t="s">
        <v>504</v>
      </c>
      <c r="BO308" s="32" t="s">
        <v>505</v>
      </c>
      <c r="BP308" s="38">
        <v>-1</v>
      </c>
      <c r="BQ308" s="42"/>
      <c r="BR308" s="39">
        <v>-1</v>
      </c>
      <c r="BS308" s="4" t="s">
        <v>221</v>
      </c>
      <c r="BT308" s="4" t="str">
        <f t="shared" si="17"/>
        <v>135</v>
      </c>
      <c r="BU308" s="4" t="str">
        <f t="shared" si="17"/>
        <v>-1</v>
      </c>
      <c r="BV308" s="4">
        <f t="shared" si="18"/>
        <v>7</v>
      </c>
      <c r="BW308" s="29">
        <f t="shared" si="19"/>
        <v>-2600</v>
      </c>
      <c r="BX308" s="4">
        <v>51.49</v>
      </c>
      <c r="BY308" s="29">
        <f t="shared" si="20"/>
        <v>-3.6677808219178081</v>
      </c>
    </row>
    <row r="309" spans="1:77" ht="15" hidden="1" customHeight="1" x14ac:dyDescent="0.35">
      <c r="A309" s="32" t="s">
        <v>217</v>
      </c>
      <c r="B309" s="32" t="s">
        <v>848</v>
      </c>
      <c r="C309" s="32" t="s">
        <v>502</v>
      </c>
      <c r="D309" s="32" t="s">
        <v>418</v>
      </c>
      <c r="E309" s="32" t="s">
        <v>134</v>
      </c>
      <c r="F309" s="32" t="s">
        <v>503</v>
      </c>
      <c r="G309" s="33">
        <v>46099</v>
      </c>
      <c r="H309" s="33">
        <v>46099</v>
      </c>
      <c r="I309" s="33">
        <v>46106</v>
      </c>
      <c r="J309" s="32" t="s">
        <v>11</v>
      </c>
      <c r="K309" s="34">
        <v>2600</v>
      </c>
      <c r="L309" s="34">
        <v>2166.67</v>
      </c>
      <c r="M309" s="34">
        <v>433.33</v>
      </c>
      <c r="N309" s="34">
        <v>0</v>
      </c>
      <c r="O309" s="34">
        <v>0</v>
      </c>
      <c r="P309" s="34">
        <v>2600</v>
      </c>
      <c r="Q309" s="34">
        <v>2600</v>
      </c>
      <c r="R309" s="34">
        <v>2600</v>
      </c>
      <c r="S309" s="34">
        <v>51.008196624826901</v>
      </c>
      <c r="T309" s="34">
        <v>2600</v>
      </c>
      <c r="U309" s="35">
        <v>2600</v>
      </c>
      <c r="V309" s="35">
        <v>0</v>
      </c>
      <c r="W309" s="35">
        <v>0</v>
      </c>
      <c r="X309" s="35">
        <v>0</v>
      </c>
      <c r="Y309" s="35">
        <v>0</v>
      </c>
      <c r="Z309" s="35">
        <v>0</v>
      </c>
      <c r="AA309" s="35">
        <v>0</v>
      </c>
      <c r="AB309" s="35">
        <v>0</v>
      </c>
      <c r="AC309" s="35">
        <v>0</v>
      </c>
      <c r="AD309" s="35">
        <v>0</v>
      </c>
      <c r="AE309" s="35">
        <v>0</v>
      </c>
      <c r="AF309" s="35">
        <v>0</v>
      </c>
      <c r="AG309" s="35">
        <v>0</v>
      </c>
      <c r="AH309" s="35">
        <v>0</v>
      </c>
      <c r="AI309" s="36">
        <v>51.008196624826901</v>
      </c>
      <c r="AJ309" s="36">
        <v>0</v>
      </c>
      <c r="AK309" s="36">
        <v>0</v>
      </c>
      <c r="AL309" s="36">
        <v>0</v>
      </c>
      <c r="AM309" s="36">
        <v>0</v>
      </c>
      <c r="AN309" s="36">
        <v>0</v>
      </c>
      <c r="AO309" s="36">
        <v>0</v>
      </c>
      <c r="AP309" s="36">
        <v>0</v>
      </c>
      <c r="AQ309" s="36">
        <v>0</v>
      </c>
      <c r="AR309" s="36">
        <v>0</v>
      </c>
      <c r="AS309" s="36">
        <v>0</v>
      </c>
      <c r="AT309" s="36">
        <v>0</v>
      </c>
      <c r="AU309" s="36">
        <v>0</v>
      </c>
      <c r="AV309" s="36">
        <v>0</v>
      </c>
      <c r="AW309" s="37">
        <v>2600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D309" s="37">
        <v>0</v>
      </c>
      <c r="BE309" s="37">
        <v>0</v>
      </c>
      <c r="BF309" s="37">
        <v>0</v>
      </c>
      <c r="BG309" s="37">
        <v>0</v>
      </c>
      <c r="BH309" s="37">
        <v>0</v>
      </c>
      <c r="BI309" s="37">
        <v>0</v>
      </c>
      <c r="BJ309" s="37">
        <v>0</v>
      </c>
      <c r="BK309" s="32" t="s">
        <v>12</v>
      </c>
      <c r="BL309" s="32" t="s">
        <v>13</v>
      </c>
      <c r="BM309" s="33">
        <v>46099.533842592595</v>
      </c>
      <c r="BN309" s="32" t="s">
        <v>504</v>
      </c>
      <c r="BO309" s="32" t="s">
        <v>505</v>
      </c>
      <c r="BP309" s="38">
        <v>-1</v>
      </c>
      <c r="BQ309" s="42"/>
      <c r="BR309" s="39">
        <v>-1</v>
      </c>
      <c r="BS309" s="4" t="s">
        <v>221</v>
      </c>
      <c r="BT309" s="4" t="str">
        <f t="shared" si="17"/>
        <v>135</v>
      </c>
      <c r="BU309" s="4" t="str">
        <f t="shared" si="17"/>
        <v>-1</v>
      </c>
      <c r="BV309" s="4">
        <f t="shared" si="18"/>
        <v>7</v>
      </c>
      <c r="BW309" s="29">
        <f t="shared" si="19"/>
        <v>-2600</v>
      </c>
      <c r="BX309" s="4">
        <v>51.49</v>
      </c>
      <c r="BY309" s="29">
        <f t="shared" si="20"/>
        <v>-3.6677808219178081</v>
      </c>
    </row>
    <row r="310" spans="1:77" ht="15" hidden="1" customHeight="1" x14ac:dyDescent="0.35">
      <c r="A310" s="32" t="s">
        <v>217</v>
      </c>
      <c r="B310" s="32" t="s">
        <v>849</v>
      </c>
      <c r="C310" s="32" t="s">
        <v>502</v>
      </c>
      <c r="D310" s="32" t="s">
        <v>418</v>
      </c>
      <c r="E310" s="32" t="s">
        <v>134</v>
      </c>
      <c r="F310" s="32" t="s">
        <v>503</v>
      </c>
      <c r="G310" s="33">
        <v>46099</v>
      </c>
      <c r="H310" s="33">
        <v>46099</v>
      </c>
      <c r="I310" s="33">
        <v>46106</v>
      </c>
      <c r="J310" s="32" t="s">
        <v>11</v>
      </c>
      <c r="K310" s="34">
        <v>2600</v>
      </c>
      <c r="L310" s="34">
        <v>2166.67</v>
      </c>
      <c r="M310" s="34">
        <v>433.33</v>
      </c>
      <c r="N310" s="34">
        <v>0</v>
      </c>
      <c r="O310" s="34">
        <v>0</v>
      </c>
      <c r="P310" s="34">
        <v>2600</v>
      </c>
      <c r="Q310" s="34">
        <v>2600</v>
      </c>
      <c r="R310" s="34">
        <v>2600</v>
      </c>
      <c r="S310" s="34">
        <v>51.008196624826901</v>
      </c>
      <c r="T310" s="34">
        <v>2600</v>
      </c>
      <c r="U310" s="35">
        <v>2600</v>
      </c>
      <c r="V310" s="35">
        <v>0</v>
      </c>
      <c r="W310" s="35">
        <v>0</v>
      </c>
      <c r="X310" s="35">
        <v>0</v>
      </c>
      <c r="Y310" s="35">
        <v>0</v>
      </c>
      <c r="Z310" s="35">
        <v>0</v>
      </c>
      <c r="AA310" s="35">
        <v>0</v>
      </c>
      <c r="AB310" s="35">
        <v>0</v>
      </c>
      <c r="AC310" s="35">
        <v>0</v>
      </c>
      <c r="AD310" s="35">
        <v>0</v>
      </c>
      <c r="AE310" s="35">
        <v>0</v>
      </c>
      <c r="AF310" s="35">
        <v>0</v>
      </c>
      <c r="AG310" s="35">
        <v>0</v>
      </c>
      <c r="AH310" s="35">
        <v>0</v>
      </c>
      <c r="AI310" s="36">
        <v>51.008196624826901</v>
      </c>
      <c r="AJ310" s="36">
        <v>0</v>
      </c>
      <c r="AK310" s="36">
        <v>0</v>
      </c>
      <c r="AL310" s="36">
        <v>0</v>
      </c>
      <c r="AM310" s="36">
        <v>0</v>
      </c>
      <c r="AN310" s="36">
        <v>0</v>
      </c>
      <c r="AO310" s="36">
        <v>0</v>
      </c>
      <c r="AP310" s="36">
        <v>0</v>
      </c>
      <c r="AQ310" s="36">
        <v>0</v>
      </c>
      <c r="AR310" s="36">
        <v>0</v>
      </c>
      <c r="AS310" s="36">
        <v>0</v>
      </c>
      <c r="AT310" s="36">
        <v>0</v>
      </c>
      <c r="AU310" s="36">
        <v>0</v>
      </c>
      <c r="AV310" s="36">
        <v>0</v>
      </c>
      <c r="AW310" s="37">
        <v>2600</v>
      </c>
      <c r="AX310" s="37">
        <v>0</v>
      </c>
      <c r="AY310" s="37"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2" t="s">
        <v>12</v>
      </c>
      <c r="BL310" s="32" t="s">
        <v>13</v>
      </c>
      <c r="BM310" s="33">
        <v>46099.534166666665</v>
      </c>
      <c r="BN310" s="32" t="s">
        <v>504</v>
      </c>
      <c r="BO310" s="32" t="s">
        <v>505</v>
      </c>
      <c r="BP310" s="38">
        <v>-1</v>
      </c>
      <c r="BQ310" s="42"/>
      <c r="BR310" s="39">
        <v>-1</v>
      </c>
      <c r="BS310" s="4" t="s">
        <v>221</v>
      </c>
      <c r="BT310" s="4" t="str">
        <f t="shared" si="17"/>
        <v>135</v>
      </c>
      <c r="BU310" s="4" t="str">
        <f t="shared" si="17"/>
        <v>-1</v>
      </c>
      <c r="BV310" s="4">
        <f t="shared" si="18"/>
        <v>7</v>
      </c>
      <c r="BW310" s="29">
        <f t="shared" si="19"/>
        <v>-2600</v>
      </c>
      <c r="BX310" s="4">
        <v>51.49</v>
      </c>
      <c r="BY310" s="29">
        <f t="shared" si="20"/>
        <v>-3.6677808219178081</v>
      </c>
    </row>
    <row r="311" spans="1:77" ht="15" hidden="1" customHeight="1" x14ac:dyDescent="0.35">
      <c r="A311" s="32" t="s">
        <v>217</v>
      </c>
      <c r="B311" s="32" t="s">
        <v>850</v>
      </c>
      <c r="C311" s="32" t="s">
        <v>502</v>
      </c>
      <c r="D311" s="32" t="s">
        <v>418</v>
      </c>
      <c r="E311" s="32" t="s">
        <v>134</v>
      </c>
      <c r="F311" s="32" t="s">
        <v>503</v>
      </c>
      <c r="G311" s="33">
        <v>46099</v>
      </c>
      <c r="H311" s="33">
        <v>46099</v>
      </c>
      <c r="I311" s="33">
        <v>46106</v>
      </c>
      <c r="J311" s="32" t="s">
        <v>11</v>
      </c>
      <c r="K311" s="34">
        <v>2600</v>
      </c>
      <c r="L311" s="34">
        <v>2166.67</v>
      </c>
      <c r="M311" s="34">
        <v>433.33</v>
      </c>
      <c r="N311" s="34">
        <v>0</v>
      </c>
      <c r="O311" s="34">
        <v>0</v>
      </c>
      <c r="P311" s="34">
        <v>2600</v>
      </c>
      <c r="Q311" s="34">
        <v>2600</v>
      </c>
      <c r="R311" s="34">
        <v>2600</v>
      </c>
      <c r="S311" s="34">
        <v>51.008196624826901</v>
      </c>
      <c r="T311" s="34">
        <v>2600</v>
      </c>
      <c r="U311" s="35">
        <v>2600</v>
      </c>
      <c r="V311" s="35">
        <v>0</v>
      </c>
      <c r="W311" s="35">
        <v>0</v>
      </c>
      <c r="X311" s="35">
        <v>0</v>
      </c>
      <c r="Y311" s="35">
        <v>0</v>
      </c>
      <c r="Z311" s="35">
        <v>0</v>
      </c>
      <c r="AA311" s="35">
        <v>0</v>
      </c>
      <c r="AB311" s="35">
        <v>0</v>
      </c>
      <c r="AC311" s="35">
        <v>0</v>
      </c>
      <c r="AD311" s="35">
        <v>0</v>
      </c>
      <c r="AE311" s="35">
        <v>0</v>
      </c>
      <c r="AF311" s="35">
        <v>0</v>
      </c>
      <c r="AG311" s="35">
        <v>0</v>
      </c>
      <c r="AH311" s="35">
        <v>0</v>
      </c>
      <c r="AI311" s="36">
        <v>51.008196624826901</v>
      </c>
      <c r="AJ311" s="36">
        <v>0</v>
      </c>
      <c r="AK311" s="36">
        <v>0</v>
      </c>
      <c r="AL311" s="36">
        <v>0</v>
      </c>
      <c r="AM311" s="36">
        <v>0</v>
      </c>
      <c r="AN311" s="36">
        <v>0</v>
      </c>
      <c r="AO311" s="36">
        <v>0</v>
      </c>
      <c r="AP311" s="36">
        <v>0</v>
      </c>
      <c r="AQ311" s="36">
        <v>0</v>
      </c>
      <c r="AR311" s="36">
        <v>0</v>
      </c>
      <c r="AS311" s="36">
        <v>0</v>
      </c>
      <c r="AT311" s="36">
        <v>0</v>
      </c>
      <c r="AU311" s="36">
        <v>0</v>
      </c>
      <c r="AV311" s="36">
        <v>0</v>
      </c>
      <c r="AW311" s="37">
        <v>2600</v>
      </c>
      <c r="AX311" s="37">
        <v>0</v>
      </c>
      <c r="AY311" s="37">
        <v>0</v>
      </c>
      <c r="AZ311" s="37">
        <v>0</v>
      </c>
      <c r="BA311" s="37">
        <v>0</v>
      </c>
      <c r="BB311" s="37">
        <v>0</v>
      </c>
      <c r="BC311" s="37">
        <v>0</v>
      </c>
      <c r="BD311" s="37">
        <v>0</v>
      </c>
      <c r="BE311" s="37">
        <v>0</v>
      </c>
      <c r="BF311" s="37">
        <v>0</v>
      </c>
      <c r="BG311" s="37">
        <v>0</v>
      </c>
      <c r="BH311" s="37">
        <v>0</v>
      </c>
      <c r="BI311" s="37">
        <v>0</v>
      </c>
      <c r="BJ311" s="37">
        <v>0</v>
      </c>
      <c r="BK311" s="32" t="s">
        <v>12</v>
      </c>
      <c r="BL311" s="32" t="s">
        <v>13</v>
      </c>
      <c r="BM311" s="33">
        <v>46099.534490740742</v>
      </c>
      <c r="BN311" s="32" t="s">
        <v>504</v>
      </c>
      <c r="BO311" s="32" t="s">
        <v>505</v>
      </c>
      <c r="BP311" s="38">
        <v>-1</v>
      </c>
      <c r="BQ311" s="42"/>
      <c r="BR311" s="39">
        <v>-1</v>
      </c>
      <c r="BS311" s="4" t="s">
        <v>221</v>
      </c>
      <c r="BT311" s="4" t="str">
        <f t="shared" si="17"/>
        <v>135</v>
      </c>
      <c r="BU311" s="4" t="str">
        <f t="shared" si="17"/>
        <v>-1</v>
      </c>
      <c r="BV311" s="4">
        <f t="shared" si="18"/>
        <v>7</v>
      </c>
      <c r="BW311" s="29">
        <f t="shared" si="19"/>
        <v>-2600</v>
      </c>
      <c r="BX311" s="4">
        <v>51.49</v>
      </c>
      <c r="BY311" s="29">
        <f t="shared" si="20"/>
        <v>-3.6677808219178081</v>
      </c>
    </row>
    <row r="312" spans="1:77" ht="15" hidden="1" customHeight="1" x14ac:dyDescent="0.35">
      <c r="A312" s="32" t="s">
        <v>217</v>
      </c>
      <c r="B312" s="32" t="s">
        <v>851</v>
      </c>
      <c r="C312" s="32" t="s">
        <v>16</v>
      </c>
      <c r="D312" s="32" t="s">
        <v>59</v>
      </c>
      <c r="E312" s="32" t="s">
        <v>60</v>
      </c>
      <c r="F312" s="32" t="s">
        <v>61</v>
      </c>
      <c r="G312" s="33">
        <v>46099</v>
      </c>
      <c r="H312" s="33">
        <v>46099</v>
      </c>
      <c r="I312" s="33">
        <v>46159</v>
      </c>
      <c r="J312" s="32" t="s">
        <v>11</v>
      </c>
      <c r="K312" s="34">
        <v>97025.76</v>
      </c>
      <c r="L312" s="34">
        <v>95123.29</v>
      </c>
      <c r="M312" s="34">
        <v>1902.47</v>
      </c>
      <c r="N312" s="34">
        <v>0</v>
      </c>
      <c r="O312" s="34">
        <v>0</v>
      </c>
      <c r="P312" s="34">
        <v>97025.76</v>
      </c>
      <c r="Q312" s="34">
        <v>97025.76</v>
      </c>
      <c r="R312" s="34">
        <v>97025.76</v>
      </c>
      <c r="S312" s="34">
        <v>1903.5034783666399</v>
      </c>
      <c r="T312" s="34">
        <v>97025.76</v>
      </c>
      <c r="U312" s="35">
        <v>0</v>
      </c>
      <c r="V312" s="35">
        <v>0</v>
      </c>
      <c r="W312" s="35">
        <v>97025.76</v>
      </c>
      <c r="X312" s="35">
        <v>0</v>
      </c>
      <c r="Y312" s="35">
        <v>0</v>
      </c>
      <c r="Z312" s="35">
        <v>0</v>
      </c>
      <c r="AA312" s="35">
        <v>0</v>
      </c>
      <c r="AB312" s="35">
        <v>0</v>
      </c>
      <c r="AC312" s="35">
        <v>0</v>
      </c>
      <c r="AD312" s="35">
        <v>0</v>
      </c>
      <c r="AE312" s="35">
        <v>0</v>
      </c>
      <c r="AF312" s="35">
        <v>0</v>
      </c>
      <c r="AG312" s="35">
        <v>0</v>
      </c>
      <c r="AH312" s="35">
        <v>0</v>
      </c>
      <c r="AI312" s="36">
        <v>0</v>
      </c>
      <c r="AJ312" s="36">
        <v>0</v>
      </c>
      <c r="AK312" s="36">
        <v>1903.5034783666399</v>
      </c>
      <c r="AL312" s="36">
        <v>0</v>
      </c>
      <c r="AM312" s="36">
        <v>0</v>
      </c>
      <c r="AN312" s="36">
        <v>0</v>
      </c>
      <c r="AO312" s="36">
        <v>0</v>
      </c>
      <c r="AP312" s="36">
        <v>0</v>
      </c>
      <c r="AQ312" s="36">
        <v>0</v>
      </c>
      <c r="AR312" s="36">
        <v>0</v>
      </c>
      <c r="AS312" s="36">
        <v>0</v>
      </c>
      <c r="AT312" s="36">
        <v>0</v>
      </c>
      <c r="AU312" s="36">
        <v>0</v>
      </c>
      <c r="AV312" s="36">
        <v>0</v>
      </c>
      <c r="AW312" s="37">
        <v>0</v>
      </c>
      <c r="AX312" s="37">
        <v>0</v>
      </c>
      <c r="AY312" s="37">
        <v>97025.76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2" t="s">
        <v>12</v>
      </c>
      <c r="BL312" s="32" t="s">
        <v>13</v>
      </c>
      <c r="BM312" s="33">
        <v>46099.537141203706</v>
      </c>
      <c r="BN312" s="32" t="s">
        <v>28</v>
      </c>
      <c r="BO312" s="32" t="s">
        <v>29</v>
      </c>
      <c r="BP312" s="38">
        <v>-54</v>
      </c>
      <c r="BQ312" s="42"/>
      <c r="BR312" s="39">
        <v>-54</v>
      </c>
      <c r="BS312" s="4" t="s">
        <v>221</v>
      </c>
      <c r="BT312" s="4" t="str">
        <f t="shared" si="17"/>
        <v>120</v>
      </c>
      <c r="BU312" s="4" t="str">
        <f t="shared" si="17"/>
        <v>-54</v>
      </c>
      <c r="BV312" s="4">
        <f t="shared" si="18"/>
        <v>60</v>
      </c>
      <c r="BW312" s="29">
        <f t="shared" si="19"/>
        <v>-5239391.04</v>
      </c>
      <c r="BX312" s="4">
        <v>51.49</v>
      </c>
      <c r="BY312" s="29">
        <f t="shared" si="20"/>
        <v>-7391.1299904000007</v>
      </c>
    </row>
    <row r="313" spans="1:77" ht="15" hidden="1" customHeight="1" x14ac:dyDescent="0.35">
      <c r="A313" s="32" t="s">
        <v>217</v>
      </c>
      <c r="B313" s="32" t="s">
        <v>852</v>
      </c>
      <c r="C313" s="32" t="s">
        <v>16</v>
      </c>
      <c r="D313" s="32" t="s">
        <v>346</v>
      </c>
      <c r="E313" s="32" t="s">
        <v>347</v>
      </c>
      <c r="F313" s="32" t="s">
        <v>46</v>
      </c>
      <c r="G313" s="33">
        <v>46104</v>
      </c>
      <c r="H313" s="33">
        <v>46104</v>
      </c>
      <c r="I313" s="33">
        <v>46164</v>
      </c>
      <c r="J313" s="32" t="s">
        <v>11</v>
      </c>
      <c r="K313" s="34">
        <v>532643.43000000005</v>
      </c>
      <c r="L313" s="34">
        <v>522199.44</v>
      </c>
      <c r="M313" s="34">
        <v>10443.99</v>
      </c>
      <c r="N313" s="34">
        <v>0</v>
      </c>
      <c r="O313" s="34">
        <v>0</v>
      </c>
      <c r="P313" s="34">
        <v>532643.43000000005</v>
      </c>
      <c r="Q313" s="34">
        <v>532643.43000000005</v>
      </c>
      <c r="R313" s="34">
        <v>532643.43000000005</v>
      </c>
      <c r="S313" s="34">
        <v>10449.684926293199</v>
      </c>
      <c r="T313" s="34">
        <v>532643.43000000005</v>
      </c>
      <c r="U313" s="35">
        <v>0</v>
      </c>
      <c r="V313" s="35">
        <v>0</v>
      </c>
      <c r="W313" s="35">
        <v>532643.43000000005</v>
      </c>
      <c r="X313" s="35">
        <v>0</v>
      </c>
      <c r="Y313" s="35">
        <v>0</v>
      </c>
      <c r="Z313" s="35">
        <v>0</v>
      </c>
      <c r="AA313" s="35">
        <v>0</v>
      </c>
      <c r="AB313" s="35">
        <v>0</v>
      </c>
      <c r="AC313" s="35">
        <v>0</v>
      </c>
      <c r="AD313" s="35">
        <v>0</v>
      </c>
      <c r="AE313" s="35">
        <v>0</v>
      </c>
      <c r="AF313" s="35">
        <v>0</v>
      </c>
      <c r="AG313" s="35">
        <v>0</v>
      </c>
      <c r="AH313" s="35">
        <v>0</v>
      </c>
      <c r="AI313" s="36">
        <v>0</v>
      </c>
      <c r="AJ313" s="36">
        <v>0</v>
      </c>
      <c r="AK313" s="36">
        <v>10449.684926293199</v>
      </c>
      <c r="AL313" s="36">
        <v>0</v>
      </c>
      <c r="AM313" s="36">
        <v>0</v>
      </c>
      <c r="AN313" s="36">
        <v>0</v>
      </c>
      <c r="AO313" s="36">
        <v>0</v>
      </c>
      <c r="AP313" s="36">
        <v>0</v>
      </c>
      <c r="AQ313" s="36">
        <v>0</v>
      </c>
      <c r="AR313" s="36">
        <v>0</v>
      </c>
      <c r="AS313" s="36">
        <v>0</v>
      </c>
      <c r="AT313" s="36">
        <v>0</v>
      </c>
      <c r="AU313" s="36">
        <v>0</v>
      </c>
      <c r="AV313" s="36">
        <v>0</v>
      </c>
      <c r="AW313" s="37">
        <v>0</v>
      </c>
      <c r="AX313" s="37">
        <v>0</v>
      </c>
      <c r="AY313" s="37">
        <v>532643.43000000005</v>
      </c>
      <c r="AZ313" s="37">
        <v>0</v>
      </c>
      <c r="BA313" s="37">
        <v>0</v>
      </c>
      <c r="BB313" s="37">
        <v>0</v>
      </c>
      <c r="BC313" s="37">
        <v>0</v>
      </c>
      <c r="BD313" s="37">
        <v>0</v>
      </c>
      <c r="BE313" s="37">
        <v>0</v>
      </c>
      <c r="BF313" s="37">
        <v>0</v>
      </c>
      <c r="BG313" s="37">
        <v>0</v>
      </c>
      <c r="BH313" s="37">
        <v>0</v>
      </c>
      <c r="BI313" s="37">
        <v>0</v>
      </c>
      <c r="BJ313" s="37">
        <v>0</v>
      </c>
      <c r="BK313" s="32" t="s">
        <v>12</v>
      </c>
      <c r="BL313" s="32" t="s">
        <v>13</v>
      </c>
      <c r="BM313" s="33">
        <v>46100.529976851853</v>
      </c>
      <c r="BN313" s="32" t="s">
        <v>28</v>
      </c>
      <c r="BO313" s="32" t="s">
        <v>29</v>
      </c>
      <c r="BP313" s="38">
        <v>-59</v>
      </c>
      <c r="BQ313" s="42"/>
      <c r="BR313" s="39">
        <v>-59</v>
      </c>
      <c r="BS313" s="4" t="s">
        <v>221</v>
      </c>
      <c r="BT313" s="4" t="str">
        <f t="shared" si="17"/>
        <v>120</v>
      </c>
      <c r="BU313" s="4" t="str">
        <f t="shared" si="17"/>
        <v>-59</v>
      </c>
      <c r="BV313" s="4">
        <f t="shared" si="18"/>
        <v>60</v>
      </c>
      <c r="BW313" s="29">
        <f t="shared" si="19"/>
        <v>-31425962.370000005</v>
      </c>
      <c r="BX313" s="4">
        <v>51.49</v>
      </c>
      <c r="BY313" s="29">
        <f t="shared" si="20"/>
        <v>-44332.131573460283</v>
      </c>
    </row>
    <row r="314" spans="1:77" ht="15" hidden="1" customHeight="1" x14ac:dyDescent="0.35">
      <c r="A314" s="32" t="s">
        <v>217</v>
      </c>
      <c r="B314" s="32" t="s">
        <v>853</v>
      </c>
      <c r="C314" s="32" t="s">
        <v>16</v>
      </c>
      <c r="D314" s="32" t="s">
        <v>348</v>
      </c>
      <c r="E314" s="32" t="s">
        <v>349</v>
      </c>
      <c r="F314" s="32" t="s">
        <v>46</v>
      </c>
      <c r="G314" s="33">
        <v>46104</v>
      </c>
      <c r="H314" s="33">
        <v>46104</v>
      </c>
      <c r="I314" s="33">
        <v>46149</v>
      </c>
      <c r="J314" s="32" t="s">
        <v>11</v>
      </c>
      <c r="K314" s="34">
        <v>36183.08</v>
      </c>
      <c r="L314" s="34">
        <v>35473.61</v>
      </c>
      <c r="M314" s="34">
        <v>709.47</v>
      </c>
      <c r="N314" s="34">
        <v>0</v>
      </c>
      <c r="O314" s="34">
        <v>0</v>
      </c>
      <c r="P314" s="34">
        <v>36183.08</v>
      </c>
      <c r="Q314" s="34">
        <v>36183.08</v>
      </c>
      <c r="R314" s="34">
        <v>36183.08</v>
      </c>
      <c r="S314" s="34">
        <v>709.85909966609199</v>
      </c>
      <c r="T314" s="34">
        <v>36183.08</v>
      </c>
      <c r="U314" s="35">
        <v>0</v>
      </c>
      <c r="V314" s="35">
        <v>0</v>
      </c>
      <c r="W314" s="35">
        <v>36183.08</v>
      </c>
      <c r="X314" s="35">
        <v>0</v>
      </c>
      <c r="Y314" s="35">
        <v>0</v>
      </c>
      <c r="Z314" s="35">
        <v>0</v>
      </c>
      <c r="AA314" s="35">
        <v>0</v>
      </c>
      <c r="AB314" s="35">
        <v>0</v>
      </c>
      <c r="AC314" s="35">
        <v>0</v>
      </c>
      <c r="AD314" s="35">
        <v>0</v>
      </c>
      <c r="AE314" s="35">
        <v>0</v>
      </c>
      <c r="AF314" s="35">
        <v>0</v>
      </c>
      <c r="AG314" s="35">
        <v>0</v>
      </c>
      <c r="AH314" s="35">
        <v>0</v>
      </c>
      <c r="AI314" s="36">
        <v>0</v>
      </c>
      <c r="AJ314" s="36">
        <v>0</v>
      </c>
      <c r="AK314" s="36">
        <v>709.85909966609199</v>
      </c>
      <c r="AL314" s="36">
        <v>0</v>
      </c>
      <c r="AM314" s="36">
        <v>0</v>
      </c>
      <c r="AN314" s="36">
        <v>0</v>
      </c>
      <c r="AO314" s="36">
        <v>0</v>
      </c>
      <c r="AP314" s="36">
        <v>0</v>
      </c>
      <c r="AQ314" s="36">
        <v>0</v>
      </c>
      <c r="AR314" s="36">
        <v>0</v>
      </c>
      <c r="AS314" s="36">
        <v>0</v>
      </c>
      <c r="AT314" s="36">
        <v>0</v>
      </c>
      <c r="AU314" s="36">
        <v>0</v>
      </c>
      <c r="AV314" s="36">
        <v>0</v>
      </c>
      <c r="AW314" s="37">
        <v>0</v>
      </c>
      <c r="AX314" s="37">
        <v>0</v>
      </c>
      <c r="AY314" s="37">
        <v>36183.08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2" t="s">
        <v>12</v>
      </c>
      <c r="BL314" s="32" t="s">
        <v>13</v>
      </c>
      <c r="BM314" s="33">
        <v>46100.536828703705</v>
      </c>
      <c r="BN314" s="32" t="s">
        <v>28</v>
      </c>
      <c r="BO314" s="32" t="s">
        <v>29</v>
      </c>
      <c r="BP314" s="38">
        <v>-44</v>
      </c>
      <c r="BQ314" s="42"/>
      <c r="BR314" s="39">
        <v>-44</v>
      </c>
      <c r="BS314" s="4" t="s">
        <v>221</v>
      </c>
      <c r="BT314" s="4" t="str">
        <f t="shared" si="17"/>
        <v>120</v>
      </c>
      <c r="BU314" s="4" t="str">
        <f t="shared" si="17"/>
        <v>-44</v>
      </c>
      <c r="BV314" s="4">
        <f t="shared" si="18"/>
        <v>45</v>
      </c>
      <c r="BW314" s="29">
        <f t="shared" si="19"/>
        <v>-1592055.52</v>
      </c>
      <c r="BX314" s="4">
        <v>51.49</v>
      </c>
      <c r="BY314" s="29">
        <f t="shared" si="20"/>
        <v>-2245.8887321863017</v>
      </c>
    </row>
    <row r="315" spans="1:77" ht="15" hidden="1" customHeight="1" x14ac:dyDescent="0.35">
      <c r="A315" s="32" t="s">
        <v>217</v>
      </c>
      <c r="B315" s="32" t="s">
        <v>854</v>
      </c>
      <c r="C315" s="32" t="s">
        <v>16</v>
      </c>
      <c r="D315" s="32" t="s">
        <v>630</v>
      </c>
      <c r="E315" s="32" t="s">
        <v>113</v>
      </c>
      <c r="F315" s="32" t="s">
        <v>631</v>
      </c>
      <c r="G315" s="33">
        <v>46104</v>
      </c>
      <c r="H315" s="33">
        <v>46104</v>
      </c>
      <c r="I315" s="33">
        <v>46111</v>
      </c>
      <c r="J315" s="32" t="s">
        <v>11</v>
      </c>
      <c r="K315" s="34">
        <v>23895.37</v>
      </c>
      <c r="L315" s="34">
        <v>19912.810000000001</v>
      </c>
      <c r="M315" s="34">
        <v>3982.56</v>
      </c>
      <c r="N315" s="34">
        <v>0</v>
      </c>
      <c r="O315" s="34">
        <v>0</v>
      </c>
      <c r="P315" s="34">
        <v>23895.37</v>
      </c>
      <c r="Q315" s="34">
        <v>23895.37</v>
      </c>
      <c r="R315" s="34">
        <v>23895.37</v>
      </c>
      <c r="S315" s="34">
        <v>468.792204378073</v>
      </c>
      <c r="T315" s="34">
        <v>23895.37</v>
      </c>
      <c r="U315" s="35">
        <v>23895.37</v>
      </c>
      <c r="V315" s="35">
        <v>0</v>
      </c>
      <c r="W315" s="35">
        <v>0</v>
      </c>
      <c r="X315" s="35">
        <v>0</v>
      </c>
      <c r="Y315" s="35">
        <v>0</v>
      </c>
      <c r="Z315" s="35">
        <v>0</v>
      </c>
      <c r="AA315" s="35">
        <v>0</v>
      </c>
      <c r="AB315" s="35">
        <v>0</v>
      </c>
      <c r="AC315" s="35">
        <v>0</v>
      </c>
      <c r="AD315" s="35">
        <v>0</v>
      </c>
      <c r="AE315" s="35">
        <v>0</v>
      </c>
      <c r="AF315" s="35">
        <v>0</v>
      </c>
      <c r="AG315" s="35">
        <v>0</v>
      </c>
      <c r="AH315" s="35">
        <v>0</v>
      </c>
      <c r="AI315" s="36">
        <v>468.792204378073</v>
      </c>
      <c r="AJ315" s="36">
        <v>0</v>
      </c>
      <c r="AK315" s="36">
        <v>0</v>
      </c>
      <c r="AL315" s="36">
        <v>0</v>
      </c>
      <c r="AM315" s="36">
        <v>0</v>
      </c>
      <c r="AN315" s="36">
        <v>0</v>
      </c>
      <c r="AO315" s="36">
        <v>0</v>
      </c>
      <c r="AP315" s="36">
        <v>0</v>
      </c>
      <c r="AQ315" s="36">
        <v>0</v>
      </c>
      <c r="AR315" s="36">
        <v>0</v>
      </c>
      <c r="AS315" s="36">
        <v>0</v>
      </c>
      <c r="AT315" s="36">
        <v>0</v>
      </c>
      <c r="AU315" s="36">
        <v>0</v>
      </c>
      <c r="AV315" s="36">
        <v>0</v>
      </c>
      <c r="AW315" s="37">
        <v>23895.37</v>
      </c>
      <c r="AX315" s="37">
        <v>0</v>
      </c>
      <c r="AY315" s="37">
        <v>0</v>
      </c>
      <c r="AZ315" s="37">
        <v>0</v>
      </c>
      <c r="BA315" s="37">
        <v>0</v>
      </c>
      <c r="BB315" s="37">
        <v>0</v>
      </c>
      <c r="BC315" s="37">
        <v>0</v>
      </c>
      <c r="BD315" s="37">
        <v>0</v>
      </c>
      <c r="BE315" s="37">
        <v>0</v>
      </c>
      <c r="BF315" s="37">
        <v>0</v>
      </c>
      <c r="BG315" s="37">
        <v>0</v>
      </c>
      <c r="BH315" s="37">
        <v>0</v>
      </c>
      <c r="BI315" s="37">
        <v>0</v>
      </c>
      <c r="BJ315" s="37">
        <v>0</v>
      </c>
      <c r="BK315" s="32" t="s">
        <v>12</v>
      </c>
      <c r="BL315" s="32" t="s">
        <v>13</v>
      </c>
      <c r="BM315" s="33">
        <v>46100.547777777778</v>
      </c>
      <c r="BN315" s="32" t="s">
        <v>632</v>
      </c>
      <c r="BO315" s="32" t="s">
        <v>15</v>
      </c>
      <c r="BP315" s="38">
        <v>-6</v>
      </c>
      <c r="BQ315" s="42"/>
      <c r="BR315" s="39">
        <v>-6</v>
      </c>
      <c r="BS315" s="4" t="s">
        <v>221</v>
      </c>
      <c r="BT315" s="4" t="str">
        <f t="shared" si="17"/>
        <v>120</v>
      </c>
      <c r="BU315" s="4" t="str">
        <f t="shared" si="17"/>
        <v>-6</v>
      </c>
      <c r="BV315" s="4">
        <f t="shared" si="18"/>
        <v>7</v>
      </c>
      <c r="BW315" s="29">
        <f t="shared" si="19"/>
        <v>-143372.22</v>
      </c>
      <c r="BX315" s="4">
        <v>51.49</v>
      </c>
      <c r="BY315" s="29">
        <f t="shared" si="20"/>
        <v>-202.25303035068495</v>
      </c>
    </row>
    <row r="316" spans="1:77" ht="15" hidden="1" customHeight="1" x14ac:dyDescent="0.35">
      <c r="A316" s="32" t="s">
        <v>217</v>
      </c>
      <c r="B316" s="32" t="s">
        <v>855</v>
      </c>
      <c r="C316" s="32" t="s">
        <v>16</v>
      </c>
      <c r="D316" s="32" t="s">
        <v>110</v>
      </c>
      <c r="E316" s="32" t="s">
        <v>111</v>
      </c>
      <c r="F316" s="32" t="s">
        <v>46</v>
      </c>
      <c r="G316" s="33">
        <v>46104</v>
      </c>
      <c r="H316" s="33">
        <v>46104</v>
      </c>
      <c r="I316" s="33">
        <v>46134</v>
      </c>
      <c r="J316" s="32" t="s">
        <v>11</v>
      </c>
      <c r="K316" s="34">
        <v>341501.14</v>
      </c>
      <c r="L316" s="34">
        <v>310455.55</v>
      </c>
      <c r="M316" s="34">
        <v>31045.59</v>
      </c>
      <c r="N316" s="34">
        <v>0</v>
      </c>
      <c r="O316" s="34">
        <v>0</v>
      </c>
      <c r="P316" s="34">
        <v>341501.14</v>
      </c>
      <c r="Q316" s="34">
        <v>341501.14</v>
      </c>
      <c r="R316" s="34">
        <v>341501.14</v>
      </c>
      <c r="S316" s="34">
        <v>6699.7528064317403</v>
      </c>
      <c r="T316" s="34">
        <v>341501.14</v>
      </c>
      <c r="U316" s="35">
        <v>0</v>
      </c>
      <c r="V316" s="35">
        <v>341501.14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>
        <v>0</v>
      </c>
      <c r="AC316" s="35">
        <v>0</v>
      </c>
      <c r="AD316" s="35">
        <v>0</v>
      </c>
      <c r="AE316" s="35">
        <v>0</v>
      </c>
      <c r="AF316" s="35">
        <v>0</v>
      </c>
      <c r="AG316" s="35">
        <v>0</v>
      </c>
      <c r="AH316" s="35">
        <v>0</v>
      </c>
      <c r="AI316" s="36">
        <v>0</v>
      </c>
      <c r="AJ316" s="36">
        <v>6699.7528064317403</v>
      </c>
      <c r="AK316" s="36">
        <v>0</v>
      </c>
      <c r="AL316" s="36">
        <v>0</v>
      </c>
      <c r="AM316" s="36">
        <v>0</v>
      </c>
      <c r="AN316" s="36">
        <v>0</v>
      </c>
      <c r="AO316" s="36">
        <v>0</v>
      </c>
      <c r="AP316" s="36">
        <v>0</v>
      </c>
      <c r="AQ316" s="36">
        <v>0</v>
      </c>
      <c r="AR316" s="36">
        <v>0</v>
      </c>
      <c r="AS316" s="36">
        <v>0</v>
      </c>
      <c r="AT316" s="36">
        <v>0</v>
      </c>
      <c r="AU316" s="36">
        <v>0</v>
      </c>
      <c r="AV316" s="36">
        <v>0</v>
      </c>
      <c r="AW316" s="37">
        <v>0</v>
      </c>
      <c r="AX316" s="37">
        <v>341501.14</v>
      </c>
      <c r="AY316" s="37"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2" t="s">
        <v>12</v>
      </c>
      <c r="BL316" s="32" t="s">
        <v>13</v>
      </c>
      <c r="BM316" s="33">
        <v>46100.559745370374</v>
      </c>
      <c r="BN316" s="32" t="s">
        <v>112</v>
      </c>
      <c r="BO316" s="32" t="s">
        <v>15</v>
      </c>
      <c r="BP316" s="38">
        <v>-29</v>
      </c>
      <c r="BQ316" s="42"/>
      <c r="BR316" s="39">
        <v>-29</v>
      </c>
      <c r="BS316" s="4" t="s">
        <v>221</v>
      </c>
      <c r="BT316" s="4" t="str">
        <f t="shared" si="17"/>
        <v>120</v>
      </c>
      <c r="BU316" s="4" t="str">
        <f t="shared" si="17"/>
        <v>-29</v>
      </c>
      <c r="BV316" s="4">
        <f t="shared" si="18"/>
        <v>30</v>
      </c>
      <c r="BW316" s="29">
        <f t="shared" si="19"/>
        <v>-9903533.0600000005</v>
      </c>
      <c r="BX316" s="4">
        <v>51.49</v>
      </c>
      <c r="BY316" s="29">
        <f t="shared" si="20"/>
        <v>-13970.76485642192</v>
      </c>
    </row>
    <row r="317" spans="1:77" ht="15" hidden="1" customHeight="1" x14ac:dyDescent="0.35">
      <c r="A317" s="32" t="s">
        <v>217</v>
      </c>
      <c r="B317" s="32" t="s">
        <v>856</v>
      </c>
      <c r="C317" s="32" t="s">
        <v>16</v>
      </c>
      <c r="D317" s="32" t="s">
        <v>630</v>
      </c>
      <c r="E317" s="32" t="s">
        <v>113</v>
      </c>
      <c r="F317" s="32" t="s">
        <v>631</v>
      </c>
      <c r="G317" s="33">
        <v>46104</v>
      </c>
      <c r="H317" s="33">
        <v>46104</v>
      </c>
      <c r="I317" s="33">
        <v>46111</v>
      </c>
      <c r="J317" s="32" t="s">
        <v>11</v>
      </c>
      <c r="K317" s="34">
        <v>51470.69</v>
      </c>
      <c r="L317" s="34">
        <v>42892.24</v>
      </c>
      <c r="M317" s="34">
        <v>8578.4500000000007</v>
      </c>
      <c r="N317" s="34">
        <v>0</v>
      </c>
      <c r="O317" s="34">
        <v>0</v>
      </c>
      <c r="P317" s="34">
        <v>51470.69</v>
      </c>
      <c r="Q317" s="34">
        <v>51470.69</v>
      </c>
      <c r="R317" s="34">
        <v>51470.69</v>
      </c>
      <c r="S317" s="34">
        <v>1009.77964459058</v>
      </c>
      <c r="T317" s="34">
        <v>51470.69</v>
      </c>
      <c r="U317" s="35">
        <v>51470.69</v>
      </c>
      <c r="V317" s="35">
        <v>0</v>
      </c>
      <c r="W317" s="35">
        <v>0</v>
      </c>
      <c r="X317" s="35">
        <v>0</v>
      </c>
      <c r="Y317" s="35">
        <v>0</v>
      </c>
      <c r="Z317" s="35">
        <v>0</v>
      </c>
      <c r="AA317" s="35">
        <v>0</v>
      </c>
      <c r="AB317" s="35">
        <v>0</v>
      </c>
      <c r="AC317" s="35">
        <v>0</v>
      </c>
      <c r="AD317" s="35">
        <v>0</v>
      </c>
      <c r="AE317" s="35">
        <v>0</v>
      </c>
      <c r="AF317" s="35">
        <v>0</v>
      </c>
      <c r="AG317" s="35">
        <v>0</v>
      </c>
      <c r="AH317" s="35">
        <v>0</v>
      </c>
      <c r="AI317" s="36">
        <v>1009.77964459058</v>
      </c>
      <c r="AJ317" s="36">
        <v>0</v>
      </c>
      <c r="AK317" s="36">
        <v>0</v>
      </c>
      <c r="AL317" s="36">
        <v>0</v>
      </c>
      <c r="AM317" s="36">
        <v>0</v>
      </c>
      <c r="AN317" s="36">
        <v>0</v>
      </c>
      <c r="AO317" s="36">
        <v>0</v>
      </c>
      <c r="AP317" s="36">
        <v>0</v>
      </c>
      <c r="AQ317" s="36">
        <v>0</v>
      </c>
      <c r="AR317" s="36">
        <v>0</v>
      </c>
      <c r="AS317" s="36">
        <v>0</v>
      </c>
      <c r="AT317" s="36">
        <v>0</v>
      </c>
      <c r="AU317" s="36">
        <v>0</v>
      </c>
      <c r="AV317" s="36">
        <v>0</v>
      </c>
      <c r="AW317" s="37">
        <v>51470.69</v>
      </c>
      <c r="AX317" s="37">
        <v>0</v>
      </c>
      <c r="AY317" s="37">
        <v>0</v>
      </c>
      <c r="AZ317" s="37">
        <v>0</v>
      </c>
      <c r="BA317" s="37">
        <v>0</v>
      </c>
      <c r="BB317" s="37">
        <v>0</v>
      </c>
      <c r="BC317" s="37">
        <v>0</v>
      </c>
      <c r="BD317" s="37">
        <v>0</v>
      </c>
      <c r="BE317" s="37">
        <v>0</v>
      </c>
      <c r="BF317" s="37">
        <v>0</v>
      </c>
      <c r="BG317" s="37">
        <v>0</v>
      </c>
      <c r="BH317" s="37">
        <v>0</v>
      </c>
      <c r="BI317" s="37">
        <v>0</v>
      </c>
      <c r="BJ317" s="37">
        <v>0</v>
      </c>
      <c r="BK317" s="32" t="s">
        <v>12</v>
      </c>
      <c r="BL317" s="32" t="s">
        <v>13</v>
      </c>
      <c r="BM317" s="33">
        <v>46100.593206018515</v>
      </c>
      <c r="BN317" s="32" t="s">
        <v>632</v>
      </c>
      <c r="BO317" s="32" t="s">
        <v>15</v>
      </c>
      <c r="BP317" s="38">
        <v>-6</v>
      </c>
      <c r="BQ317" s="42"/>
      <c r="BR317" s="39">
        <v>-6</v>
      </c>
      <c r="BS317" s="4" t="s">
        <v>221</v>
      </c>
      <c r="BT317" s="4" t="str">
        <f t="shared" si="17"/>
        <v>120</v>
      </c>
      <c r="BU317" s="4" t="str">
        <f t="shared" si="17"/>
        <v>-6</v>
      </c>
      <c r="BV317" s="4">
        <f t="shared" si="18"/>
        <v>7</v>
      </c>
      <c r="BW317" s="29">
        <f t="shared" si="19"/>
        <v>-308824.14</v>
      </c>
      <c r="BX317" s="4">
        <v>51.49</v>
      </c>
      <c r="BY317" s="29">
        <f t="shared" si="20"/>
        <v>-435.65356078356166</v>
      </c>
    </row>
    <row r="318" spans="1:77" ht="15" hidden="1" customHeight="1" x14ac:dyDescent="0.35">
      <c r="A318" s="32" t="s">
        <v>217</v>
      </c>
      <c r="B318" s="32" t="s">
        <v>857</v>
      </c>
      <c r="C318" s="32" t="s">
        <v>16</v>
      </c>
      <c r="D318" s="32" t="s">
        <v>110</v>
      </c>
      <c r="E318" s="32" t="s">
        <v>111</v>
      </c>
      <c r="F318" s="32" t="s">
        <v>46</v>
      </c>
      <c r="G318" s="33">
        <v>46104</v>
      </c>
      <c r="H318" s="33">
        <v>46104</v>
      </c>
      <c r="I318" s="33">
        <v>46134</v>
      </c>
      <c r="J318" s="32" t="s">
        <v>11</v>
      </c>
      <c r="K318" s="34">
        <v>84610.36</v>
      </c>
      <c r="L318" s="34">
        <v>70508.63</v>
      </c>
      <c r="M318" s="34">
        <v>14101.73</v>
      </c>
      <c r="N318" s="34">
        <v>0</v>
      </c>
      <c r="O318" s="34">
        <v>0</v>
      </c>
      <c r="P318" s="34">
        <v>84610.36</v>
      </c>
      <c r="Q318" s="34">
        <v>84610.36</v>
      </c>
      <c r="R318" s="34">
        <v>84610.36</v>
      </c>
      <c r="S318" s="34">
        <v>1659.93149206823</v>
      </c>
      <c r="T318" s="34">
        <v>84610.36</v>
      </c>
      <c r="U318" s="35">
        <v>0</v>
      </c>
      <c r="V318" s="35">
        <v>84610.36</v>
      </c>
      <c r="W318" s="35">
        <v>0</v>
      </c>
      <c r="X318" s="35">
        <v>0</v>
      </c>
      <c r="Y318" s="35">
        <v>0</v>
      </c>
      <c r="Z318" s="35">
        <v>0</v>
      </c>
      <c r="AA318" s="35">
        <v>0</v>
      </c>
      <c r="AB318" s="35">
        <v>0</v>
      </c>
      <c r="AC318" s="35">
        <v>0</v>
      </c>
      <c r="AD318" s="35">
        <v>0</v>
      </c>
      <c r="AE318" s="35">
        <v>0</v>
      </c>
      <c r="AF318" s="35">
        <v>0</v>
      </c>
      <c r="AG318" s="35">
        <v>0</v>
      </c>
      <c r="AH318" s="35">
        <v>0</v>
      </c>
      <c r="AI318" s="36">
        <v>0</v>
      </c>
      <c r="AJ318" s="36">
        <v>1659.93149206823</v>
      </c>
      <c r="AK318" s="36">
        <v>0</v>
      </c>
      <c r="AL318" s="36">
        <v>0</v>
      </c>
      <c r="AM318" s="36">
        <v>0</v>
      </c>
      <c r="AN318" s="36">
        <v>0</v>
      </c>
      <c r="AO318" s="36">
        <v>0</v>
      </c>
      <c r="AP318" s="36">
        <v>0</v>
      </c>
      <c r="AQ318" s="36">
        <v>0</v>
      </c>
      <c r="AR318" s="36">
        <v>0</v>
      </c>
      <c r="AS318" s="36">
        <v>0</v>
      </c>
      <c r="AT318" s="36">
        <v>0</v>
      </c>
      <c r="AU318" s="36">
        <v>0</v>
      </c>
      <c r="AV318" s="36">
        <v>0</v>
      </c>
      <c r="AW318" s="37">
        <v>0</v>
      </c>
      <c r="AX318" s="37">
        <v>84610.36</v>
      </c>
      <c r="AY318" s="37"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2" t="s">
        <v>12</v>
      </c>
      <c r="BL318" s="32" t="s">
        <v>13</v>
      </c>
      <c r="BM318" s="33">
        <v>46100.602951388886</v>
      </c>
      <c r="BN318" s="32" t="s">
        <v>112</v>
      </c>
      <c r="BO318" s="32" t="s">
        <v>15</v>
      </c>
      <c r="BP318" s="38">
        <v>-29</v>
      </c>
      <c r="BQ318" s="42"/>
      <c r="BR318" s="39">
        <v>-29</v>
      </c>
      <c r="BS318" s="4" t="s">
        <v>221</v>
      </c>
      <c r="BT318" s="4" t="str">
        <f t="shared" si="17"/>
        <v>120</v>
      </c>
      <c r="BU318" s="4" t="str">
        <f t="shared" si="17"/>
        <v>-29</v>
      </c>
      <c r="BV318" s="4">
        <f t="shared" si="18"/>
        <v>30</v>
      </c>
      <c r="BW318" s="29">
        <f t="shared" si="19"/>
        <v>-2453700.44</v>
      </c>
      <c r="BX318" s="4">
        <v>51.49</v>
      </c>
      <c r="BY318" s="29">
        <f t="shared" si="20"/>
        <v>-3461.398237139726</v>
      </c>
    </row>
    <row r="319" spans="1:77" ht="15" hidden="1" customHeight="1" x14ac:dyDescent="0.35">
      <c r="A319" s="32" t="s">
        <v>217</v>
      </c>
      <c r="B319" s="32" t="s">
        <v>858</v>
      </c>
      <c r="C319" s="32" t="s">
        <v>42</v>
      </c>
      <c r="D319" s="32" t="s">
        <v>859</v>
      </c>
      <c r="E319" s="32" t="s">
        <v>406</v>
      </c>
      <c r="F319" s="32" t="s">
        <v>860</v>
      </c>
      <c r="G319" s="33">
        <v>46104</v>
      </c>
      <c r="H319" s="33">
        <v>46104</v>
      </c>
      <c r="I319" s="33">
        <v>46134</v>
      </c>
      <c r="J319" s="32" t="s">
        <v>19</v>
      </c>
      <c r="K319" s="34">
        <v>8527.0499999999993</v>
      </c>
      <c r="L319" s="34">
        <v>8527.0499999999993</v>
      </c>
      <c r="M319" s="34">
        <v>0</v>
      </c>
      <c r="N319" s="34">
        <v>0</v>
      </c>
      <c r="O319" s="34">
        <v>0</v>
      </c>
      <c r="P319" s="34">
        <v>8527.0499999999993</v>
      </c>
      <c r="Q319" s="34">
        <v>8527.0499999999993</v>
      </c>
      <c r="R319" s="34">
        <v>8527.0499999999993</v>
      </c>
      <c r="S319" s="34">
        <v>7401.4175702637904</v>
      </c>
      <c r="T319" s="34">
        <v>377266.53667499998</v>
      </c>
      <c r="U319" s="35">
        <v>0</v>
      </c>
      <c r="V319" s="35">
        <v>8527.0499999999993</v>
      </c>
      <c r="W319" s="35">
        <v>0</v>
      </c>
      <c r="X319" s="35">
        <v>0</v>
      </c>
      <c r="Y319" s="35">
        <v>0</v>
      </c>
      <c r="Z319" s="35">
        <v>0</v>
      </c>
      <c r="AA319" s="35">
        <v>0</v>
      </c>
      <c r="AB319" s="35">
        <v>0</v>
      </c>
      <c r="AC319" s="35">
        <v>0</v>
      </c>
      <c r="AD319" s="35">
        <v>0</v>
      </c>
      <c r="AE319" s="35">
        <v>0</v>
      </c>
      <c r="AF319" s="35">
        <v>0</v>
      </c>
      <c r="AG319" s="35">
        <v>0</v>
      </c>
      <c r="AH319" s="35">
        <v>0</v>
      </c>
      <c r="AI319" s="36">
        <v>0</v>
      </c>
      <c r="AJ319" s="36">
        <v>7401.4175702637904</v>
      </c>
      <c r="AK319" s="36">
        <v>0</v>
      </c>
      <c r="AL319" s="36">
        <v>0</v>
      </c>
      <c r="AM319" s="36">
        <v>0</v>
      </c>
      <c r="AN319" s="36">
        <v>0</v>
      </c>
      <c r="AO319" s="36">
        <v>0</v>
      </c>
      <c r="AP319" s="36">
        <v>0</v>
      </c>
      <c r="AQ319" s="36">
        <v>0</v>
      </c>
      <c r="AR319" s="36">
        <v>0</v>
      </c>
      <c r="AS319" s="36">
        <v>0</v>
      </c>
      <c r="AT319" s="36">
        <v>0</v>
      </c>
      <c r="AU319" s="36">
        <v>0</v>
      </c>
      <c r="AV319" s="36">
        <v>0</v>
      </c>
      <c r="AW319" s="37">
        <v>0</v>
      </c>
      <c r="AX319" s="37">
        <v>377266.53667499998</v>
      </c>
      <c r="AY319" s="37">
        <v>0</v>
      </c>
      <c r="AZ319" s="37">
        <v>0</v>
      </c>
      <c r="BA319" s="37">
        <v>0</v>
      </c>
      <c r="BB319" s="37">
        <v>0</v>
      </c>
      <c r="BC319" s="37">
        <v>0</v>
      </c>
      <c r="BD319" s="37">
        <v>0</v>
      </c>
      <c r="BE319" s="37">
        <v>0</v>
      </c>
      <c r="BF319" s="37">
        <v>0</v>
      </c>
      <c r="BG319" s="37">
        <v>0</v>
      </c>
      <c r="BH319" s="37">
        <v>0</v>
      </c>
      <c r="BI319" s="37">
        <v>0</v>
      </c>
      <c r="BJ319" s="37">
        <v>0</v>
      </c>
      <c r="BK319" s="32" t="s">
        <v>12</v>
      </c>
      <c r="BL319" s="32" t="s">
        <v>13</v>
      </c>
      <c r="BM319" s="33">
        <v>46104.516898148147</v>
      </c>
      <c r="BN319" s="32" t="s">
        <v>20</v>
      </c>
      <c r="BO319" s="32" t="s">
        <v>21</v>
      </c>
      <c r="BP319" s="38">
        <v>-29</v>
      </c>
      <c r="BQ319" s="42"/>
      <c r="BR319" s="39">
        <v>-29</v>
      </c>
      <c r="BS319" s="4" t="s">
        <v>221</v>
      </c>
      <c r="BT319" s="4" t="str">
        <f t="shared" si="17"/>
        <v>120</v>
      </c>
      <c r="BU319" s="4" t="str">
        <f t="shared" si="17"/>
        <v>-29</v>
      </c>
      <c r="BV319" s="4">
        <f t="shared" si="18"/>
        <v>30</v>
      </c>
      <c r="BW319" s="29">
        <f t="shared" si="19"/>
        <v>-247284.44999999998</v>
      </c>
      <c r="BX319" s="4">
        <v>51.49</v>
      </c>
      <c r="BY319" s="29">
        <f t="shared" si="20"/>
        <v>-348.84044741095886</v>
      </c>
    </row>
    <row r="320" spans="1:77" ht="15" customHeight="1" x14ac:dyDescent="0.35">
      <c r="A320" s="32" t="s">
        <v>217</v>
      </c>
      <c r="B320" s="32" t="s">
        <v>861</v>
      </c>
      <c r="C320" s="32" t="s">
        <v>35</v>
      </c>
      <c r="D320" s="32" t="s">
        <v>105</v>
      </c>
      <c r="E320" s="32" t="s">
        <v>106</v>
      </c>
      <c r="F320" s="32" t="s">
        <v>107</v>
      </c>
      <c r="G320" s="33">
        <v>46104</v>
      </c>
      <c r="H320" s="33">
        <v>46104</v>
      </c>
      <c r="I320" s="33">
        <v>46134</v>
      </c>
      <c r="J320" s="32" t="s">
        <v>11</v>
      </c>
      <c r="K320" s="34">
        <v>137214</v>
      </c>
      <c r="L320" s="34">
        <v>137214</v>
      </c>
      <c r="M320" s="34">
        <v>0</v>
      </c>
      <c r="N320" s="34">
        <v>0</v>
      </c>
      <c r="O320" s="34">
        <v>0</v>
      </c>
      <c r="P320" s="34">
        <v>137214</v>
      </c>
      <c r="Q320" s="34">
        <v>137214</v>
      </c>
      <c r="R320" s="34">
        <v>137214</v>
      </c>
      <c r="S320" s="34">
        <v>2691.9379583380701</v>
      </c>
      <c r="T320" s="34">
        <v>137214</v>
      </c>
      <c r="U320" s="35">
        <v>0</v>
      </c>
      <c r="V320" s="35">
        <v>137214</v>
      </c>
      <c r="W320" s="35">
        <v>0</v>
      </c>
      <c r="X320" s="35">
        <v>0</v>
      </c>
      <c r="Y320" s="35">
        <v>0</v>
      </c>
      <c r="Z320" s="35">
        <v>0</v>
      </c>
      <c r="AA320" s="35">
        <v>0</v>
      </c>
      <c r="AB320" s="35">
        <v>0</v>
      </c>
      <c r="AC320" s="35">
        <v>0</v>
      </c>
      <c r="AD320" s="35">
        <v>0</v>
      </c>
      <c r="AE320" s="35">
        <v>0</v>
      </c>
      <c r="AF320" s="35">
        <v>0</v>
      </c>
      <c r="AG320" s="35">
        <v>0</v>
      </c>
      <c r="AH320" s="35">
        <v>0</v>
      </c>
      <c r="AI320" s="36">
        <v>0</v>
      </c>
      <c r="AJ320" s="36">
        <v>2691.9379583380701</v>
      </c>
      <c r="AK320" s="36">
        <v>0</v>
      </c>
      <c r="AL320" s="36">
        <v>0</v>
      </c>
      <c r="AM320" s="36">
        <v>0</v>
      </c>
      <c r="AN320" s="36">
        <v>0</v>
      </c>
      <c r="AO320" s="36">
        <v>0</v>
      </c>
      <c r="AP320" s="36">
        <v>0</v>
      </c>
      <c r="AQ320" s="36">
        <v>0</v>
      </c>
      <c r="AR320" s="36">
        <v>0</v>
      </c>
      <c r="AS320" s="36">
        <v>0</v>
      </c>
      <c r="AT320" s="36">
        <v>0</v>
      </c>
      <c r="AU320" s="36">
        <v>0</v>
      </c>
      <c r="AV320" s="36">
        <v>0</v>
      </c>
      <c r="AW320" s="37">
        <v>0</v>
      </c>
      <c r="AX320" s="37">
        <v>137214</v>
      </c>
      <c r="AY320" s="37"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2" t="s">
        <v>12</v>
      </c>
      <c r="BL320" s="32" t="s">
        <v>13</v>
      </c>
      <c r="BM320" s="33">
        <v>46104.574178240742</v>
      </c>
      <c r="BN320" s="32" t="s">
        <v>28</v>
      </c>
      <c r="BO320" s="32" t="s">
        <v>29</v>
      </c>
      <c r="BP320" s="38">
        <v>-29</v>
      </c>
      <c r="BQ320" s="42"/>
      <c r="BR320" s="39">
        <v>-29</v>
      </c>
      <c r="BS320" s="4" t="s">
        <v>221</v>
      </c>
      <c r="BT320" s="4" t="str">
        <f t="shared" si="17"/>
        <v>120</v>
      </c>
      <c r="BU320" s="4" t="str">
        <f t="shared" si="17"/>
        <v>-29</v>
      </c>
      <c r="BV320" s="4">
        <f t="shared" si="18"/>
        <v>30</v>
      </c>
      <c r="BW320" s="29">
        <f t="shared" si="19"/>
        <v>-3979206</v>
      </c>
      <c r="BX320" s="4">
        <v>51.49</v>
      </c>
      <c r="BY320" s="29">
        <f t="shared" si="20"/>
        <v>-5613.4059435616437</v>
      </c>
    </row>
    <row r="321" spans="1:77" ht="15" customHeight="1" x14ac:dyDescent="0.35">
      <c r="A321" s="32" t="s">
        <v>217</v>
      </c>
      <c r="B321" s="32" t="s">
        <v>862</v>
      </c>
      <c r="C321" s="32" t="s">
        <v>38</v>
      </c>
      <c r="D321" s="32" t="s">
        <v>105</v>
      </c>
      <c r="E321" s="32" t="s">
        <v>106</v>
      </c>
      <c r="F321" s="32" t="s">
        <v>107</v>
      </c>
      <c r="G321" s="33">
        <v>46104</v>
      </c>
      <c r="H321" s="33">
        <v>46104</v>
      </c>
      <c r="I321" s="33">
        <v>46134</v>
      </c>
      <c r="J321" s="32" t="s">
        <v>11</v>
      </c>
      <c r="K321" s="34">
        <v>78408</v>
      </c>
      <c r="L321" s="34">
        <v>78408</v>
      </c>
      <c r="M321" s="34">
        <v>0</v>
      </c>
      <c r="N321" s="34">
        <v>0</v>
      </c>
      <c r="O321" s="34">
        <v>0</v>
      </c>
      <c r="P321" s="34">
        <v>78408</v>
      </c>
      <c r="Q321" s="34">
        <v>78408</v>
      </c>
      <c r="R321" s="34">
        <v>78408</v>
      </c>
      <c r="S321" s="34">
        <v>1538.2502619074701</v>
      </c>
      <c r="T321" s="34">
        <v>78408</v>
      </c>
      <c r="U321" s="35">
        <v>0</v>
      </c>
      <c r="V321" s="35">
        <v>78408</v>
      </c>
      <c r="W321" s="35">
        <v>0</v>
      </c>
      <c r="X321" s="35">
        <v>0</v>
      </c>
      <c r="Y321" s="35">
        <v>0</v>
      </c>
      <c r="Z321" s="35">
        <v>0</v>
      </c>
      <c r="AA321" s="35">
        <v>0</v>
      </c>
      <c r="AB321" s="35">
        <v>0</v>
      </c>
      <c r="AC321" s="35">
        <v>0</v>
      </c>
      <c r="AD321" s="35">
        <v>0</v>
      </c>
      <c r="AE321" s="35">
        <v>0</v>
      </c>
      <c r="AF321" s="35">
        <v>0</v>
      </c>
      <c r="AG321" s="35">
        <v>0</v>
      </c>
      <c r="AH321" s="35">
        <v>0</v>
      </c>
      <c r="AI321" s="36">
        <v>0</v>
      </c>
      <c r="AJ321" s="36">
        <v>1538.2502619074701</v>
      </c>
      <c r="AK321" s="36">
        <v>0</v>
      </c>
      <c r="AL321" s="36">
        <v>0</v>
      </c>
      <c r="AM321" s="36">
        <v>0</v>
      </c>
      <c r="AN321" s="36">
        <v>0</v>
      </c>
      <c r="AO321" s="36">
        <v>0</v>
      </c>
      <c r="AP321" s="36">
        <v>0</v>
      </c>
      <c r="AQ321" s="36">
        <v>0</v>
      </c>
      <c r="AR321" s="36">
        <v>0</v>
      </c>
      <c r="AS321" s="36">
        <v>0</v>
      </c>
      <c r="AT321" s="36">
        <v>0</v>
      </c>
      <c r="AU321" s="36">
        <v>0</v>
      </c>
      <c r="AV321" s="36">
        <v>0</v>
      </c>
      <c r="AW321" s="37">
        <v>0</v>
      </c>
      <c r="AX321" s="37">
        <v>78408</v>
      </c>
      <c r="AY321" s="37">
        <v>0</v>
      </c>
      <c r="AZ321" s="37">
        <v>0</v>
      </c>
      <c r="BA321" s="37">
        <v>0</v>
      </c>
      <c r="BB321" s="37">
        <v>0</v>
      </c>
      <c r="BC321" s="37">
        <v>0</v>
      </c>
      <c r="BD321" s="37">
        <v>0</v>
      </c>
      <c r="BE321" s="37">
        <v>0</v>
      </c>
      <c r="BF321" s="37">
        <v>0</v>
      </c>
      <c r="BG321" s="37">
        <v>0</v>
      </c>
      <c r="BH321" s="37">
        <v>0</v>
      </c>
      <c r="BI321" s="37">
        <v>0</v>
      </c>
      <c r="BJ321" s="37">
        <v>0</v>
      </c>
      <c r="BK321" s="32" t="s">
        <v>12</v>
      </c>
      <c r="BL321" s="32" t="s">
        <v>13</v>
      </c>
      <c r="BM321" s="33">
        <v>46104.575104166666</v>
      </c>
      <c r="BN321" s="32" t="s">
        <v>28</v>
      </c>
      <c r="BO321" s="32" t="s">
        <v>29</v>
      </c>
      <c r="BP321" s="38">
        <v>-29</v>
      </c>
      <c r="BQ321" s="42"/>
      <c r="BR321" s="39">
        <v>-29</v>
      </c>
      <c r="BS321" s="4" t="s">
        <v>221</v>
      </c>
      <c r="BT321" s="4" t="str">
        <f t="shared" si="17"/>
        <v>120</v>
      </c>
      <c r="BU321" s="4" t="str">
        <f t="shared" si="17"/>
        <v>-29</v>
      </c>
      <c r="BV321" s="4">
        <f t="shared" si="18"/>
        <v>30</v>
      </c>
      <c r="BW321" s="29">
        <f t="shared" si="19"/>
        <v>-2273832</v>
      </c>
      <c r="BX321" s="4">
        <v>51.49</v>
      </c>
      <c r="BY321" s="29">
        <f t="shared" si="20"/>
        <v>-3207.6605391780822</v>
      </c>
    </row>
    <row r="322" spans="1:77" ht="15" hidden="1" customHeight="1" x14ac:dyDescent="0.35">
      <c r="A322" s="32" t="s">
        <v>217</v>
      </c>
      <c r="B322" s="32" t="s">
        <v>863</v>
      </c>
      <c r="C322" s="32" t="s">
        <v>38</v>
      </c>
      <c r="D322" s="32" t="s">
        <v>94</v>
      </c>
      <c r="E322" s="32" t="s">
        <v>95</v>
      </c>
      <c r="F322" s="32" t="s">
        <v>46</v>
      </c>
      <c r="G322" s="33">
        <v>46104</v>
      </c>
      <c r="H322" s="33">
        <v>46104</v>
      </c>
      <c r="I322" s="33">
        <v>46134</v>
      </c>
      <c r="J322" s="32" t="s">
        <v>11</v>
      </c>
      <c r="K322" s="34">
        <v>138588</v>
      </c>
      <c r="L322" s="34">
        <v>138588</v>
      </c>
      <c r="M322" s="34">
        <v>0</v>
      </c>
      <c r="N322" s="34">
        <v>0</v>
      </c>
      <c r="O322" s="34">
        <v>0</v>
      </c>
      <c r="P322" s="34">
        <v>138588</v>
      </c>
      <c r="Q322" s="34">
        <v>138588</v>
      </c>
      <c r="R322" s="34">
        <v>138588</v>
      </c>
      <c r="S322" s="34">
        <v>2718.8938284005799</v>
      </c>
      <c r="T322" s="34">
        <v>138588</v>
      </c>
      <c r="U322" s="35">
        <v>0</v>
      </c>
      <c r="V322" s="35">
        <v>138588</v>
      </c>
      <c r="W322" s="35">
        <v>0</v>
      </c>
      <c r="X322" s="35">
        <v>0</v>
      </c>
      <c r="Y322" s="35">
        <v>0</v>
      </c>
      <c r="Z322" s="35">
        <v>0</v>
      </c>
      <c r="AA322" s="35">
        <v>0</v>
      </c>
      <c r="AB322" s="35">
        <v>0</v>
      </c>
      <c r="AC322" s="35">
        <v>0</v>
      </c>
      <c r="AD322" s="35">
        <v>0</v>
      </c>
      <c r="AE322" s="35">
        <v>0</v>
      </c>
      <c r="AF322" s="35">
        <v>0</v>
      </c>
      <c r="AG322" s="35">
        <v>0</v>
      </c>
      <c r="AH322" s="35">
        <v>0</v>
      </c>
      <c r="AI322" s="36">
        <v>0</v>
      </c>
      <c r="AJ322" s="36">
        <v>2718.8938284005799</v>
      </c>
      <c r="AK322" s="36">
        <v>0</v>
      </c>
      <c r="AL322" s="36">
        <v>0</v>
      </c>
      <c r="AM322" s="36">
        <v>0</v>
      </c>
      <c r="AN322" s="36">
        <v>0</v>
      </c>
      <c r="AO322" s="36">
        <v>0</v>
      </c>
      <c r="AP322" s="36">
        <v>0</v>
      </c>
      <c r="AQ322" s="36">
        <v>0</v>
      </c>
      <c r="AR322" s="36">
        <v>0</v>
      </c>
      <c r="AS322" s="36">
        <v>0</v>
      </c>
      <c r="AT322" s="36">
        <v>0</v>
      </c>
      <c r="AU322" s="36">
        <v>0</v>
      </c>
      <c r="AV322" s="36">
        <v>0</v>
      </c>
      <c r="AW322" s="37">
        <v>0</v>
      </c>
      <c r="AX322" s="37">
        <v>138588</v>
      </c>
      <c r="AY322" s="37"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2" t="s">
        <v>12</v>
      </c>
      <c r="BL322" s="32" t="s">
        <v>13</v>
      </c>
      <c r="BM322" s="33">
        <v>46104.576597222222</v>
      </c>
      <c r="BN322" s="32" t="s">
        <v>28</v>
      </c>
      <c r="BO322" s="32" t="s">
        <v>29</v>
      </c>
      <c r="BP322" s="38">
        <v>-29</v>
      </c>
      <c r="BQ322" s="42"/>
      <c r="BR322" s="39">
        <v>-29</v>
      </c>
      <c r="BS322" s="4" t="s">
        <v>221</v>
      </c>
      <c r="BT322" s="4" t="str">
        <f t="shared" ref="BT322:BU369" si="21">LEFT(BO322,3)</f>
        <v>120</v>
      </c>
      <c r="BU322" s="4" t="str">
        <f t="shared" si="21"/>
        <v>-29</v>
      </c>
      <c r="BV322" s="4">
        <f t="shared" si="18"/>
        <v>30</v>
      </c>
      <c r="BW322" s="29">
        <f t="shared" si="19"/>
        <v>-4019052</v>
      </c>
      <c r="BX322" s="4">
        <v>51.49</v>
      </c>
      <c r="BY322" s="29">
        <f t="shared" si="20"/>
        <v>-5669.616095342466</v>
      </c>
    </row>
    <row r="323" spans="1:77" ht="15" hidden="1" customHeight="1" x14ac:dyDescent="0.35">
      <c r="A323" s="32" t="s">
        <v>217</v>
      </c>
      <c r="B323" s="32" t="s">
        <v>864</v>
      </c>
      <c r="C323" s="32" t="s">
        <v>16</v>
      </c>
      <c r="D323" s="32" t="s">
        <v>94</v>
      </c>
      <c r="E323" s="32" t="s">
        <v>95</v>
      </c>
      <c r="F323" s="32" t="s">
        <v>46</v>
      </c>
      <c r="G323" s="33">
        <v>46104</v>
      </c>
      <c r="H323" s="33">
        <v>46104</v>
      </c>
      <c r="I323" s="33">
        <v>46134</v>
      </c>
      <c r="J323" s="32" t="s">
        <v>11</v>
      </c>
      <c r="K323" s="34">
        <v>688546</v>
      </c>
      <c r="L323" s="34">
        <v>688546</v>
      </c>
      <c r="M323" s="34">
        <v>0</v>
      </c>
      <c r="N323" s="34">
        <v>0</v>
      </c>
      <c r="O323" s="34">
        <v>0</v>
      </c>
      <c r="P323" s="34">
        <v>688546</v>
      </c>
      <c r="Q323" s="34">
        <v>688546</v>
      </c>
      <c r="R323" s="34">
        <v>688546</v>
      </c>
      <c r="S323" s="34">
        <v>13508.2652897069</v>
      </c>
      <c r="T323" s="34">
        <v>688546</v>
      </c>
      <c r="U323" s="35">
        <v>0</v>
      </c>
      <c r="V323" s="35">
        <v>688546</v>
      </c>
      <c r="W323" s="35">
        <v>0</v>
      </c>
      <c r="X323" s="35">
        <v>0</v>
      </c>
      <c r="Y323" s="35">
        <v>0</v>
      </c>
      <c r="Z323" s="35">
        <v>0</v>
      </c>
      <c r="AA323" s="35">
        <v>0</v>
      </c>
      <c r="AB323" s="35">
        <v>0</v>
      </c>
      <c r="AC323" s="35">
        <v>0</v>
      </c>
      <c r="AD323" s="35">
        <v>0</v>
      </c>
      <c r="AE323" s="35">
        <v>0</v>
      </c>
      <c r="AF323" s="35">
        <v>0</v>
      </c>
      <c r="AG323" s="35">
        <v>0</v>
      </c>
      <c r="AH323" s="35">
        <v>0</v>
      </c>
      <c r="AI323" s="36">
        <v>0</v>
      </c>
      <c r="AJ323" s="36">
        <v>13508.2652897069</v>
      </c>
      <c r="AK323" s="36">
        <v>0</v>
      </c>
      <c r="AL323" s="36">
        <v>0</v>
      </c>
      <c r="AM323" s="36">
        <v>0</v>
      </c>
      <c r="AN323" s="36">
        <v>0</v>
      </c>
      <c r="AO323" s="36">
        <v>0</v>
      </c>
      <c r="AP323" s="36">
        <v>0</v>
      </c>
      <c r="AQ323" s="36">
        <v>0</v>
      </c>
      <c r="AR323" s="36">
        <v>0</v>
      </c>
      <c r="AS323" s="36">
        <v>0</v>
      </c>
      <c r="AT323" s="36">
        <v>0</v>
      </c>
      <c r="AU323" s="36">
        <v>0</v>
      </c>
      <c r="AV323" s="36">
        <v>0</v>
      </c>
      <c r="AW323" s="37">
        <v>0</v>
      </c>
      <c r="AX323" s="37">
        <v>688546</v>
      </c>
      <c r="AY323" s="37">
        <v>0</v>
      </c>
      <c r="AZ323" s="37">
        <v>0</v>
      </c>
      <c r="BA323" s="37">
        <v>0</v>
      </c>
      <c r="BB323" s="37">
        <v>0</v>
      </c>
      <c r="BC323" s="37">
        <v>0</v>
      </c>
      <c r="BD323" s="37">
        <v>0</v>
      </c>
      <c r="BE323" s="37">
        <v>0</v>
      </c>
      <c r="BF323" s="37">
        <v>0</v>
      </c>
      <c r="BG323" s="37">
        <v>0</v>
      </c>
      <c r="BH323" s="37">
        <v>0</v>
      </c>
      <c r="BI323" s="37">
        <v>0</v>
      </c>
      <c r="BJ323" s="37">
        <v>0</v>
      </c>
      <c r="BK323" s="32" t="s">
        <v>12</v>
      </c>
      <c r="BL323" s="32" t="s">
        <v>13</v>
      </c>
      <c r="BM323" s="33">
        <v>46104.5778587963</v>
      </c>
      <c r="BN323" s="32" t="s">
        <v>28</v>
      </c>
      <c r="BO323" s="32" t="s">
        <v>29</v>
      </c>
      <c r="BP323" s="38">
        <v>-29</v>
      </c>
      <c r="BQ323" s="42"/>
      <c r="BR323" s="39">
        <v>-29</v>
      </c>
      <c r="BS323" s="4" t="s">
        <v>221</v>
      </c>
      <c r="BT323" s="4" t="str">
        <f t="shared" si="21"/>
        <v>120</v>
      </c>
      <c r="BU323" s="4" t="str">
        <f t="shared" si="21"/>
        <v>-29</v>
      </c>
      <c r="BV323" s="4">
        <f t="shared" ref="BV323:BV369" si="22">I323-H323</f>
        <v>30</v>
      </c>
      <c r="BW323" s="29">
        <f t="shared" ref="BW323:BW369" si="23">BP323*R323</f>
        <v>-19967834</v>
      </c>
      <c r="BX323" s="4">
        <v>51.49</v>
      </c>
      <c r="BY323" s="29">
        <f t="shared" ref="BY323:BY369" si="24">BW323*BX323/36500</f>
        <v>-28168.322538630138</v>
      </c>
    </row>
    <row r="324" spans="1:77" ht="15" hidden="1" customHeight="1" x14ac:dyDescent="0.35">
      <c r="A324" s="32" t="s">
        <v>217</v>
      </c>
      <c r="B324" s="32" t="s">
        <v>865</v>
      </c>
      <c r="C324" s="32" t="s">
        <v>16</v>
      </c>
      <c r="D324" s="32" t="s">
        <v>436</v>
      </c>
      <c r="E324" s="32" t="s">
        <v>365</v>
      </c>
      <c r="F324" s="32" t="s">
        <v>437</v>
      </c>
      <c r="G324" s="33">
        <v>46105</v>
      </c>
      <c r="H324" s="33">
        <v>46105</v>
      </c>
      <c r="I324" s="33">
        <v>46135</v>
      </c>
      <c r="J324" s="32" t="s">
        <v>11</v>
      </c>
      <c r="K324" s="34">
        <v>1555748.57</v>
      </c>
      <c r="L324" s="34">
        <v>1525243.7</v>
      </c>
      <c r="M324" s="34">
        <v>30504.87</v>
      </c>
      <c r="N324" s="34">
        <v>0</v>
      </c>
      <c r="O324" s="34">
        <v>0</v>
      </c>
      <c r="P324" s="34">
        <v>1555748.57</v>
      </c>
      <c r="Q324" s="34">
        <v>1555748.57</v>
      </c>
      <c r="R324" s="34">
        <v>1555748.57</v>
      </c>
      <c r="S324" s="34">
        <v>30521.5111374435</v>
      </c>
      <c r="T324" s="34">
        <v>1555748.57</v>
      </c>
      <c r="U324" s="35">
        <v>0</v>
      </c>
      <c r="V324" s="35">
        <v>1555748.57</v>
      </c>
      <c r="W324" s="35">
        <v>0</v>
      </c>
      <c r="X324" s="35">
        <v>0</v>
      </c>
      <c r="Y324" s="35">
        <v>0</v>
      </c>
      <c r="Z324" s="35">
        <v>0</v>
      </c>
      <c r="AA324" s="35">
        <v>0</v>
      </c>
      <c r="AB324" s="35">
        <v>0</v>
      </c>
      <c r="AC324" s="35">
        <v>0</v>
      </c>
      <c r="AD324" s="35">
        <v>0</v>
      </c>
      <c r="AE324" s="35">
        <v>0</v>
      </c>
      <c r="AF324" s="35">
        <v>0</v>
      </c>
      <c r="AG324" s="35">
        <v>0</v>
      </c>
      <c r="AH324" s="35">
        <v>0</v>
      </c>
      <c r="AI324" s="36">
        <v>0</v>
      </c>
      <c r="AJ324" s="36">
        <v>30521.5111374435</v>
      </c>
      <c r="AK324" s="36">
        <v>0</v>
      </c>
      <c r="AL324" s="36">
        <v>0</v>
      </c>
      <c r="AM324" s="36">
        <v>0</v>
      </c>
      <c r="AN324" s="36">
        <v>0</v>
      </c>
      <c r="AO324" s="36">
        <v>0</v>
      </c>
      <c r="AP324" s="36">
        <v>0</v>
      </c>
      <c r="AQ324" s="36">
        <v>0</v>
      </c>
      <c r="AR324" s="36">
        <v>0</v>
      </c>
      <c r="AS324" s="36">
        <v>0</v>
      </c>
      <c r="AT324" s="36">
        <v>0</v>
      </c>
      <c r="AU324" s="36">
        <v>0</v>
      </c>
      <c r="AV324" s="36">
        <v>0</v>
      </c>
      <c r="AW324" s="37">
        <v>0</v>
      </c>
      <c r="AX324" s="37">
        <v>1555748.57</v>
      </c>
      <c r="AY324" s="37"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2" t="s">
        <v>12</v>
      </c>
      <c r="BL324" s="32" t="s">
        <v>13</v>
      </c>
      <c r="BM324" s="33">
        <v>46104.795243055552</v>
      </c>
      <c r="BN324" s="32" t="s">
        <v>438</v>
      </c>
      <c r="BO324" s="32" t="s">
        <v>15</v>
      </c>
      <c r="BP324" s="38">
        <v>-30</v>
      </c>
      <c r="BQ324" s="42"/>
      <c r="BR324" s="39">
        <v>-30</v>
      </c>
      <c r="BS324" s="4" t="s">
        <v>221</v>
      </c>
      <c r="BT324" s="4" t="str">
        <f t="shared" si="21"/>
        <v>120</v>
      </c>
      <c r="BU324" s="4" t="str">
        <f t="shared" si="21"/>
        <v>-30</v>
      </c>
      <c r="BV324" s="4">
        <f t="shared" si="22"/>
        <v>30</v>
      </c>
      <c r="BW324" s="29">
        <f t="shared" si="23"/>
        <v>-46672457.100000001</v>
      </c>
      <c r="BX324" s="4">
        <v>51.49</v>
      </c>
      <c r="BY324" s="29">
        <f t="shared" si="24"/>
        <v>-65840.131947369868</v>
      </c>
    </row>
    <row r="325" spans="1:77" ht="15" hidden="1" customHeight="1" x14ac:dyDescent="0.35">
      <c r="A325" s="32" t="s">
        <v>217</v>
      </c>
      <c r="B325" s="32" t="s">
        <v>866</v>
      </c>
      <c r="C325" s="32" t="s">
        <v>16</v>
      </c>
      <c r="D325" s="32" t="s">
        <v>593</v>
      </c>
      <c r="E325" s="32" t="s">
        <v>62</v>
      </c>
      <c r="F325" s="32" t="s">
        <v>594</v>
      </c>
      <c r="G325" s="33">
        <v>46105</v>
      </c>
      <c r="H325" s="33">
        <v>46105</v>
      </c>
      <c r="I325" s="33">
        <v>46135</v>
      </c>
      <c r="J325" s="32" t="s">
        <v>11</v>
      </c>
      <c r="K325" s="34">
        <v>6435581.79</v>
      </c>
      <c r="L325" s="34">
        <v>6309393.9199999999</v>
      </c>
      <c r="M325" s="34">
        <v>126187.87</v>
      </c>
      <c r="N325" s="34">
        <v>0</v>
      </c>
      <c r="O325" s="34">
        <v>0</v>
      </c>
      <c r="P325" s="34">
        <v>6435581.79</v>
      </c>
      <c r="Q325" s="34">
        <v>6435581.79</v>
      </c>
      <c r="R325" s="34">
        <v>6435581.79</v>
      </c>
      <c r="S325" s="34">
        <v>126256.70051518299</v>
      </c>
      <c r="T325" s="34">
        <v>6435581.79</v>
      </c>
      <c r="U325" s="35">
        <v>0</v>
      </c>
      <c r="V325" s="35">
        <v>6435581.79</v>
      </c>
      <c r="W325" s="35">
        <v>0</v>
      </c>
      <c r="X325" s="35">
        <v>0</v>
      </c>
      <c r="Y325" s="35">
        <v>0</v>
      </c>
      <c r="Z325" s="35">
        <v>0</v>
      </c>
      <c r="AA325" s="35">
        <v>0</v>
      </c>
      <c r="AB325" s="35">
        <v>0</v>
      </c>
      <c r="AC325" s="35">
        <v>0</v>
      </c>
      <c r="AD325" s="35">
        <v>0</v>
      </c>
      <c r="AE325" s="35">
        <v>0</v>
      </c>
      <c r="AF325" s="35">
        <v>0</v>
      </c>
      <c r="AG325" s="35">
        <v>0</v>
      </c>
      <c r="AH325" s="35">
        <v>0</v>
      </c>
      <c r="AI325" s="36">
        <v>0</v>
      </c>
      <c r="AJ325" s="36">
        <v>126256.70051518299</v>
      </c>
      <c r="AK325" s="36">
        <v>0</v>
      </c>
      <c r="AL325" s="36">
        <v>0</v>
      </c>
      <c r="AM325" s="36">
        <v>0</v>
      </c>
      <c r="AN325" s="36">
        <v>0</v>
      </c>
      <c r="AO325" s="36">
        <v>0</v>
      </c>
      <c r="AP325" s="36">
        <v>0</v>
      </c>
      <c r="AQ325" s="36">
        <v>0</v>
      </c>
      <c r="AR325" s="36">
        <v>0</v>
      </c>
      <c r="AS325" s="36">
        <v>0</v>
      </c>
      <c r="AT325" s="36">
        <v>0</v>
      </c>
      <c r="AU325" s="36">
        <v>0</v>
      </c>
      <c r="AV325" s="36">
        <v>0</v>
      </c>
      <c r="AW325" s="37">
        <v>0</v>
      </c>
      <c r="AX325" s="37">
        <v>6435581.79</v>
      </c>
      <c r="AY325" s="37">
        <v>0</v>
      </c>
      <c r="AZ325" s="37">
        <v>0</v>
      </c>
      <c r="BA325" s="37">
        <v>0</v>
      </c>
      <c r="BB325" s="37">
        <v>0</v>
      </c>
      <c r="BC325" s="37">
        <v>0</v>
      </c>
      <c r="BD325" s="37">
        <v>0</v>
      </c>
      <c r="BE325" s="37">
        <v>0</v>
      </c>
      <c r="BF325" s="37">
        <v>0</v>
      </c>
      <c r="BG325" s="37">
        <v>0</v>
      </c>
      <c r="BH325" s="37">
        <v>0</v>
      </c>
      <c r="BI325" s="37">
        <v>0</v>
      </c>
      <c r="BJ325" s="37">
        <v>0</v>
      </c>
      <c r="BK325" s="32" t="s">
        <v>12</v>
      </c>
      <c r="BL325" s="32" t="s">
        <v>13</v>
      </c>
      <c r="BM325" s="33">
        <v>46104.795451388891</v>
      </c>
      <c r="BN325" s="32" t="s">
        <v>595</v>
      </c>
      <c r="BO325" s="32" t="s">
        <v>15</v>
      </c>
      <c r="BP325" s="38">
        <v>-30</v>
      </c>
      <c r="BQ325" s="42"/>
      <c r="BR325" s="39">
        <v>-30</v>
      </c>
      <c r="BS325" s="4" t="s">
        <v>221</v>
      </c>
      <c r="BT325" s="4" t="str">
        <f t="shared" si="21"/>
        <v>120</v>
      </c>
      <c r="BU325" s="4" t="str">
        <f t="shared" si="21"/>
        <v>-30</v>
      </c>
      <c r="BV325" s="4">
        <f t="shared" si="22"/>
        <v>30</v>
      </c>
      <c r="BW325" s="29">
        <f t="shared" si="23"/>
        <v>-193067453.69999999</v>
      </c>
      <c r="BX325" s="4">
        <v>51.49</v>
      </c>
      <c r="BY325" s="29">
        <f t="shared" si="24"/>
        <v>-272357.3476989863</v>
      </c>
    </row>
    <row r="326" spans="1:77" ht="15" hidden="1" customHeight="1" x14ac:dyDescent="0.35">
      <c r="A326" s="32" t="s">
        <v>217</v>
      </c>
      <c r="B326" s="32" t="s">
        <v>867</v>
      </c>
      <c r="C326" s="32" t="s">
        <v>16</v>
      </c>
      <c r="D326" s="32" t="s">
        <v>593</v>
      </c>
      <c r="E326" s="32" t="s">
        <v>62</v>
      </c>
      <c r="F326" s="32" t="s">
        <v>594</v>
      </c>
      <c r="G326" s="33">
        <v>46105</v>
      </c>
      <c r="H326" s="33">
        <v>46105</v>
      </c>
      <c r="I326" s="33">
        <v>46135</v>
      </c>
      <c r="J326" s="32" t="s">
        <v>11</v>
      </c>
      <c r="K326" s="34">
        <v>385952.05</v>
      </c>
      <c r="L326" s="34">
        <v>378384.36</v>
      </c>
      <c r="M326" s="34">
        <v>7567.69</v>
      </c>
      <c r="N326" s="34">
        <v>0</v>
      </c>
      <c r="O326" s="34">
        <v>0</v>
      </c>
      <c r="P326" s="34">
        <v>385952.05</v>
      </c>
      <c r="Q326" s="34">
        <v>385952.05</v>
      </c>
      <c r="R326" s="34">
        <v>385952.05</v>
      </c>
      <c r="S326" s="34">
        <v>7571.8146362134703</v>
      </c>
      <c r="T326" s="34">
        <v>385952.05</v>
      </c>
      <c r="U326" s="35">
        <v>0</v>
      </c>
      <c r="V326" s="35">
        <v>385952.05</v>
      </c>
      <c r="W326" s="35">
        <v>0</v>
      </c>
      <c r="X326" s="35">
        <v>0</v>
      </c>
      <c r="Y326" s="35">
        <v>0</v>
      </c>
      <c r="Z326" s="35">
        <v>0</v>
      </c>
      <c r="AA326" s="35">
        <v>0</v>
      </c>
      <c r="AB326" s="35">
        <v>0</v>
      </c>
      <c r="AC326" s="35">
        <v>0</v>
      </c>
      <c r="AD326" s="35">
        <v>0</v>
      </c>
      <c r="AE326" s="35">
        <v>0</v>
      </c>
      <c r="AF326" s="35">
        <v>0</v>
      </c>
      <c r="AG326" s="35">
        <v>0</v>
      </c>
      <c r="AH326" s="35">
        <v>0</v>
      </c>
      <c r="AI326" s="36">
        <v>0</v>
      </c>
      <c r="AJ326" s="36">
        <v>7571.8146362134703</v>
      </c>
      <c r="AK326" s="36">
        <v>0</v>
      </c>
      <c r="AL326" s="36">
        <v>0</v>
      </c>
      <c r="AM326" s="36">
        <v>0</v>
      </c>
      <c r="AN326" s="36">
        <v>0</v>
      </c>
      <c r="AO326" s="36">
        <v>0</v>
      </c>
      <c r="AP326" s="36">
        <v>0</v>
      </c>
      <c r="AQ326" s="36">
        <v>0</v>
      </c>
      <c r="AR326" s="36">
        <v>0</v>
      </c>
      <c r="AS326" s="36">
        <v>0</v>
      </c>
      <c r="AT326" s="36">
        <v>0</v>
      </c>
      <c r="AU326" s="36">
        <v>0</v>
      </c>
      <c r="AV326" s="36">
        <v>0</v>
      </c>
      <c r="AW326" s="37">
        <v>0</v>
      </c>
      <c r="AX326" s="37">
        <v>385952.05</v>
      </c>
      <c r="AY326" s="37"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2" t="s">
        <v>12</v>
      </c>
      <c r="BL326" s="32" t="s">
        <v>13</v>
      </c>
      <c r="BM326" s="33">
        <v>46104.795659722222</v>
      </c>
      <c r="BN326" s="32" t="s">
        <v>595</v>
      </c>
      <c r="BO326" s="32" t="s">
        <v>15</v>
      </c>
      <c r="BP326" s="38">
        <v>-30</v>
      </c>
      <c r="BQ326" s="42"/>
      <c r="BR326" s="39">
        <v>-30</v>
      </c>
      <c r="BS326" s="4" t="s">
        <v>221</v>
      </c>
      <c r="BT326" s="4" t="str">
        <f t="shared" si="21"/>
        <v>120</v>
      </c>
      <c r="BU326" s="4" t="str">
        <f t="shared" si="21"/>
        <v>-30</v>
      </c>
      <c r="BV326" s="4">
        <f t="shared" si="22"/>
        <v>30</v>
      </c>
      <c r="BW326" s="29">
        <f t="shared" si="23"/>
        <v>-11578561.5</v>
      </c>
      <c r="BX326" s="4">
        <v>51.49</v>
      </c>
      <c r="BY326" s="29">
        <f t="shared" si="24"/>
        <v>-16333.702236575342</v>
      </c>
    </row>
    <row r="327" spans="1:77" ht="15" hidden="1" customHeight="1" x14ac:dyDescent="0.35">
      <c r="A327" s="32" t="s">
        <v>217</v>
      </c>
      <c r="B327" s="32" t="s">
        <v>868</v>
      </c>
      <c r="C327" s="32" t="s">
        <v>16</v>
      </c>
      <c r="D327" s="32" t="s">
        <v>110</v>
      </c>
      <c r="E327" s="32" t="s">
        <v>111</v>
      </c>
      <c r="F327" s="32" t="s">
        <v>46</v>
      </c>
      <c r="G327" s="33">
        <v>46105</v>
      </c>
      <c r="H327" s="33">
        <v>46105</v>
      </c>
      <c r="I327" s="33">
        <v>46135</v>
      </c>
      <c r="J327" s="32" t="s">
        <v>11</v>
      </c>
      <c r="K327" s="34">
        <v>2353454.5699999998</v>
      </c>
      <c r="L327" s="34">
        <v>2307308.4</v>
      </c>
      <c r="M327" s="34">
        <v>46146.17</v>
      </c>
      <c r="N327" s="34">
        <v>0</v>
      </c>
      <c r="O327" s="34">
        <v>0</v>
      </c>
      <c r="P327" s="34">
        <v>2353454.5699999998</v>
      </c>
      <c r="Q327" s="34">
        <v>2353454.5699999998</v>
      </c>
      <c r="R327" s="34">
        <v>2353454.5699999998</v>
      </c>
      <c r="S327" s="34">
        <v>46171.335943906699</v>
      </c>
      <c r="T327" s="34">
        <v>2353454.5699999998</v>
      </c>
      <c r="U327" s="35">
        <v>0</v>
      </c>
      <c r="V327" s="35">
        <v>2353454.5699999998</v>
      </c>
      <c r="W327" s="35">
        <v>0</v>
      </c>
      <c r="X327" s="35">
        <v>0</v>
      </c>
      <c r="Y327" s="35">
        <v>0</v>
      </c>
      <c r="Z327" s="35">
        <v>0</v>
      </c>
      <c r="AA327" s="35">
        <v>0</v>
      </c>
      <c r="AB327" s="35">
        <v>0</v>
      </c>
      <c r="AC327" s="35">
        <v>0</v>
      </c>
      <c r="AD327" s="35">
        <v>0</v>
      </c>
      <c r="AE327" s="35">
        <v>0</v>
      </c>
      <c r="AF327" s="35">
        <v>0</v>
      </c>
      <c r="AG327" s="35">
        <v>0</v>
      </c>
      <c r="AH327" s="35">
        <v>0</v>
      </c>
      <c r="AI327" s="36">
        <v>0</v>
      </c>
      <c r="AJ327" s="36">
        <v>46171.335943906699</v>
      </c>
      <c r="AK327" s="36">
        <v>0</v>
      </c>
      <c r="AL327" s="36">
        <v>0</v>
      </c>
      <c r="AM327" s="36">
        <v>0</v>
      </c>
      <c r="AN327" s="36">
        <v>0</v>
      </c>
      <c r="AO327" s="36">
        <v>0</v>
      </c>
      <c r="AP327" s="36">
        <v>0</v>
      </c>
      <c r="AQ327" s="36">
        <v>0</v>
      </c>
      <c r="AR327" s="36">
        <v>0</v>
      </c>
      <c r="AS327" s="36">
        <v>0</v>
      </c>
      <c r="AT327" s="36">
        <v>0</v>
      </c>
      <c r="AU327" s="36">
        <v>0</v>
      </c>
      <c r="AV327" s="36">
        <v>0</v>
      </c>
      <c r="AW327" s="37">
        <v>0</v>
      </c>
      <c r="AX327" s="37">
        <v>2353454.5699999998</v>
      </c>
      <c r="AY327" s="37">
        <v>0</v>
      </c>
      <c r="AZ327" s="37">
        <v>0</v>
      </c>
      <c r="BA327" s="37">
        <v>0</v>
      </c>
      <c r="BB327" s="37">
        <v>0</v>
      </c>
      <c r="BC327" s="37">
        <v>0</v>
      </c>
      <c r="BD327" s="37">
        <v>0</v>
      </c>
      <c r="BE327" s="37">
        <v>0</v>
      </c>
      <c r="BF327" s="37">
        <v>0</v>
      </c>
      <c r="BG327" s="37">
        <v>0</v>
      </c>
      <c r="BH327" s="37">
        <v>0</v>
      </c>
      <c r="BI327" s="37">
        <v>0</v>
      </c>
      <c r="BJ327" s="37">
        <v>0</v>
      </c>
      <c r="BK327" s="32" t="s">
        <v>12</v>
      </c>
      <c r="BL327" s="32" t="s">
        <v>13</v>
      </c>
      <c r="BM327" s="33">
        <v>46104.795868055553</v>
      </c>
      <c r="BN327" s="32" t="s">
        <v>112</v>
      </c>
      <c r="BO327" s="32" t="s">
        <v>15</v>
      </c>
      <c r="BP327" s="38">
        <v>-30</v>
      </c>
      <c r="BQ327" s="42"/>
      <c r="BR327" s="39">
        <v>-30</v>
      </c>
      <c r="BS327" s="4" t="s">
        <v>221</v>
      </c>
      <c r="BT327" s="4" t="str">
        <f t="shared" si="21"/>
        <v>120</v>
      </c>
      <c r="BU327" s="4" t="str">
        <f t="shared" si="21"/>
        <v>-30</v>
      </c>
      <c r="BV327" s="4">
        <f t="shared" si="22"/>
        <v>30</v>
      </c>
      <c r="BW327" s="29">
        <f t="shared" si="23"/>
        <v>-70603637.099999994</v>
      </c>
      <c r="BX327" s="4">
        <v>51.49</v>
      </c>
      <c r="BY327" s="29">
        <f t="shared" si="24"/>
        <v>-99599.486966547935</v>
      </c>
    </row>
    <row r="328" spans="1:77" ht="15" hidden="1" customHeight="1" x14ac:dyDescent="0.35">
      <c r="A328" s="32" t="s">
        <v>217</v>
      </c>
      <c r="B328" s="32" t="s">
        <v>869</v>
      </c>
      <c r="C328" s="32" t="s">
        <v>16</v>
      </c>
      <c r="D328" s="32" t="s">
        <v>110</v>
      </c>
      <c r="E328" s="32" t="s">
        <v>111</v>
      </c>
      <c r="F328" s="32" t="s">
        <v>46</v>
      </c>
      <c r="G328" s="33">
        <v>46105</v>
      </c>
      <c r="H328" s="33">
        <v>46105</v>
      </c>
      <c r="I328" s="33">
        <v>46135</v>
      </c>
      <c r="J328" s="32" t="s">
        <v>11</v>
      </c>
      <c r="K328" s="34">
        <v>1844821.15</v>
      </c>
      <c r="L328" s="34">
        <v>1808648.18</v>
      </c>
      <c r="M328" s="34">
        <v>36172.97</v>
      </c>
      <c r="N328" s="34">
        <v>0</v>
      </c>
      <c r="O328" s="34">
        <v>0</v>
      </c>
      <c r="P328" s="34">
        <v>1844821.15</v>
      </c>
      <c r="Q328" s="34">
        <v>1844821.15</v>
      </c>
      <c r="R328" s="34">
        <v>1844821.15</v>
      </c>
      <c r="S328" s="34">
        <v>36192.692291091997</v>
      </c>
      <c r="T328" s="34">
        <v>1844821.15</v>
      </c>
      <c r="U328" s="35">
        <v>0</v>
      </c>
      <c r="V328" s="35">
        <v>1844821.15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>
        <v>0</v>
      </c>
      <c r="AC328" s="35">
        <v>0</v>
      </c>
      <c r="AD328" s="35">
        <v>0</v>
      </c>
      <c r="AE328" s="35">
        <v>0</v>
      </c>
      <c r="AF328" s="35">
        <v>0</v>
      </c>
      <c r="AG328" s="35">
        <v>0</v>
      </c>
      <c r="AH328" s="35">
        <v>0</v>
      </c>
      <c r="AI328" s="36">
        <v>0</v>
      </c>
      <c r="AJ328" s="36">
        <v>36192.692291091997</v>
      </c>
      <c r="AK328" s="36">
        <v>0</v>
      </c>
      <c r="AL328" s="36">
        <v>0</v>
      </c>
      <c r="AM328" s="36">
        <v>0</v>
      </c>
      <c r="AN328" s="36">
        <v>0</v>
      </c>
      <c r="AO328" s="36">
        <v>0</v>
      </c>
      <c r="AP328" s="36">
        <v>0</v>
      </c>
      <c r="AQ328" s="36">
        <v>0</v>
      </c>
      <c r="AR328" s="36">
        <v>0</v>
      </c>
      <c r="AS328" s="36">
        <v>0</v>
      </c>
      <c r="AT328" s="36">
        <v>0</v>
      </c>
      <c r="AU328" s="36">
        <v>0</v>
      </c>
      <c r="AV328" s="36">
        <v>0</v>
      </c>
      <c r="AW328" s="37">
        <v>0</v>
      </c>
      <c r="AX328" s="37">
        <v>1844821.15</v>
      </c>
      <c r="AY328" s="37"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2" t="s">
        <v>12</v>
      </c>
      <c r="BL328" s="32" t="s">
        <v>13</v>
      </c>
      <c r="BM328" s="33">
        <v>46104.796076388891</v>
      </c>
      <c r="BN328" s="32" t="s">
        <v>112</v>
      </c>
      <c r="BO328" s="32" t="s">
        <v>15</v>
      </c>
      <c r="BP328" s="38">
        <v>-30</v>
      </c>
      <c r="BQ328" s="42"/>
      <c r="BR328" s="39">
        <v>-30</v>
      </c>
      <c r="BS328" s="4" t="s">
        <v>221</v>
      </c>
      <c r="BT328" s="4" t="str">
        <f t="shared" si="21"/>
        <v>120</v>
      </c>
      <c r="BU328" s="4" t="str">
        <f t="shared" si="21"/>
        <v>-30</v>
      </c>
      <c r="BV328" s="4">
        <f t="shared" si="22"/>
        <v>30</v>
      </c>
      <c r="BW328" s="29">
        <f t="shared" si="23"/>
        <v>-55344634.5</v>
      </c>
      <c r="BX328" s="4">
        <v>51.49</v>
      </c>
      <c r="BY328" s="29">
        <f t="shared" si="24"/>
        <v>-78073.841928904119</v>
      </c>
    </row>
    <row r="329" spans="1:77" ht="15" hidden="1" customHeight="1" x14ac:dyDescent="0.35">
      <c r="A329" s="32" t="s">
        <v>217</v>
      </c>
      <c r="B329" s="32" t="s">
        <v>870</v>
      </c>
      <c r="C329" s="32" t="s">
        <v>16</v>
      </c>
      <c r="D329" s="32" t="s">
        <v>439</v>
      </c>
      <c r="E329" s="32" t="s">
        <v>141</v>
      </c>
      <c r="F329" s="32" t="s">
        <v>572</v>
      </c>
      <c r="G329" s="33">
        <v>46105</v>
      </c>
      <c r="H329" s="33">
        <v>46105</v>
      </c>
      <c r="I329" s="33">
        <v>46135</v>
      </c>
      <c r="J329" s="32" t="s">
        <v>11</v>
      </c>
      <c r="K329" s="34">
        <v>378014.13</v>
      </c>
      <c r="L329" s="34">
        <v>370602.08</v>
      </c>
      <c r="M329" s="34">
        <v>7412.05</v>
      </c>
      <c r="N329" s="34">
        <v>0</v>
      </c>
      <c r="O329" s="34">
        <v>0</v>
      </c>
      <c r="P329" s="34">
        <v>378014.13</v>
      </c>
      <c r="Q329" s="34">
        <v>378014.13</v>
      </c>
      <c r="R329" s="34">
        <v>378014.13</v>
      </c>
      <c r="S329" s="34">
        <v>7416.0842576934101</v>
      </c>
      <c r="T329" s="34">
        <v>378014.13</v>
      </c>
      <c r="U329" s="35">
        <v>0</v>
      </c>
      <c r="V329" s="35">
        <v>378014.13</v>
      </c>
      <c r="W329" s="35">
        <v>0</v>
      </c>
      <c r="X329" s="35">
        <v>0</v>
      </c>
      <c r="Y329" s="35">
        <v>0</v>
      </c>
      <c r="Z329" s="35">
        <v>0</v>
      </c>
      <c r="AA329" s="35">
        <v>0</v>
      </c>
      <c r="AB329" s="35">
        <v>0</v>
      </c>
      <c r="AC329" s="35">
        <v>0</v>
      </c>
      <c r="AD329" s="35">
        <v>0</v>
      </c>
      <c r="AE329" s="35">
        <v>0</v>
      </c>
      <c r="AF329" s="35">
        <v>0</v>
      </c>
      <c r="AG329" s="35">
        <v>0</v>
      </c>
      <c r="AH329" s="35">
        <v>0</v>
      </c>
      <c r="AI329" s="36">
        <v>0</v>
      </c>
      <c r="AJ329" s="36">
        <v>7416.0842576934101</v>
      </c>
      <c r="AK329" s="36">
        <v>0</v>
      </c>
      <c r="AL329" s="36">
        <v>0</v>
      </c>
      <c r="AM329" s="36">
        <v>0</v>
      </c>
      <c r="AN329" s="36">
        <v>0</v>
      </c>
      <c r="AO329" s="36">
        <v>0</v>
      </c>
      <c r="AP329" s="36">
        <v>0</v>
      </c>
      <c r="AQ329" s="36">
        <v>0</v>
      </c>
      <c r="AR329" s="36">
        <v>0</v>
      </c>
      <c r="AS329" s="36">
        <v>0</v>
      </c>
      <c r="AT329" s="36">
        <v>0</v>
      </c>
      <c r="AU329" s="36">
        <v>0</v>
      </c>
      <c r="AV329" s="36">
        <v>0</v>
      </c>
      <c r="AW329" s="37">
        <v>0</v>
      </c>
      <c r="AX329" s="37">
        <v>378014.13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  <c r="BH329" s="37">
        <v>0</v>
      </c>
      <c r="BI329" s="37">
        <v>0</v>
      </c>
      <c r="BJ329" s="37">
        <v>0</v>
      </c>
      <c r="BK329" s="32" t="s">
        <v>12</v>
      </c>
      <c r="BL329" s="32" t="s">
        <v>13</v>
      </c>
      <c r="BM329" s="33">
        <v>46104.796284722222</v>
      </c>
      <c r="BN329" s="32" t="s">
        <v>573</v>
      </c>
      <c r="BO329" s="32" t="s">
        <v>15</v>
      </c>
      <c r="BP329" s="38">
        <v>-30</v>
      </c>
      <c r="BQ329" s="42"/>
      <c r="BR329" s="39">
        <v>-30</v>
      </c>
      <c r="BS329" s="4" t="s">
        <v>221</v>
      </c>
      <c r="BT329" s="4" t="str">
        <f t="shared" si="21"/>
        <v>120</v>
      </c>
      <c r="BU329" s="4" t="str">
        <f t="shared" si="21"/>
        <v>-30</v>
      </c>
      <c r="BV329" s="4">
        <f t="shared" si="22"/>
        <v>30</v>
      </c>
      <c r="BW329" s="29">
        <f t="shared" si="23"/>
        <v>-11340423.9</v>
      </c>
      <c r="BX329" s="4">
        <v>51.49</v>
      </c>
      <c r="BY329" s="29">
        <f t="shared" si="24"/>
        <v>-15997.765112630139</v>
      </c>
    </row>
    <row r="330" spans="1:77" ht="15" hidden="1" customHeight="1" x14ac:dyDescent="0.35">
      <c r="A330" s="32" t="s">
        <v>217</v>
      </c>
      <c r="B330" s="32" t="s">
        <v>871</v>
      </c>
      <c r="C330" s="32" t="s">
        <v>16</v>
      </c>
      <c r="D330" s="32" t="s">
        <v>872</v>
      </c>
      <c r="E330" s="32" t="s">
        <v>257</v>
      </c>
      <c r="F330" s="32" t="s">
        <v>46</v>
      </c>
      <c r="G330" s="33">
        <v>46105</v>
      </c>
      <c r="H330" s="33">
        <v>46105</v>
      </c>
      <c r="I330" s="33">
        <v>46126</v>
      </c>
      <c r="J330" s="32" t="s">
        <v>11</v>
      </c>
      <c r="K330" s="34">
        <v>829952.84</v>
      </c>
      <c r="L330" s="34">
        <v>813679.26</v>
      </c>
      <c r="M330" s="34">
        <v>16273.58</v>
      </c>
      <c r="N330" s="34">
        <v>0</v>
      </c>
      <c r="O330" s="34">
        <v>0</v>
      </c>
      <c r="P330" s="34">
        <v>829952.84</v>
      </c>
      <c r="Q330" s="34">
        <v>829952.84</v>
      </c>
      <c r="R330" s="34">
        <v>829952.84</v>
      </c>
      <c r="S330" s="34">
        <v>16282.460635405199</v>
      </c>
      <c r="T330" s="34">
        <v>829952.84</v>
      </c>
      <c r="U330" s="35">
        <v>0</v>
      </c>
      <c r="V330" s="35">
        <v>829952.84</v>
      </c>
      <c r="W330" s="35">
        <v>0</v>
      </c>
      <c r="X330" s="35">
        <v>0</v>
      </c>
      <c r="Y330" s="35">
        <v>0</v>
      </c>
      <c r="Z330" s="35">
        <v>0</v>
      </c>
      <c r="AA330" s="35">
        <v>0</v>
      </c>
      <c r="AB330" s="35">
        <v>0</v>
      </c>
      <c r="AC330" s="35">
        <v>0</v>
      </c>
      <c r="AD330" s="35">
        <v>0</v>
      </c>
      <c r="AE330" s="35">
        <v>0</v>
      </c>
      <c r="AF330" s="35">
        <v>0</v>
      </c>
      <c r="AG330" s="35">
        <v>0</v>
      </c>
      <c r="AH330" s="35">
        <v>0</v>
      </c>
      <c r="AI330" s="36">
        <v>0</v>
      </c>
      <c r="AJ330" s="36">
        <v>16282.460635405199</v>
      </c>
      <c r="AK330" s="36">
        <v>0</v>
      </c>
      <c r="AL330" s="36">
        <v>0</v>
      </c>
      <c r="AM330" s="36">
        <v>0</v>
      </c>
      <c r="AN330" s="36">
        <v>0</v>
      </c>
      <c r="AO330" s="36">
        <v>0</v>
      </c>
      <c r="AP330" s="36">
        <v>0</v>
      </c>
      <c r="AQ330" s="36">
        <v>0</v>
      </c>
      <c r="AR330" s="36">
        <v>0</v>
      </c>
      <c r="AS330" s="36">
        <v>0</v>
      </c>
      <c r="AT330" s="36">
        <v>0</v>
      </c>
      <c r="AU330" s="36">
        <v>0</v>
      </c>
      <c r="AV330" s="36">
        <v>0</v>
      </c>
      <c r="AW330" s="37">
        <v>0</v>
      </c>
      <c r="AX330" s="37">
        <v>829952.84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2" t="s">
        <v>12</v>
      </c>
      <c r="BL330" s="32" t="s">
        <v>13</v>
      </c>
      <c r="BM330" s="33">
        <v>46104.796493055554</v>
      </c>
      <c r="BN330" s="32" t="s">
        <v>28</v>
      </c>
      <c r="BO330" s="32" t="s">
        <v>29</v>
      </c>
      <c r="BP330" s="38">
        <v>-21</v>
      </c>
      <c r="BQ330" s="42"/>
      <c r="BR330" s="39">
        <v>-21</v>
      </c>
      <c r="BS330" s="4" t="s">
        <v>221</v>
      </c>
      <c r="BT330" s="4" t="str">
        <f t="shared" si="21"/>
        <v>120</v>
      </c>
      <c r="BU330" s="4" t="str">
        <f t="shared" si="21"/>
        <v>-21</v>
      </c>
      <c r="BV330" s="4">
        <f t="shared" si="22"/>
        <v>21</v>
      </c>
      <c r="BW330" s="29">
        <f t="shared" si="23"/>
        <v>-17429009.640000001</v>
      </c>
      <c r="BX330" s="4">
        <v>51.49</v>
      </c>
      <c r="BY330" s="29">
        <f t="shared" si="24"/>
        <v>-24586.841270235618</v>
      </c>
    </row>
    <row r="331" spans="1:77" ht="15" customHeight="1" x14ac:dyDescent="0.35">
      <c r="A331" s="32" t="s">
        <v>217</v>
      </c>
      <c r="B331" s="32" t="s">
        <v>873</v>
      </c>
      <c r="C331" s="32" t="s">
        <v>7</v>
      </c>
      <c r="D331" s="32" t="s">
        <v>8</v>
      </c>
      <c r="E331" s="32" t="s">
        <v>9</v>
      </c>
      <c r="F331" s="32" t="s">
        <v>10</v>
      </c>
      <c r="G331" s="33">
        <v>46105</v>
      </c>
      <c r="H331" s="33">
        <v>46105</v>
      </c>
      <c r="I331" s="33">
        <v>46112</v>
      </c>
      <c r="J331" s="32" t="s">
        <v>11</v>
      </c>
      <c r="K331" s="34">
        <v>17332734.140000001</v>
      </c>
      <c r="L331" s="34">
        <v>16992876.609999999</v>
      </c>
      <c r="M331" s="34">
        <v>339857.53</v>
      </c>
      <c r="N331" s="34">
        <v>0</v>
      </c>
      <c r="O331" s="34">
        <v>0</v>
      </c>
      <c r="P331" s="34">
        <v>17332734.140000001</v>
      </c>
      <c r="Q331" s="34">
        <v>17332734.140000001</v>
      </c>
      <c r="R331" s="34">
        <v>17332734.140000001</v>
      </c>
      <c r="S331" s="34">
        <v>340042.88886883401</v>
      </c>
      <c r="T331" s="34">
        <v>17332734.140000001</v>
      </c>
      <c r="U331" s="35">
        <v>17332734.140000001</v>
      </c>
      <c r="V331" s="35">
        <v>0</v>
      </c>
      <c r="W331" s="35">
        <v>0</v>
      </c>
      <c r="X331" s="35">
        <v>0</v>
      </c>
      <c r="Y331" s="35">
        <v>0</v>
      </c>
      <c r="Z331" s="35">
        <v>0</v>
      </c>
      <c r="AA331" s="35">
        <v>0</v>
      </c>
      <c r="AB331" s="35">
        <v>0</v>
      </c>
      <c r="AC331" s="35">
        <v>0</v>
      </c>
      <c r="AD331" s="35">
        <v>0</v>
      </c>
      <c r="AE331" s="35">
        <v>0</v>
      </c>
      <c r="AF331" s="35">
        <v>0</v>
      </c>
      <c r="AG331" s="35">
        <v>0</v>
      </c>
      <c r="AH331" s="35">
        <v>0</v>
      </c>
      <c r="AI331" s="36">
        <v>340042.88886883401</v>
      </c>
      <c r="AJ331" s="36">
        <v>0</v>
      </c>
      <c r="AK331" s="36">
        <v>0</v>
      </c>
      <c r="AL331" s="36">
        <v>0</v>
      </c>
      <c r="AM331" s="36">
        <v>0</v>
      </c>
      <c r="AN331" s="36">
        <v>0</v>
      </c>
      <c r="AO331" s="36">
        <v>0</v>
      </c>
      <c r="AP331" s="36">
        <v>0</v>
      </c>
      <c r="AQ331" s="36">
        <v>0</v>
      </c>
      <c r="AR331" s="36">
        <v>0</v>
      </c>
      <c r="AS331" s="36">
        <v>0</v>
      </c>
      <c r="AT331" s="36">
        <v>0</v>
      </c>
      <c r="AU331" s="36">
        <v>0</v>
      </c>
      <c r="AV331" s="36">
        <v>0</v>
      </c>
      <c r="AW331" s="37">
        <v>17332734.140000001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  <c r="BH331" s="37">
        <v>0</v>
      </c>
      <c r="BI331" s="37">
        <v>0</v>
      </c>
      <c r="BJ331" s="37">
        <v>0</v>
      </c>
      <c r="BK331" s="32" t="s">
        <v>12</v>
      </c>
      <c r="BL331" s="32" t="s">
        <v>13</v>
      </c>
      <c r="BM331" s="33">
        <v>46104.805358796293</v>
      </c>
      <c r="BN331" s="32" t="s">
        <v>14</v>
      </c>
      <c r="BO331" s="32" t="s">
        <v>15</v>
      </c>
      <c r="BP331" s="38">
        <v>-7</v>
      </c>
      <c r="BQ331" s="42"/>
      <c r="BR331" s="39">
        <v>-7</v>
      </c>
      <c r="BS331" s="4" t="s">
        <v>221</v>
      </c>
      <c r="BT331" s="4" t="str">
        <f t="shared" si="21"/>
        <v>120</v>
      </c>
      <c r="BU331" s="4" t="str">
        <f t="shared" si="21"/>
        <v>-7</v>
      </c>
      <c r="BV331" s="4">
        <f t="shared" si="22"/>
        <v>7</v>
      </c>
      <c r="BW331" s="29">
        <f t="shared" si="23"/>
        <v>-121329138.98</v>
      </c>
      <c r="BX331" s="4">
        <v>51.49</v>
      </c>
      <c r="BY331" s="29">
        <f t="shared" si="24"/>
        <v>-171157.18811178629</v>
      </c>
    </row>
    <row r="332" spans="1:77" ht="15" hidden="1" customHeight="1" x14ac:dyDescent="0.35">
      <c r="A332" s="32" t="s">
        <v>217</v>
      </c>
      <c r="B332" s="32" t="s">
        <v>874</v>
      </c>
      <c r="C332" s="32" t="s">
        <v>7</v>
      </c>
      <c r="D332" s="32" t="s">
        <v>593</v>
      </c>
      <c r="E332" s="32" t="s">
        <v>62</v>
      </c>
      <c r="F332" s="32" t="s">
        <v>594</v>
      </c>
      <c r="G332" s="33">
        <v>46105</v>
      </c>
      <c r="H332" s="33">
        <v>46105</v>
      </c>
      <c r="I332" s="33">
        <v>46135</v>
      </c>
      <c r="J332" s="32" t="s">
        <v>11</v>
      </c>
      <c r="K332" s="34">
        <v>1447102.87</v>
      </c>
      <c r="L332" s="34">
        <v>1418728.3</v>
      </c>
      <c r="M332" s="34">
        <v>28374.57</v>
      </c>
      <c r="N332" s="34">
        <v>0</v>
      </c>
      <c r="O332" s="34">
        <v>0</v>
      </c>
      <c r="P332" s="34">
        <v>1447102.87</v>
      </c>
      <c r="Q332" s="34">
        <v>1447102.87</v>
      </c>
      <c r="R332" s="34">
        <v>1447102.87</v>
      </c>
      <c r="S332" s="34">
        <v>28390.0414343505</v>
      </c>
      <c r="T332" s="34">
        <v>1447102.87</v>
      </c>
      <c r="U332" s="35">
        <v>0</v>
      </c>
      <c r="V332" s="35">
        <v>1447102.87</v>
      </c>
      <c r="W332" s="35">
        <v>0</v>
      </c>
      <c r="X332" s="35">
        <v>0</v>
      </c>
      <c r="Y332" s="35">
        <v>0</v>
      </c>
      <c r="Z332" s="35">
        <v>0</v>
      </c>
      <c r="AA332" s="35">
        <v>0</v>
      </c>
      <c r="AB332" s="35">
        <v>0</v>
      </c>
      <c r="AC332" s="35">
        <v>0</v>
      </c>
      <c r="AD332" s="35">
        <v>0</v>
      </c>
      <c r="AE332" s="35">
        <v>0</v>
      </c>
      <c r="AF332" s="35">
        <v>0</v>
      </c>
      <c r="AG332" s="35">
        <v>0</v>
      </c>
      <c r="AH332" s="35">
        <v>0</v>
      </c>
      <c r="AI332" s="36">
        <v>0</v>
      </c>
      <c r="AJ332" s="36">
        <v>28390.0414343505</v>
      </c>
      <c r="AK332" s="36">
        <v>0</v>
      </c>
      <c r="AL332" s="36">
        <v>0</v>
      </c>
      <c r="AM332" s="36">
        <v>0</v>
      </c>
      <c r="AN332" s="36">
        <v>0</v>
      </c>
      <c r="AO332" s="36">
        <v>0</v>
      </c>
      <c r="AP332" s="36">
        <v>0</v>
      </c>
      <c r="AQ332" s="36">
        <v>0</v>
      </c>
      <c r="AR332" s="36">
        <v>0</v>
      </c>
      <c r="AS332" s="36">
        <v>0</v>
      </c>
      <c r="AT332" s="36">
        <v>0</v>
      </c>
      <c r="AU332" s="36">
        <v>0</v>
      </c>
      <c r="AV332" s="36">
        <v>0</v>
      </c>
      <c r="AW332" s="37">
        <v>0</v>
      </c>
      <c r="AX332" s="37">
        <v>1447102.87</v>
      </c>
      <c r="AY332" s="37"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2" t="s">
        <v>12</v>
      </c>
      <c r="BL332" s="32" t="s">
        <v>13</v>
      </c>
      <c r="BM332" s="33">
        <v>46104.805567129632</v>
      </c>
      <c r="BN332" s="32" t="s">
        <v>595</v>
      </c>
      <c r="BO332" s="32" t="s">
        <v>15</v>
      </c>
      <c r="BP332" s="38">
        <v>-30</v>
      </c>
      <c r="BQ332" s="42"/>
      <c r="BR332" s="39">
        <v>-30</v>
      </c>
      <c r="BS332" s="4" t="s">
        <v>221</v>
      </c>
      <c r="BT332" s="4" t="str">
        <f t="shared" si="21"/>
        <v>120</v>
      </c>
      <c r="BU332" s="4" t="str">
        <f t="shared" si="21"/>
        <v>-30</v>
      </c>
      <c r="BV332" s="4">
        <f t="shared" si="22"/>
        <v>30</v>
      </c>
      <c r="BW332" s="29">
        <f t="shared" si="23"/>
        <v>-43413086.100000001</v>
      </c>
      <c r="BX332" s="4">
        <v>51.49</v>
      </c>
      <c r="BY332" s="29">
        <f t="shared" si="24"/>
        <v>-61242.186391479452</v>
      </c>
    </row>
    <row r="333" spans="1:77" ht="15" hidden="1" customHeight="1" x14ac:dyDescent="0.35">
      <c r="A333" s="32" t="s">
        <v>217</v>
      </c>
      <c r="B333" s="32" t="s">
        <v>875</v>
      </c>
      <c r="C333" s="32" t="s">
        <v>7</v>
      </c>
      <c r="D333" s="32" t="s">
        <v>311</v>
      </c>
      <c r="E333" s="32" t="s">
        <v>312</v>
      </c>
      <c r="F333" s="32" t="s">
        <v>104</v>
      </c>
      <c r="G333" s="33">
        <v>46105</v>
      </c>
      <c r="H333" s="33">
        <v>46105</v>
      </c>
      <c r="I333" s="33">
        <v>46120</v>
      </c>
      <c r="J333" s="32" t="s">
        <v>11</v>
      </c>
      <c r="K333" s="34">
        <v>274627.62</v>
      </c>
      <c r="L333" s="34">
        <v>269242.77</v>
      </c>
      <c r="M333" s="34">
        <v>5384.85</v>
      </c>
      <c r="N333" s="34">
        <v>0</v>
      </c>
      <c r="O333" s="34">
        <v>0</v>
      </c>
      <c r="P333" s="34">
        <v>274627.62</v>
      </c>
      <c r="Q333" s="34">
        <v>274627.62</v>
      </c>
      <c r="R333" s="34">
        <v>274627.62</v>
      </c>
      <c r="S333" s="34">
        <v>5387.7921690647099</v>
      </c>
      <c r="T333" s="34">
        <v>274627.62</v>
      </c>
      <c r="U333" s="35">
        <v>274627.62</v>
      </c>
      <c r="V333" s="35">
        <v>0</v>
      </c>
      <c r="W333" s="35">
        <v>0</v>
      </c>
      <c r="X333" s="35">
        <v>0</v>
      </c>
      <c r="Y333" s="35">
        <v>0</v>
      </c>
      <c r="Z333" s="35">
        <v>0</v>
      </c>
      <c r="AA333" s="35">
        <v>0</v>
      </c>
      <c r="AB333" s="35">
        <v>0</v>
      </c>
      <c r="AC333" s="35">
        <v>0</v>
      </c>
      <c r="AD333" s="35">
        <v>0</v>
      </c>
      <c r="AE333" s="35">
        <v>0</v>
      </c>
      <c r="AF333" s="35">
        <v>0</v>
      </c>
      <c r="AG333" s="35">
        <v>0</v>
      </c>
      <c r="AH333" s="35">
        <v>0</v>
      </c>
      <c r="AI333" s="36">
        <v>5387.7921690647099</v>
      </c>
      <c r="AJ333" s="36">
        <v>0</v>
      </c>
      <c r="AK333" s="36">
        <v>0</v>
      </c>
      <c r="AL333" s="36">
        <v>0</v>
      </c>
      <c r="AM333" s="36">
        <v>0</v>
      </c>
      <c r="AN333" s="36">
        <v>0</v>
      </c>
      <c r="AO333" s="36">
        <v>0</v>
      </c>
      <c r="AP333" s="36">
        <v>0</v>
      </c>
      <c r="AQ333" s="36">
        <v>0</v>
      </c>
      <c r="AR333" s="36">
        <v>0</v>
      </c>
      <c r="AS333" s="36">
        <v>0</v>
      </c>
      <c r="AT333" s="36">
        <v>0</v>
      </c>
      <c r="AU333" s="36">
        <v>0</v>
      </c>
      <c r="AV333" s="36">
        <v>0</v>
      </c>
      <c r="AW333" s="37">
        <v>274627.62</v>
      </c>
      <c r="AX333" s="37">
        <v>0</v>
      </c>
      <c r="AY333" s="37">
        <v>0</v>
      </c>
      <c r="AZ333" s="37">
        <v>0</v>
      </c>
      <c r="BA333" s="37">
        <v>0</v>
      </c>
      <c r="BB333" s="37">
        <v>0</v>
      </c>
      <c r="BC333" s="37">
        <v>0</v>
      </c>
      <c r="BD333" s="37">
        <v>0</v>
      </c>
      <c r="BE333" s="37">
        <v>0</v>
      </c>
      <c r="BF333" s="37">
        <v>0</v>
      </c>
      <c r="BG333" s="37">
        <v>0</v>
      </c>
      <c r="BH333" s="37">
        <v>0</v>
      </c>
      <c r="BI333" s="37">
        <v>0</v>
      </c>
      <c r="BJ333" s="37">
        <v>0</v>
      </c>
      <c r="BK333" s="32" t="s">
        <v>12</v>
      </c>
      <c r="BL333" s="32" t="s">
        <v>13</v>
      </c>
      <c r="BM333" s="33">
        <v>46104.805775462963</v>
      </c>
      <c r="BN333" s="32" t="s">
        <v>356</v>
      </c>
      <c r="BO333" s="32" t="s">
        <v>15</v>
      </c>
      <c r="BP333" s="38">
        <v>-15</v>
      </c>
      <c r="BQ333" s="42"/>
      <c r="BR333" s="39">
        <v>-15</v>
      </c>
      <c r="BS333" s="4" t="s">
        <v>221</v>
      </c>
      <c r="BT333" s="4" t="str">
        <f t="shared" si="21"/>
        <v>120</v>
      </c>
      <c r="BU333" s="4" t="str">
        <f t="shared" si="21"/>
        <v>-15</v>
      </c>
      <c r="BV333" s="4">
        <f t="shared" si="22"/>
        <v>15</v>
      </c>
      <c r="BW333" s="29">
        <f t="shared" si="23"/>
        <v>-4119414.3</v>
      </c>
      <c r="BX333" s="4">
        <v>51.49</v>
      </c>
      <c r="BY333" s="29">
        <f t="shared" si="24"/>
        <v>-5811.1956796438362</v>
      </c>
    </row>
    <row r="334" spans="1:77" ht="15" hidden="1" customHeight="1" x14ac:dyDescent="0.35">
      <c r="A334" s="32" t="s">
        <v>217</v>
      </c>
      <c r="B334" s="32" t="s">
        <v>876</v>
      </c>
      <c r="C334" s="32" t="s">
        <v>7</v>
      </c>
      <c r="D334" s="32" t="s">
        <v>311</v>
      </c>
      <c r="E334" s="32" t="s">
        <v>312</v>
      </c>
      <c r="F334" s="32" t="s">
        <v>104</v>
      </c>
      <c r="G334" s="33">
        <v>46105</v>
      </c>
      <c r="H334" s="33">
        <v>46105</v>
      </c>
      <c r="I334" s="33">
        <v>46120</v>
      </c>
      <c r="J334" s="32" t="s">
        <v>11</v>
      </c>
      <c r="K334" s="34">
        <v>129534.46</v>
      </c>
      <c r="L334" s="34">
        <v>126994.56</v>
      </c>
      <c r="M334" s="34">
        <v>2539.9</v>
      </c>
      <c r="N334" s="34">
        <v>0</v>
      </c>
      <c r="O334" s="34">
        <v>0</v>
      </c>
      <c r="P334" s="34">
        <v>129534.46</v>
      </c>
      <c r="Q334" s="34">
        <v>129534.46</v>
      </c>
      <c r="R334" s="34">
        <v>129534.46</v>
      </c>
      <c r="S334" s="34">
        <v>2541.2766174502999</v>
      </c>
      <c r="T334" s="34">
        <v>129534.46</v>
      </c>
      <c r="U334" s="35">
        <v>129534.46</v>
      </c>
      <c r="V334" s="35">
        <v>0</v>
      </c>
      <c r="W334" s="35">
        <v>0</v>
      </c>
      <c r="X334" s="35">
        <v>0</v>
      </c>
      <c r="Y334" s="35">
        <v>0</v>
      </c>
      <c r="Z334" s="35">
        <v>0</v>
      </c>
      <c r="AA334" s="35">
        <v>0</v>
      </c>
      <c r="AB334" s="35">
        <v>0</v>
      </c>
      <c r="AC334" s="35">
        <v>0</v>
      </c>
      <c r="AD334" s="35">
        <v>0</v>
      </c>
      <c r="AE334" s="35">
        <v>0</v>
      </c>
      <c r="AF334" s="35">
        <v>0</v>
      </c>
      <c r="AG334" s="35">
        <v>0</v>
      </c>
      <c r="AH334" s="35">
        <v>0</v>
      </c>
      <c r="AI334" s="36">
        <v>2541.2766174502999</v>
      </c>
      <c r="AJ334" s="36">
        <v>0</v>
      </c>
      <c r="AK334" s="36">
        <v>0</v>
      </c>
      <c r="AL334" s="36">
        <v>0</v>
      </c>
      <c r="AM334" s="36">
        <v>0</v>
      </c>
      <c r="AN334" s="36">
        <v>0</v>
      </c>
      <c r="AO334" s="36">
        <v>0</v>
      </c>
      <c r="AP334" s="36">
        <v>0</v>
      </c>
      <c r="AQ334" s="36">
        <v>0</v>
      </c>
      <c r="AR334" s="36">
        <v>0</v>
      </c>
      <c r="AS334" s="36">
        <v>0</v>
      </c>
      <c r="AT334" s="36">
        <v>0</v>
      </c>
      <c r="AU334" s="36">
        <v>0</v>
      </c>
      <c r="AV334" s="36">
        <v>0</v>
      </c>
      <c r="AW334" s="37">
        <v>129534.46</v>
      </c>
      <c r="AX334" s="37">
        <v>0</v>
      </c>
      <c r="AY334" s="37"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2" t="s">
        <v>12</v>
      </c>
      <c r="BL334" s="32" t="s">
        <v>13</v>
      </c>
      <c r="BM334" s="33">
        <v>46104.805983796294</v>
      </c>
      <c r="BN334" s="32" t="s">
        <v>356</v>
      </c>
      <c r="BO334" s="32" t="s">
        <v>15</v>
      </c>
      <c r="BP334" s="38">
        <v>-15</v>
      </c>
      <c r="BQ334" s="42"/>
      <c r="BR334" s="39">
        <v>-15</v>
      </c>
      <c r="BS334" s="4" t="s">
        <v>221</v>
      </c>
      <c r="BT334" s="4" t="str">
        <f t="shared" si="21"/>
        <v>120</v>
      </c>
      <c r="BU334" s="4" t="str">
        <f t="shared" si="21"/>
        <v>-15</v>
      </c>
      <c r="BV334" s="4">
        <f t="shared" si="22"/>
        <v>15</v>
      </c>
      <c r="BW334" s="29">
        <f t="shared" si="23"/>
        <v>-1943016.9000000001</v>
      </c>
      <c r="BX334" s="4">
        <v>51.49</v>
      </c>
      <c r="BY334" s="29">
        <f t="shared" si="24"/>
        <v>-2740.9846624931511</v>
      </c>
    </row>
    <row r="335" spans="1:77" ht="15" hidden="1" customHeight="1" x14ac:dyDescent="0.35">
      <c r="A335" s="32" t="s">
        <v>217</v>
      </c>
      <c r="B335" s="32" t="s">
        <v>877</v>
      </c>
      <c r="C335" s="32" t="s">
        <v>7</v>
      </c>
      <c r="D335" s="32" t="s">
        <v>878</v>
      </c>
      <c r="E335" s="32" t="s">
        <v>329</v>
      </c>
      <c r="F335" s="32" t="s">
        <v>46</v>
      </c>
      <c r="G335" s="33">
        <v>46105</v>
      </c>
      <c r="H335" s="33">
        <v>46105</v>
      </c>
      <c r="I335" s="33">
        <v>46120</v>
      </c>
      <c r="J335" s="32" t="s">
        <v>11</v>
      </c>
      <c r="K335" s="34">
        <v>669648.86</v>
      </c>
      <c r="L335" s="34">
        <v>656518.49</v>
      </c>
      <c r="M335" s="34">
        <v>13130.37</v>
      </c>
      <c r="N335" s="34">
        <v>0</v>
      </c>
      <c r="O335" s="34">
        <v>0</v>
      </c>
      <c r="P335" s="34">
        <v>669648.86</v>
      </c>
      <c r="Q335" s="34">
        <v>669648.86</v>
      </c>
      <c r="R335" s="34">
        <v>669648.86</v>
      </c>
      <c r="S335" s="34">
        <v>13137.5310463351</v>
      </c>
      <c r="T335" s="34">
        <v>669648.86</v>
      </c>
      <c r="U335" s="35">
        <v>669648.86</v>
      </c>
      <c r="V335" s="35">
        <v>0</v>
      </c>
      <c r="W335" s="35">
        <v>0</v>
      </c>
      <c r="X335" s="35">
        <v>0</v>
      </c>
      <c r="Y335" s="35">
        <v>0</v>
      </c>
      <c r="Z335" s="35">
        <v>0</v>
      </c>
      <c r="AA335" s="35">
        <v>0</v>
      </c>
      <c r="AB335" s="35">
        <v>0</v>
      </c>
      <c r="AC335" s="35">
        <v>0</v>
      </c>
      <c r="AD335" s="35">
        <v>0</v>
      </c>
      <c r="AE335" s="35">
        <v>0</v>
      </c>
      <c r="AF335" s="35">
        <v>0</v>
      </c>
      <c r="AG335" s="35">
        <v>0</v>
      </c>
      <c r="AH335" s="35">
        <v>0</v>
      </c>
      <c r="AI335" s="36">
        <v>13137.5310463351</v>
      </c>
      <c r="AJ335" s="36">
        <v>0</v>
      </c>
      <c r="AK335" s="36">
        <v>0</v>
      </c>
      <c r="AL335" s="36">
        <v>0</v>
      </c>
      <c r="AM335" s="36">
        <v>0</v>
      </c>
      <c r="AN335" s="36">
        <v>0</v>
      </c>
      <c r="AO335" s="36">
        <v>0</v>
      </c>
      <c r="AP335" s="36">
        <v>0</v>
      </c>
      <c r="AQ335" s="36">
        <v>0</v>
      </c>
      <c r="AR335" s="36">
        <v>0</v>
      </c>
      <c r="AS335" s="36">
        <v>0</v>
      </c>
      <c r="AT335" s="36">
        <v>0</v>
      </c>
      <c r="AU335" s="36">
        <v>0</v>
      </c>
      <c r="AV335" s="36">
        <v>0</v>
      </c>
      <c r="AW335" s="37">
        <v>669648.86</v>
      </c>
      <c r="AX335" s="37">
        <v>0</v>
      </c>
      <c r="AY335" s="37">
        <v>0</v>
      </c>
      <c r="AZ335" s="37">
        <v>0</v>
      </c>
      <c r="BA335" s="37">
        <v>0</v>
      </c>
      <c r="BB335" s="37">
        <v>0</v>
      </c>
      <c r="BC335" s="37">
        <v>0</v>
      </c>
      <c r="BD335" s="37">
        <v>0</v>
      </c>
      <c r="BE335" s="37">
        <v>0</v>
      </c>
      <c r="BF335" s="37">
        <v>0</v>
      </c>
      <c r="BG335" s="37">
        <v>0</v>
      </c>
      <c r="BH335" s="37">
        <v>0</v>
      </c>
      <c r="BI335" s="37">
        <v>0</v>
      </c>
      <c r="BJ335" s="37">
        <v>0</v>
      </c>
      <c r="BK335" s="32" t="s">
        <v>12</v>
      </c>
      <c r="BL335" s="32" t="s">
        <v>13</v>
      </c>
      <c r="BM335" s="33">
        <v>46104.806203703702</v>
      </c>
      <c r="BN335" s="32" t="s">
        <v>879</v>
      </c>
      <c r="BO335" s="32" t="s">
        <v>15</v>
      </c>
      <c r="BP335" s="38">
        <v>-15</v>
      </c>
      <c r="BQ335" s="42"/>
      <c r="BR335" s="39">
        <v>-15</v>
      </c>
      <c r="BS335" s="4" t="s">
        <v>221</v>
      </c>
      <c r="BT335" s="4" t="str">
        <f t="shared" si="21"/>
        <v>120</v>
      </c>
      <c r="BU335" s="4" t="str">
        <f t="shared" si="21"/>
        <v>-15</v>
      </c>
      <c r="BV335" s="4">
        <f t="shared" si="22"/>
        <v>15</v>
      </c>
      <c r="BW335" s="29">
        <f t="shared" si="23"/>
        <v>-10044732.9</v>
      </c>
      <c r="BX335" s="4">
        <v>51.49</v>
      </c>
      <c r="BY335" s="29">
        <f t="shared" si="24"/>
        <v>-14169.953343041097</v>
      </c>
    </row>
    <row r="336" spans="1:77" ht="15" hidden="1" customHeight="1" x14ac:dyDescent="0.35">
      <c r="A336" s="32" t="s">
        <v>217</v>
      </c>
      <c r="B336" s="32" t="s">
        <v>880</v>
      </c>
      <c r="C336" s="32" t="s">
        <v>7</v>
      </c>
      <c r="D336" s="32" t="s">
        <v>878</v>
      </c>
      <c r="E336" s="32" t="s">
        <v>329</v>
      </c>
      <c r="F336" s="32" t="s">
        <v>46</v>
      </c>
      <c r="G336" s="33">
        <v>46105</v>
      </c>
      <c r="H336" s="33">
        <v>46105</v>
      </c>
      <c r="I336" s="33">
        <v>46120</v>
      </c>
      <c r="J336" s="32" t="s">
        <v>11</v>
      </c>
      <c r="K336" s="34">
        <v>329893.34000000003</v>
      </c>
      <c r="L336" s="34">
        <v>323424.84000000003</v>
      </c>
      <c r="M336" s="34">
        <v>6468.5</v>
      </c>
      <c r="N336" s="34">
        <v>0</v>
      </c>
      <c r="O336" s="34">
        <v>0</v>
      </c>
      <c r="P336" s="34">
        <v>329893.34000000003</v>
      </c>
      <c r="Q336" s="34">
        <v>329893.34000000003</v>
      </c>
      <c r="R336" s="34">
        <v>329893.34000000003</v>
      </c>
      <c r="S336" s="34">
        <v>6472.0247507464801</v>
      </c>
      <c r="T336" s="34">
        <v>329893.34000000003</v>
      </c>
      <c r="U336" s="35">
        <v>329893.34000000003</v>
      </c>
      <c r="V336" s="35">
        <v>0</v>
      </c>
      <c r="W336" s="35">
        <v>0</v>
      </c>
      <c r="X336" s="35">
        <v>0</v>
      </c>
      <c r="Y336" s="35">
        <v>0</v>
      </c>
      <c r="Z336" s="35">
        <v>0</v>
      </c>
      <c r="AA336" s="35">
        <v>0</v>
      </c>
      <c r="AB336" s="35">
        <v>0</v>
      </c>
      <c r="AC336" s="35">
        <v>0</v>
      </c>
      <c r="AD336" s="35">
        <v>0</v>
      </c>
      <c r="AE336" s="35">
        <v>0</v>
      </c>
      <c r="AF336" s="35">
        <v>0</v>
      </c>
      <c r="AG336" s="35">
        <v>0</v>
      </c>
      <c r="AH336" s="35">
        <v>0</v>
      </c>
      <c r="AI336" s="36">
        <v>6472.0247507464801</v>
      </c>
      <c r="AJ336" s="36">
        <v>0</v>
      </c>
      <c r="AK336" s="36">
        <v>0</v>
      </c>
      <c r="AL336" s="36">
        <v>0</v>
      </c>
      <c r="AM336" s="36">
        <v>0</v>
      </c>
      <c r="AN336" s="36">
        <v>0</v>
      </c>
      <c r="AO336" s="36">
        <v>0</v>
      </c>
      <c r="AP336" s="36">
        <v>0</v>
      </c>
      <c r="AQ336" s="36">
        <v>0</v>
      </c>
      <c r="AR336" s="36">
        <v>0</v>
      </c>
      <c r="AS336" s="36">
        <v>0</v>
      </c>
      <c r="AT336" s="36">
        <v>0</v>
      </c>
      <c r="AU336" s="36">
        <v>0</v>
      </c>
      <c r="AV336" s="36">
        <v>0</v>
      </c>
      <c r="AW336" s="37">
        <v>329893.34000000003</v>
      </c>
      <c r="AX336" s="37">
        <v>0</v>
      </c>
      <c r="AY336" s="37"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2" t="s">
        <v>12</v>
      </c>
      <c r="BL336" s="32" t="s">
        <v>13</v>
      </c>
      <c r="BM336" s="33">
        <v>46104.80641203704</v>
      </c>
      <c r="BN336" s="32" t="s">
        <v>879</v>
      </c>
      <c r="BO336" s="32" t="s">
        <v>15</v>
      </c>
      <c r="BP336" s="38">
        <v>-15</v>
      </c>
      <c r="BQ336" s="42"/>
      <c r="BR336" s="39">
        <v>-15</v>
      </c>
      <c r="BS336" s="4" t="s">
        <v>221</v>
      </c>
      <c r="BT336" s="4" t="str">
        <f t="shared" si="21"/>
        <v>120</v>
      </c>
      <c r="BU336" s="4" t="str">
        <f t="shared" si="21"/>
        <v>-15</v>
      </c>
      <c r="BV336" s="4">
        <f t="shared" si="22"/>
        <v>15</v>
      </c>
      <c r="BW336" s="29">
        <f t="shared" si="23"/>
        <v>-4948400.1000000006</v>
      </c>
      <c r="BX336" s="4">
        <v>51.49</v>
      </c>
      <c r="BY336" s="29">
        <f t="shared" si="24"/>
        <v>-6980.6334561369877</v>
      </c>
    </row>
    <row r="337" spans="1:77" ht="15" hidden="1" customHeight="1" x14ac:dyDescent="0.35">
      <c r="A337" s="32" t="s">
        <v>217</v>
      </c>
      <c r="B337" s="32" t="s">
        <v>881</v>
      </c>
      <c r="C337" s="32" t="s">
        <v>7</v>
      </c>
      <c r="D337" s="32" t="s">
        <v>593</v>
      </c>
      <c r="E337" s="32" t="s">
        <v>62</v>
      </c>
      <c r="F337" s="32" t="s">
        <v>594</v>
      </c>
      <c r="G337" s="33">
        <v>46105</v>
      </c>
      <c r="H337" s="33">
        <v>46105</v>
      </c>
      <c r="I337" s="33">
        <v>46135</v>
      </c>
      <c r="J337" s="32" t="s">
        <v>11</v>
      </c>
      <c r="K337" s="34">
        <v>29211.57</v>
      </c>
      <c r="L337" s="34">
        <v>28638.79</v>
      </c>
      <c r="M337" s="34">
        <v>572.78</v>
      </c>
      <c r="N337" s="34">
        <v>0</v>
      </c>
      <c r="O337" s="34">
        <v>0</v>
      </c>
      <c r="P337" s="34">
        <v>29211.57</v>
      </c>
      <c r="Q337" s="34">
        <v>29211.57</v>
      </c>
      <c r="R337" s="34">
        <v>29211.57</v>
      </c>
      <c r="S337" s="34">
        <v>573.08827164611296</v>
      </c>
      <c r="T337" s="34">
        <v>29211.57</v>
      </c>
      <c r="U337" s="35">
        <v>0</v>
      </c>
      <c r="V337" s="35">
        <v>29211.57</v>
      </c>
      <c r="W337" s="35">
        <v>0</v>
      </c>
      <c r="X337" s="35">
        <v>0</v>
      </c>
      <c r="Y337" s="35">
        <v>0</v>
      </c>
      <c r="Z337" s="35">
        <v>0</v>
      </c>
      <c r="AA337" s="35">
        <v>0</v>
      </c>
      <c r="AB337" s="35">
        <v>0</v>
      </c>
      <c r="AC337" s="35">
        <v>0</v>
      </c>
      <c r="AD337" s="35">
        <v>0</v>
      </c>
      <c r="AE337" s="35">
        <v>0</v>
      </c>
      <c r="AF337" s="35">
        <v>0</v>
      </c>
      <c r="AG337" s="35">
        <v>0</v>
      </c>
      <c r="AH337" s="35">
        <v>0</v>
      </c>
      <c r="AI337" s="36">
        <v>0</v>
      </c>
      <c r="AJ337" s="36">
        <v>573.08827164611296</v>
      </c>
      <c r="AK337" s="36">
        <v>0</v>
      </c>
      <c r="AL337" s="36">
        <v>0</v>
      </c>
      <c r="AM337" s="36">
        <v>0</v>
      </c>
      <c r="AN337" s="36">
        <v>0</v>
      </c>
      <c r="AO337" s="36">
        <v>0</v>
      </c>
      <c r="AP337" s="36">
        <v>0</v>
      </c>
      <c r="AQ337" s="36">
        <v>0</v>
      </c>
      <c r="AR337" s="36">
        <v>0</v>
      </c>
      <c r="AS337" s="36">
        <v>0</v>
      </c>
      <c r="AT337" s="36">
        <v>0</v>
      </c>
      <c r="AU337" s="36">
        <v>0</v>
      </c>
      <c r="AV337" s="36">
        <v>0</v>
      </c>
      <c r="AW337" s="37">
        <v>0</v>
      </c>
      <c r="AX337" s="37">
        <v>29211.57</v>
      </c>
      <c r="AY337" s="37">
        <v>0</v>
      </c>
      <c r="AZ337" s="37">
        <v>0</v>
      </c>
      <c r="BA337" s="37">
        <v>0</v>
      </c>
      <c r="BB337" s="37">
        <v>0</v>
      </c>
      <c r="BC337" s="37">
        <v>0</v>
      </c>
      <c r="BD337" s="37">
        <v>0</v>
      </c>
      <c r="BE337" s="37">
        <v>0</v>
      </c>
      <c r="BF337" s="37">
        <v>0</v>
      </c>
      <c r="BG337" s="37">
        <v>0</v>
      </c>
      <c r="BH337" s="37">
        <v>0</v>
      </c>
      <c r="BI337" s="37">
        <v>0</v>
      </c>
      <c r="BJ337" s="37">
        <v>0</v>
      </c>
      <c r="BK337" s="32" t="s">
        <v>12</v>
      </c>
      <c r="BL337" s="32" t="s">
        <v>13</v>
      </c>
      <c r="BM337" s="33">
        <v>46104.806620370371</v>
      </c>
      <c r="BN337" s="32" t="s">
        <v>595</v>
      </c>
      <c r="BO337" s="32" t="s">
        <v>15</v>
      </c>
      <c r="BP337" s="38">
        <v>-30</v>
      </c>
      <c r="BQ337" s="42"/>
      <c r="BR337" s="39">
        <v>-30</v>
      </c>
      <c r="BS337" s="4" t="s">
        <v>221</v>
      </c>
      <c r="BT337" s="4" t="str">
        <f t="shared" si="21"/>
        <v>120</v>
      </c>
      <c r="BU337" s="4" t="str">
        <f t="shared" si="21"/>
        <v>-30</v>
      </c>
      <c r="BV337" s="4">
        <f t="shared" si="22"/>
        <v>30</v>
      </c>
      <c r="BW337" s="29">
        <f t="shared" si="23"/>
        <v>-876347.1</v>
      </c>
      <c r="BX337" s="4">
        <v>51.49</v>
      </c>
      <c r="BY337" s="29">
        <f t="shared" si="24"/>
        <v>-1236.2496487397259</v>
      </c>
    </row>
    <row r="338" spans="1:77" ht="15" hidden="1" customHeight="1" x14ac:dyDescent="0.35">
      <c r="A338" s="32" t="s">
        <v>217</v>
      </c>
      <c r="B338" s="32" t="s">
        <v>882</v>
      </c>
      <c r="C338" s="32" t="s">
        <v>30</v>
      </c>
      <c r="D338" s="32" t="s">
        <v>67</v>
      </c>
      <c r="E338" s="32" t="s">
        <v>68</v>
      </c>
      <c r="F338" s="32" t="s">
        <v>69</v>
      </c>
      <c r="G338" s="33">
        <v>46105</v>
      </c>
      <c r="H338" s="33">
        <v>46105</v>
      </c>
      <c r="I338" s="33">
        <v>46112</v>
      </c>
      <c r="J338" s="32" t="s">
        <v>11</v>
      </c>
      <c r="K338" s="34">
        <v>27745187.43</v>
      </c>
      <c r="L338" s="34">
        <v>27201164.149999999</v>
      </c>
      <c r="M338" s="34">
        <v>544023.28</v>
      </c>
      <c r="N338" s="34">
        <v>0</v>
      </c>
      <c r="O338" s="34">
        <v>0</v>
      </c>
      <c r="P338" s="34">
        <v>27745187.43</v>
      </c>
      <c r="Q338" s="34">
        <v>27745187.43</v>
      </c>
      <c r="R338" s="34">
        <v>27745187.43</v>
      </c>
      <c r="S338" s="34">
        <v>544319.99070081301</v>
      </c>
      <c r="T338" s="34">
        <v>27745187.43</v>
      </c>
      <c r="U338" s="35">
        <v>27745187.43</v>
      </c>
      <c r="V338" s="35">
        <v>0</v>
      </c>
      <c r="W338" s="35">
        <v>0</v>
      </c>
      <c r="X338" s="35">
        <v>0</v>
      </c>
      <c r="Y338" s="35">
        <v>0</v>
      </c>
      <c r="Z338" s="35">
        <v>0</v>
      </c>
      <c r="AA338" s="35">
        <v>0</v>
      </c>
      <c r="AB338" s="35">
        <v>0</v>
      </c>
      <c r="AC338" s="35">
        <v>0</v>
      </c>
      <c r="AD338" s="35">
        <v>0</v>
      </c>
      <c r="AE338" s="35">
        <v>0</v>
      </c>
      <c r="AF338" s="35">
        <v>0</v>
      </c>
      <c r="AG338" s="35">
        <v>0</v>
      </c>
      <c r="AH338" s="35">
        <v>0</v>
      </c>
      <c r="AI338" s="36">
        <v>544319.99070081301</v>
      </c>
      <c r="AJ338" s="36">
        <v>0</v>
      </c>
      <c r="AK338" s="36">
        <v>0</v>
      </c>
      <c r="AL338" s="36">
        <v>0</v>
      </c>
      <c r="AM338" s="36">
        <v>0</v>
      </c>
      <c r="AN338" s="36">
        <v>0</v>
      </c>
      <c r="AO338" s="36">
        <v>0</v>
      </c>
      <c r="AP338" s="36">
        <v>0</v>
      </c>
      <c r="AQ338" s="36">
        <v>0</v>
      </c>
      <c r="AR338" s="36">
        <v>0</v>
      </c>
      <c r="AS338" s="36">
        <v>0</v>
      </c>
      <c r="AT338" s="36">
        <v>0</v>
      </c>
      <c r="AU338" s="36">
        <v>0</v>
      </c>
      <c r="AV338" s="36">
        <v>0</v>
      </c>
      <c r="AW338" s="37">
        <v>27745187.43</v>
      </c>
      <c r="AX338" s="37">
        <v>0</v>
      </c>
      <c r="AY338" s="37"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2" t="s">
        <v>12</v>
      </c>
      <c r="BL338" s="32" t="s">
        <v>13</v>
      </c>
      <c r="BM338" s="33">
        <v>46104.814143518517</v>
      </c>
      <c r="BN338" s="32" t="s">
        <v>70</v>
      </c>
      <c r="BO338" s="32" t="s">
        <v>15</v>
      </c>
      <c r="BP338" s="38">
        <v>-7</v>
      </c>
      <c r="BQ338" s="42"/>
      <c r="BR338" s="39">
        <v>-7</v>
      </c>
      <c r="BS338" s="4" t="s">
        <v>221</v>
      </c>
      <c r="BT338" s="4" t="str">
        <f t="shared" si="21"/>
        <v>120</v>
      </c>
      <c r="BU338" s="4" t="str">
        <f t="shared" si="21"/>
        <v>-7</v>
      </c>
      <c r="BV338" s="4">
        <f t="shared" si="22"/>
        <v>7</v>
      </c>
      <c r="BW338" s="29">
        <f t="shared" si="23"/>
        <v>-194216312.00999999</v>
      </c>
      <c r="BX338" s="4">
        <v>51.49</v>
      </c>
      <c r="BY338" s="29">
        <f t="shared" si="24"/>
        <v>-273978.02480533969</v>
      </c>
    </row>
    <row r="339" spans="1:77" ht="15" hidden="1" customHeight="1" x14ac:dyDescent="0.35">
      <c r="A339" s="32" t="s">
        <v>217</v>
      </c>
      <c r="B339" s="32" t="s">
        <v>883</v>
      </c>
      <c r="C339" s="32" t="s">
        <v>30</v>
      </c>
      <c r="D339" s="32" t="s">
        <v>22</v>
      </c>
      <c r="E339" s="32" t="s">
        <v>23</v>
      </c>
      <c r="F339" s="32" t="s">
        <v>24</v>
      </c>
      <c r="G339" s="33">
        <v>46105</v>
      </c>
      <c r="H339" s="33">
        <v>46105</v>
      </c>
      <c r="I339" s="33">
        <v>46135</v>
      </c>
      <c r="J339" s="32" t="s">
        <v>11</v>
      </c>
      <c r="K339" s="34">
        <v>344519.07</v>
      </c>
      <c r="L339" s="34">
        <v>337763.79</v>
      </c>
      <c r="M339" s="34">
        <v>6755.28</v>
      </c>
      <c r="N339" s="34">
        <v>0</v>
      </c>
      <c r="O339" s="34">
        <v>0</v>
      </c>
      <c r="P339" s="34">
        <v>344519.07</v>
      </c>
      <c r="Q339" s="34">
        <v>344519.07</v>
      </c>
      <c r="R339" s="34">
        <v>344519.07</v>
      </c>
      <c r="S339" s="34">
        <v>6758.9601782932696</v>
      </c>
      <c r="T339" s="34">
        <v>344519.07</v>
      </c>
      <c r="U339" s="35">
        <v>0</v>
      </c>
      <c r="V339" s="35">
        <v>344519.07</v>
      </c>
      <c r="W339" s="35">
        <v>0</v>
      </c>
      <c r="X339" s="35">
        <v>0</v>
      </c>
      <c r="Y339" s="35">
        <v>0</v>
      </c>
      <c r="Z339" s="35">
        <v>0</v>
      </c>
      <c r="AA339" s="35">
        <v>0</v>
      </c>
      <c r="AB339" s="35">
        <v>0</v>
      </c>
      <c r="AC339" s="35">
        <v>0</v>
      </c>
      <c r="AD339" s="35">
        <v>0</v>
      </c>
      <c r="AE339" s="35">
        <v>0</v>
      </c>
      <c r="AF339" s="35">
        <v>0</v>
      </c>
      <c r="AG339" s="35">
        <v>0</v>
      </c>
      <c r="AH339" s="35">
        <v>0</v>
      </c>
      <c r="AI339" s="36">
        <v>0</v>
      </c>
      <c r="AJ339" s="36">
        <v>6758.9601782932696</v>
      </c>
      <c r="AK339" s="36">
        <v>0</v>
      </c>
      <c r="AL339" s="36">
        <v>0</v>
      </c>
      <c r="AM339" s="36">
        <v>0</v>
      </c>
      <c r="AN339" s="36">
        <v>0</v>
      </c>
      <c r="AO339" s="36">
        <v>0</v>
      </c>
      <c r="AP339" s="36">
        <v>0</v>
      </c>
      <c r="AQ339" s="36">
        <v>0</v>
      </c>
      <c r="AR339" s="36">
        <v>0</v>
      </c>
      <c r="AS339" s="36">
        <v>0</v>
      </c>
      <c r="AT339" s="36">
        <v>0</v>
      </c>
      <c r="AU339" s="36">
        <v>0</v>
      </c>
      <c r="AV339" s="36">
        <v>0</v>
      </c>
      <c r="AW339" s="37">
        <v>0</v>
      </c>
      <c r="AX339" s="37">
        <v>344519.07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  <c r="BH339" s="37">
        <v>0</v>
      </c>
      <c r="BI339" s="37">
        <v>0</v>
      </c>
      <c r="BJ339" s="37">
        <v>0</v>
      </c>
      <c r="BK339" s="32" t="s">
        <v>12</v>
      </c>
      <c r="BL339" s="32" t="s">
        <v>13</v>
      </c>
      <c r="BM339" s="33">
        <v>46104.814351851855</v>
      </c>
      <c r="BN339" s="32" t="s">
        <v>25</v>
      </c>
      <c r="BO339" s="32" t="s">
        <v>26</v>
      </c>
      <c r="BP339" s="38">
        <v>-30</v>
      </c>
      <c r="BQ339" s="42"/>
      <c r="BR339" s="39">
        <v>-30</v>
      </c>
      <c r="BS339" s="4" t="s">
        <v>221</v>
      </c>
      <c r="BT339" s="4" t="str">
        <f t="shared" si="21"/>
        <v>120</v>
      </c>
      <c r="BU339" s="4" t="str">
        <f t="shared" si="21"/>
        <v>-30</v>
      </c>
      <c r="BV339" s="4">
        <f t="shared" si="22"/>
        <v>30</v>
      </c>
      <c r="BW339" s="29">
        <f t="shared" si="23"/>
        <v>-10335572.1</v>
      </c>
      <c r="BX339" s="4">
        <v>51.49</v>
      </c>
      <c r="BY339" s="29">
        <f t="shared" si="24"/>
        <v>-14580.235819972604</v>
      </c>
    </row>
    <row r="340" spans="1:77" ht="15" hidden="1" customHeight="1" x14ac:dyDescent="0.35">
      <c r="A340" s="32" t="s">
        <v>217</v>
      </c>
      <c r="B340" s="32" t="s">
        <v>884</v>
      </c>
      <c r="C340" s="32" t="s">
        <v>30</v>
      </c>
      <c r="D340" s="32" t="s">
        <v>71</v>
      </c>
      <c r="E340" s="32" t="s">
        <v>226</v>
      </c>
      <c r="F340" s="32" t="s">
        <v>72</v>
      </c>
      <c r="G340" s="33">
        <v>46105</v>
      </c>
      <c r="H340" s="33">
        <v>46105</v>
      </c>
      <c r="I340" s="33">
        <v>46135</v>
      </c>
      <c r="J340" s="32" t="s">
        <v>11</v>
      </c>
      <c r="K340" s="34">
        <v>297924.46000000002</v>
      </c>
      <c r="L340" s="34">
        <v>292082.8</v>
      </c>
      <c r="M340" s="34">
        <v>5841.66</v>
      </c>
      <c r="N340" s="34">
        <v>0</v>
      </c>
      <c r="O340" s="34">
        <v>0</v>
      </c>
      <c r="P340" s="34">
        <v>297924.46000000002</v>
      </c>
      <c r="Q340" s="34">
        <v>297924.46000000002</v>
      </c>
      <c r="R340" s="34">
        <v>297924.46000000002</v>
      </c>
      <c r="S340" s="34">
        <v>5844.8420903943697</v>
      </c>
      <c r="T340" s="34">
        <v>297924.46000000002</v>
      </c>
      <c r="U340" s="35">
        <v>0</v>
      </c>
      <c r="V340" s="35">
        <v>297924.46000000002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>
        <v>0</v>
      </c>
      <c r="AC340" s="35">
        <v>0</v>
      </c>
      <c r="AD340" s="35">
        <v>0</v>
      </c>
      <c r="AE340" s="35">
        <v>0</v>
      </c>
      <c r="AF340" s="35">
        <v>0</v>
      </c>
      <c r="AG340" s="35">
        <v>0</v>
      </c>
      <c r="AH340" s="35">
        <v>0</v>
      </c>
      <c r="AI340" s="36">
        <v>0</v>
      </c>
      <c r="AJ340" s="36">
        <v>5844.8420903943697</v>
      </c>
      <c r="AK340" s="36">
        <v>0</v>
      </c>
      <c r="AL340" s="36">
        <v>0</v>
      </c>
      <c r="AM340" s="36">
        <v>0</v>
      </c>
      <c r="AN340" s="36">
        <v>0</v>
      </c>
      <c r="AO340" s="36">
        <v>0</v>
      </c>
      <c r="AP340" s="36">
        <v>0</v>
      </c>
      <c r="AQ340" s="36">
        <v>0</v>
      </c>
      <c r="AR340" s="36">
        <v>0</v>
      </c>
      <c r="AS340" s="36">
        <v>0</v>
      </c>
      <c r="AT340" s="36">
        <v>0</v>
      </c>
      <c r="AU340" s="36">
        <v>0</v>
      </c>
      <c r="AV340" s="36">
        <v>0</v>
      </c>
      <c r="AW340" s="37">
        <v>0</v>
      </c>
      <c r="AX340" s="37">
        <v>297924.46000000002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2" t="s">
        <v>12</v>
      </c>
      <c r="BL340" s="32" t="s">
        <v>13</v>
      </c>
      <c r="BM340" s="33">
        <v>46104.819305555553</v>
      </c>
      <c r="BN340" s="32" t="s">
        <v>28</v>
      </c>
      <c r="BO340" s="32" t="s">
        <v>29</v>
      </c>
      <c r="BP340" s="38">
        <v>-30</v>
      </c>
      <c r="BQ340" s="42"/>
      <c r="BR340" s="39">
        <v>-30</v>
      </c>
      <c r="BS340" s="4" t="s">
        <v>221</v>
      </c>
      <c r="BT340" s="4" t="str">
        <f t="shared" si="21"/>
        <v>120</v>
      </c>
      <c r="BU340" s="4" t="str">
        <f t="shared" si="21"/>
        <v>-30</v>
      </c>
      <c r="BV340" s="4">
        <f t="shared" si="22"/>
        <v>30</v>
      </c>
      <c r="BW340" s="29">
        <f t="shared" si="23"/>
        <v>-8937733.8000000007</v>
      </c>
      <c r="BX340" s="4">
        <v>51.49</v>
      </c>
      <c r="BY340" s="29">
        <f t="shared" si="24"/>
        <v>-12608.326393479454</v>
      </c>
    </row>
    <row r="341" spans="1:77" ht="15" hidden="1" customHeight="1" x14ac:dyDescent="0.35">
      <c r="A341" s="32" t="s">
        <v>217</v>
      </c>
      <c r="B341" s="32" t="s">
        <v>885</v>
      </c>
      <c r="C341" s="32" t="s">
        <v>30</v>
      </c>
      <c r="D341" s="32" t="s">
        <v>71</v>
      </c>
      <c r="E341" s="32" t="s">
        <v>226</v>
      </c>
      <c r="F341" s="32" t="s">
        <v>72</v>
      </c>
      <c r="G341" s="33">
        <v>46105</v>
      </c>
      <c r="H341" s="33">
        <v>46105</v>
      </c>
      <c r="I341" s="33">
        <v>46135</v>
      </c>
      <c r="J341" s="32" t="s">
        <v>11</v>
      </c>
      <c r="K341" s="34">
        <v>296203.92</v>
      </c>
      <c r="L341" s="34">
        <v>290396</v>
      </c>
      <c r="M341" s="34">
        <v>5807.92</v>
      </c>
      <c r="N341" s="34">
        <v>0</v>
      </c>
      <c r="O341" s="34">
        <v>0</v>
      </c>
      <c r="P341" s="34">
        <v>296203.92</v>
      </c>
      <c r="Q341" s="34">
        <v>296203.92</v>
      </c>
      <c r="R341" s="34">
        <v>296203.92</v>
      </c>
      <c r="S341" s="34">
        <v>5811.0876124632596</v>
      </c>
      <c r="T341" s="34">
        <v>296203.92</v>
      </c>
      <c r="U341" s="35">
        <v>0</v>
      </c>
      <c r="V341" s="35">
        <v>296203.92</v>
      </c>
      <c r="W341" s="35">
        <v>0</v>
      </c>
      <c r="X341" s="35">
        <v>0</v>
      </c>
      <c r="Y341" s="35">
        <v>0</v>
      </c>
      <c r="Z341" s="35">
        <v>0</v>
      </c>
      <c r="AA341" s="35">
        <v>0</v>
      </c>
      <c r="AB341" s="35">
        <v>0</v>
      </c>
      <c r="AC341" s="35">
        <v>0</v>
      </c>
      <c r="AD341" s="35">
        <v>0</v>
      </c>
      <c r="AE341" s="35">
        <v>0</v>
      </c>
      <c r="AF341" s="35">
        <v>0</v>
      </c>
      <c r="AG341" s="35">
        <v>0</v>
      </c>
      <c r="AH341" s="35">
        <v>0</v>
      </c>
      <c r="AI341" s="36">
        <v>0</v>
      </c>
      <c r="AJ341" s="36">
        <v>5811.0876124632596</v>
      </c>
      <c r="AK341" s="36">
        <v>0</v>
      </c>
      <c r="AL341" s="36">
        <v>0</v>
      </c>
      <c r="AM341" s="36">
        <v>0</v>
      </c>
      <c r="AN341" s="36">
        <v>0</v>
      </c>
      <c r="AO341" s="36">
        <v>0</v>
      </c>
      <c r="AP341" s="36">
        <v>0</v>
      </c>
      <c r="AQ341" s="36">
        <v>0</v>
      </c>
      <c r="AR341" s="36">
        <v>0</v>
      </c>
      <c r="AS341" s="36">
        <v>0</v>
      </c>
      <c r="AT341" s="36">
        <v>0</v>
      </c>
      <c r="AU341" s="36">
        <v>0</v>
      </c>
      <c r="AV341" s="36">
        <v>0</v>
      </c>
      <c r="AW341" s="37">
        <v>0</v>
      </c>
      <c r="AX341" s="37">
        <v>296203.92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  <c r="BH341" s="37">
        <v>0</v>
      </c>
      <c r="BI341" s="37">
        <v>0</v>
      </c>
      <c r="BJ341" s="37">
        <v>0</v>
      </c>
      <c r="BK341" s="32" t="s">
        <v>12</v>
      </c>
      <c r="BL341" s="32" t="s">
        <v>13</v>
      </c>
      <c r="BM341" s="33">
        <v>46104.819513888891</v>
      </c>
      <c r="BN341" s="32" t="s">
        <v>28</v>
      </c>
      <c r="BO341" s="32" t="s">
        <v>29</v>
      </c>
      <c r="BP341" s="38">
        <v>-30</v>
      </c>
      <c r="BQ341" s="42"/>
      <c r="BR341" s="39">
        <v>-30</v>
      </c>
      <c r="BS341" s="4" t="s">
        <v>221</v>
      </c>
      <c r="BT341" s="4" t="str">
        <f t="shared" si="21"/>
        <v>120</v>
      </c>
      <c r="BU341" s="4" t="str">
        <f t="shared" si="21"/>
        <v>-30</v>
      </c>
      <c r="BV341" s="4">
        <f t="shared" si="22"/>
        <v>30</v>
      </c>
      <c r="BW341" s="29">
        <f t="shared" si="23"/>
        <v>-8886117.5999999996</v>
      </c>
      <c r="BX341" s="4">
        <v>51.49</v>
      </c>
      <c r="BY341" s="29">
        <f t="shared" si="24"/>
        <v>-12535.512197917807</v>
      </c>
    </row>
    <row r="342" spans="1:77" ht="15" hidden="1" customHeight="1" x14ac:dyDescent="0.35">
      <c r="A342" s="32" t="s">
        <v>217</v>
      </c>
      <c r="B342" s="32" t="s">
        <v>886</v>
      </c>
      <c r="C342" s="32" t="s">
        <v>30</v>
      </c>
      <c r="D342" s="32" t="s">
        <v>71</v>
      </c>
      <c r="E342" s="32" t="s">
        <v>226</v>
      </c>
      <c r="F342" s="32" t="s">
        <v>72</v>
      </c>
      <c r="G342" s="33">
        <v>46105</v>
      </c>
      <c r="H342" s="33">
        <v>46105</v>
      </c>
      <c r="I342" s="33">
        <v>46135</v>
      </c>
      <c r="J342" s="32" t="s">
        <v>11</v>
      </c>
      <c r="K342" s="34">
        <v>296203.92</v>
      </c>
      <c r="L342" s="34">
        <v>290396</v>
      </c>
      <c r="M342" s="34">
        <v>5807.92</v>
      </c>
      <c r="N342" s="34">
        <v>0</v>
      </c>
      <c r="O342" s="34">
        <v>0</v>
      </c>
      <c r="P342" s="34">
        <v>296203.92</v>
      </c>
      <c r="Q342" s="34">
        <v>296203.92</v>
      </c>
      <c r="R342" s="34">
        <v>296203.92</v>
      </c>
      <c r="S342" s="34">
        <v>5811.0876124632596</v>
      </c>
      <c r="T342" s="34">
        <v>296203.92</v>
      </c>
      <c r="U342" s="35">
        <v>0</v>
      </c>
      <c r="V342" s="35">
        <v>296203.92</v>
      </c>
      <c r="W342" s="35">
        <v>0</v>
      </c>
      <c r="X342" s="35">
        <v>0</v>
      </c>
      <c r="Y342" s="35">
        <v>0</v>
      </c>
      <c r="Z342" s="35">
        <v>0</v>
      </c>
      <c r="AA342" s="35">
        <v>0</v>
      </c>
      <c r="AB342" s="35">
        <v>0</v>
      </c>
      <c r="AC342" s="35">
        <v>0</v>
      </c>
      <c r="AD342" s="35">
        <v>0</v>
      </c>
      <c r="AE342" s="35">
        <v>0</v>
      </c>
      <c r="AF342" s="35">
        <v>0</v>
      </c>
      <c r="AG342" s="35">
        <v>0</v>
      </c>
      <c r="AH342" s="35">
        <v>0</v>
      </c>
      <c r="AI342" s="36">
        <v>0</v>
      </c>
      <c r="AJ342" s="36">
        <v>5811.0876124632596</v>
      </c>
      <c r="AK342" s="36">
        <v>0</v>
      </c>
      <c r="AL342" s="36">
        <v>0</v>
      </c>
      <c r="AM342" s="36">
        <v>0</v>
      </c>
      <c r="AN342" s="36">
        <v>0</v>
      </c>
      <c r="AO342" s="36">
        <v>0</v>
      </c>
      <c r="AP342" s="36">
        <v>0</v>
      </c>
      <c r="AQ342" s="36">
        <v>0</v>
      </c>
      <c r="AR342" s="36">
        <v>0</v>
      </c>
      <c r="AS342" s="36">
        <v>0</v>
      </c>
      <c r="AT342" s="36">
        <v>0</v>
      </c>
      <c r="AU342" s="36">
        <v>0</v>
      </c>
      <c r="AV342" s="36">
        <v>0</v>
      </c>
      <c r="AW342" s="37">
        <v>0</v>
      </c>
      <c r="AX342" s="37">
        <v>296203.92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2" t="s">
        <v>12</v>
      </c>
      <c r="BL342" s="32" t="s">
        <v>13</v>
      </c>
      <c r="BM342" s="33">
        <v>46104.819722222222</v>
      </c>
      <c r="BN342" s="32" t="s">
        <v>28</v>
      </c>
      <c r="BO342" s="32" t="s">
        <v>29</v>
      </c>
      <c r="BP342" s="38">
        <v>-30</v>
      </c>
      <c r="BQ342" s="42"/>
      <c r="BR342" s="39">
        <v>-30</v>
      </c>
      <c r="BS342" s="4" t="s">
        <v>221</v>
      </c>
      <c r="BT342" s="4" t="str">
        <f t="shared" si="21"/>
        <v>120</v>
      </c>
      <c r="BU342" s="4" t="str">
        <f t="shared" si="21"/>
        <v>-30</v>
      </c>
      <c r="BV342" s="4">
        <f t="shared" si="22"/>
        <v>30</v>
      </c>
      <c r="BW342" s="29">
        <f t="shared" si="23"/>
        <v>-8886117.5999999996</v>
      </c>
      <c r="BX342" s="4">
        <v>51.49</v>
      </c>
      <c r="BY342" s="29">
        <f t="shared" si="24"/>
        <v>-12535.512197917807</v>
      </c>
    </row>
    <row r="343" spans="1:77" ht="15" hidden="1" customHeight="1" x14ac:dyDescent="0.35">
      <c r="A343" s="32" t="s">
        <v>217</v>
      </c>
      <c r="B343" s="32" t="s">
        <v>887</v>
      </c>
      <c r="C343" s="32" t="s">
        <v>30</v>
      </c>
      <c r="D343" s="32" t="s">
        <v>387</v>
      </c>
      <c r="E343" s="32" t="s">
        <v>114</v>
      </c>
      <c r="F343" s="32" t="s">
        <v>388</v>
      </c>
      <c r="G343" s="33">
        <v>46105</v>
      </c>
      <c r="H343" s="33">
        <v>46105</v>
      </c>
      <c r="I343" s="33">
        <v>46120</v>
      </c>
      <c r="J343" s="32" t="s">
        <v>11</v>
      </c>
      <c r="K343" s="34">
        <v>735538.18</v>
      </c>
      <c r="L343" s="34">
        <v>721115.86</v>
      </c>
      <c r="M343" s="34">
        <v>14422.32</v>
      </c>
      <c r="N343" s="34">
        <v>0</v>
      </c>
      <c r="O343" s="34">
        <v>0</v>
      </c>
      <c r="P343" s="34">
        <v>735538.18</v>
      </c>
      <c r="Q343" s="34">
        <v>735538.18</v>
      </c>
      <c r="R343" s="34">
        <v>735538.18</v>
      </c>
      <c r="S343" s="34">
        <v>14430.183119425899</v>
      </c>
      <c r="T343" s="34">
        <v>735538.18</v>
      </c>
      <c r="U343" s="35">
        <v>735538.18</v>
      </c>
      <c r="V343" s="35">
        <v>0</v>
      </c>
      <c r="W343" s="35">
        <v>0</v>
      </c>
      <c r="X343" s="35">
        <v>0</v>
      </c>
      <c r="Y343" s="35">
        <v>0</v>
      </c>
      <c r="Z343" s="35">
        <v>0</v>
      </c>
      <c r="AA343" s="35">
        <v>0</v>
      </c>
      <c r="AB343" s="35">
        <v>0</v>
      </c>
      <c r="AC343" s="35">
        <v>0</v>
      </c>
      <c r="AD343" s="35">
        <v>0</v>
      </c>
      <c r="AE343" s="35">
        <v>0</v>
      </c>
      <c r="AF343" s="35">
        <v>0</v>
      </c>
      <c r="AG343" s="35">
        <v>0</v>
      </c>
      <c r="AH343" s="35">
        <v>0</v>
      </c>
      <c r="AI343" s="36">
        <v>14430.183119425899</v>
      </c>
      <c r="AJ343" s="36">
        <v>0</v>
      </c>
      <c r="AK343" s="36">
        <v>0</v>
      </c>
      <c r="AL343" s="36">
        <v>0</v>
      </c>
      <c r="AM343" s="36">
        <v>0</v>
      </c>
      <c r="AN343" s="36">
        <v>0</v>
      </c>
      <c r="AO343" s="36">
        <v>0</v>
      </c>
      <c r="AP343" s="36">
        <v>0</v>
      </c>
      <c r="AQ343" s="36">
        <v>0</v>
      </c>
      <c r="AR343" s="36">
        <v>0</v>
      </c>
      <c r="AS343" s="36">
        <v>0</v>
      </c>
      <c r="AT343" s="36">
        <v>0</v>
      </c>
      <c r="AU343" s="36">
        <v>0</v>
      </c>
      <c r="AV343" s="36">
        <v>0</v>
      </c>
      <c r="AW343" s="37">
        <v>735538.18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  <c r="BH343" s="37">
        <v>0</v>
      </c>
      <c r="BI343" s="37">
        <v>0</v>
      </c>
      <c r="BJ343" s="37">
        <v>0</v>
      </c>
      <c r="BK343" s="32" t="s">
        <v>12</v>
      </c>
      <c r="BL343" s="32" t="s">
        <v>13</v>
      </c>
      <c r="BM343" s="33">
        <v>46104.819930555554</v>
      </c>
      <c r="BN343" s="32" t="s">
        <v>28</v>
      </c>
      <c r="BO343" s="32" t="s">
        <v>29</v>
      </c>
      <c r="BP343" s="38">
        <v>-15</v>
      </c>
      <c r="BQ343" s="42"/>
      <c r="BR343" s="39">
        <v>-15</v>
      </c>
      <c r="BS343" s="4" t="s">
        <v>221</v>
      </c>
      <c r="BT343" s="4" t="str">
        <f t="shared" si="21"/>
        <v>120</v>
      </c>
      <c r="BU343" s="4" t="str">
        <f t="shared" si="21"/>
        <v>-15</v>
      </c>
      <c r="BV343" s="4">
        <f t="shared" si="22"/>
        <v>15</v>
      </c>
      <c r="BW343" s="29">
        <f t="shared" si="23"/>
        <v>-11033072.700000001</v>
      </c>
      <c r="BX343" s="4">
        <v>51.49</v>
      </c>
      <c r="BY343" s="29">
        <f t="shared" si="24"/>
        <v>-15564.189406109592</v>
      </c>
    </row>
    <row r="344" spans="1:77" ht="15" hidden="1" customHeight="1" x14ac:dyDescent="0.35">
      <c r="A344" s="32" t="s">
        <v>217</v>
      </c>
      <c r="B344" s="32" t="s">
        <v>888</v>
      </c>
      <c r="C344" s="32" t="s">
        <v>30</v>
      </c>
      <c r="D344" s="32" t="s">
        <v>889</v>
      </c>
      <c r="E344" s="32" t="s">
        <v>78</v>
      </c>
      <c r="F344" s="32" t="s">
        <v>890</v>
      </c>
      <c r="G344" s="33">
        <v>46105</v>
      </c>
      <c r="H344" s="33">
        <v>46105</v>
      </c>
      <c r="I344" s="33">
        <v>46120</v>
      </c>
      <c r="J344" s="32" t="s">
        <v>11</v>
      </c>
      <c r="K344" s="34">
        <v>230694.05</v>
      </c>
      <c r="L344" s="34">
        <v>226170.64</v>
      </c>
      <c r="M344" s="34">
        <v>4523.41</v>
      </c>
      <c r="N344" s="34">
        <v>0</v>
      </c>
      <c r="O344" s="34">
        <v>0</v>
      </c>
      <c r="P344" s="34">
        <v>230694.05</v>
      </c>
      <c r="Q344" s="34">
        <v>230694.05</v>
      </c>
      <c r="R344" s="34">
        <v>230694.05</v>
      </c>
      <c r="S344" s="34">
        <v>4525.8797932990901</v>
      </c>
      <c r="T344" s="34">
        <v>230694.05</v>
      </c>
      <c r="U344" s="35">
        <v>230694.05</v>
      </c>
      <c r="V344" s="35">
        <v>0</v>
      </c>
      <c r="W344" s="35">
        <v>0</v>
      </c>
      <c r="X344" s="35">
        <v>0</v>
      </c>
      <c r="Y344" s="35">
        <v>0</v>
      </c>
      <c r="Z344" s="35">
        <v>0</v>
      </c>
      <c r="AA344" s="35">
        <v>0</v>
      </c>
      <c r="AB344" s="35">
        <v>0</v>
      </c>
      <c r="AC344" s="35">
        <v>0</v>
      </c>
      <c r="AD344" s="35">
        <v>0</v>
      </c>
      <c r="AE344" s="35">
        <v>0</v>
      </c>
      <c r="AF344" s="35">
        <v>0</v>
      </c>
      <c r="AG344" s="35">
        <v>0</v>
      </c>
      <c r="AH344" s="35">
        <v>0</v>
      </c>
      <c r="AI344" s="36">
        <v>4525.8797932990901</v>
      </c>
      <c r="AJ344" s="36">
        <v>0</v>
      </c>
      <c r="AK344" s="36">
        <v>0</v>
      </c>
      <c r="AL344" s="36">
        <v>0</v>
      </c>
      <c r="AM344" s="36">
        <v>0</v>
      </c>
      <c r="AN344" s="36">
        <v>0</v>
      </c>
      <c r="AO344" s="36">
        <v>0</v>
      </c>
      <c r="AP344" s="36">
        <v>0</v>
      </c>
      <c r="AQ344" s="36">
        <v>0</v>
      </c>
      <c r="AR344" s="36">
        <v>0</v>
      </c>
      <c r="AS344" s="36">
        <v>0</v>
      </c>
      <c r="AT344" s="36">
        <v>0</v>
      </c>
      <c r="AU344" s="36">
        <v>0</v>
      </c>
      <c r="AV344" s="36">
        <v>0</v>
      </c>
      <c r="AW344" s="37">
        <v>230694.05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2" t="s">
        <v>12</v>
      </c>
      <c r="BL344" s="32" t="s">
        <v>13</v>
      </c>
      <c r="BM344" s="33">
        <v>46104.820138888892</v>
      </c>
      <c r="BN344" s="32" t="s">
        <v>28</v>
      </c>
      <c r="BO344" s="32" t="s">
        <v>29</v>
      </c>
      <c r="BP344" s="38">
        <v>-15</v>
      </c>
      <c r="BQ344" s="42"/>
      <c r="BR344" s="39">
        <v>-15</v>
      </c>
      <c r="BS344" s="4" t="s">
        <v>221</v>
      </c>
      <c r="BT344" s="4" t="str">
        <f t="shared" si="21"/>
        <v>120</v>
      </c>
      <c r="BU344" s="4" t="str">
        <f t="shared" si="21"/>
        <v>-15</v>
      </c>
      <c r="BV344" s="4">
        <f t="shared" si="22"/>
        <v>15</v>
      </c>
      <c r="BW344" s="29">
        <f t="shared" si="23"/>
        <v>-3460410.75</v>
      </c>
      <c r="BX344" s="4">
        <v>51.49</v>
      </c>
      <c r="BY344" s="29">
        <f t="shared" si="24"/>
        <v>-4881.5493018493153</v>
      </c>
    </row>
    <row r="345" spans="1:77" ht="15" hidden="1" customHeight="1" x14ac:dyDescent="0.35">
      <c r="A345" s="32" t="s">
        <v>217</v>
      </c>
      <c r="B345" s="32" t="s">
        <v>891</v>
      </c>
      <c r="C345" s="32" t="s">
        <v>30</v>
      </c>
      <c r="D345" s="32" t="s">
        <v>892</v>
      </c>
      <c r="E345" s="32" t="s">
        <v>313</v>
      </c>
      <c r="F345" s="32" t="s">
        <v>351</v>
      </c>
      <c r="G345" s="33">
        <v>46105</v>
      </c>
      <c r="H345" s="33">
        <v>46105</v>
      </c>
      <c r="I345" s="33">
        <v>46120</v>
      </c>
      <c r="J345" s="32" t="s">
        <v>11</v>
      </c>
      <c r="K345" s="34">
        <v>130861.96</v>
      </c>
      <c r="L345" s="34">
        <v>128296.04</v>
      </c>
      <c r="M345" s="34">
        <v>2565.92</v>
      </c>
      <c r="N345" s="34">
        <v>0</v>
      </c>
      <c r="O345" s="34">
        <v>0</v>
      </c>
      <c r="P345" s="34">
        <v>130861.96</v>
      </c>
      <c r="Q345" s="34">
        <v>130861.96</v>
      </c>
      <c r="R345" s="34">
        <v>130861.96</v>
      </c>
      <c r="S345" s="34">
        <v>2567.3202255347001</v>
      </c>
      <c r="T345" s="34">
        <v>130861.96</v>
      </c>
      <c r="U345" s="35">
        <v>130861.96</v>
      </c>
      <c r="V345" s="35">
        <v>0</v>
      </c>
      <c r="W345" s="35">
        <v>0</v>
      </c>
      <c r="X345" s="35">
        <v>0</v>
      </c>
      <c r="Y345" s="35">
        <v>0</v>
      </c>
      <c r="Z345" s="35">
        <v>0</v>
      </c>
      <c r="AA345" s="35">
        <v>0</v>
      </c>
      <c r="AB345" s="35">
        <v>0</v>
      </c>
      <c r="AC345" s="35">
        <v>0</v>
      </c>
      <c r="AD345" s="35">
        <v>0</v>
      </c>
      <c r="AE345" s="35">
        <v>0</v>
      </c>
      <c r="AF345" s="35">
        <v>0</v>
      </c>
      <c r="AG345" s="35">
        <v>0</v>
      </c>
      <c r="AH345" s="35">
        <v>0</v>
      </c>
      <c r="AI345" s="36">
        <v>2567.3202255347001</v>
      </c>
      <c r="AJ345" s="36">
        <v>0</v>
      </c>
      <c r="AK345" s="36">
        <v>0</v>
      </c>
      <c r="AL345" s="36">
        <v>0</v>
      </c>
      <c r="AM345" s="36">
        <v>0</v>
      </c>
      <c r="AN345" s="36">
        <v>0</v>
      </c>
      <c r="AO345" s="36">
        <v>0</v>
      </c>
      <c r="AP345" s="36">
        <v>0</v>
      </c>
      <c r="AQ345" s="36">
        <v>0</v>
      </c>
      <c r="AR345" s="36">
        <v>0</v>
      </c>
      <c r="AS345" s="36">
        <v>0</v>
      </c>
      <c r="AT345" s="36">
        <v>0</v>
      </c>
      <c r="AU345" s="36">
        <v>0</v>
      </c>
      <c r="AV345" s="36">
        <v>0</v>
      </c>
      <c r="AW345" s="37">
        <v>130861.96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  <c r="BH345" s="37">
        <v>0</v>
      </c>
      <c r="BI345" s="37">
        <v>0</v>
      </c>
      <c r="BJ345" s="37">
        <v>0</v>
      </c>
      <c r="BK345" s="32" t="s">
        <v>12</v>
      </c>
      <c r="BL345" s="32" t="s">
        <v>13</v>
      </c>
      <c r="BM345" s="33">
        <v>46104.8203587963</v>
      </c>
      <c r="BN345" s="32" t="s">
        <v>28</v>
      </c>
      <c r="BO345" s="32" t="s">
        <v>29</v>
      </c>
      <c r="BP345" s="38">
        <v>-15</v>
      </c>
      <c r="BQ345" s="42"/>
      <c r="BR345" s="39">
        <v>-15</v>
      </c>
      <c r="BS345" s="4" t="s">
        <v>221</v>
      </c>
      <c r="BT345" s="4" t="str">
        <f t="shared" si="21"/>
        <v>120</v>
      </c>
      <c r="BU345" s="4" t="str">
        <f t="shared" si="21"/>
        <v>-15</v>
      </c>
      <c r="BV345" s="4">
        <f t="shared" si="22"/>
        <v>15</v>
      </c>
      <c r="BW345" s="29">
        <f t="shared" si="23"/>
        <v>-1962929.4000000001</v>
      </c>
      <c r="BX345" s="4">
        <v>51.49</v>
      </c>
      <c r="BY345" s="29">
        <f t="shared" si="24"/>
        <v>-2769.0749261917813</v>
      </c>
    </row>
    <row r="346" spans="1:77" ht="15" hidden="1" customHeight="1" x14ac:dyDescent="0.35">
      <c r="A346" s="32" t="s">
        <v>217</v>
      </c>
      <c r="B346" s="32" t="s">
        <v>893</v>
      </c>
      <c r="C346" s="32" t="s">
        <v>30</v>
      </c>
      <c r="D346" s="32" t="s">
        <v>441</v>
      </c>
      <c r="E346" s="32" t="s">
        <v>234</v>
      </c>
      <c r="F346" s="32" t="s">
        <v>509</v>
      </c>
      <c r="G346" s="33">
        <v>46105</v>
      </c>
      <c r="H346" s="33">
        <v>46105</v>
      </c>
      <c r="I346" s="33">
        <v>46120</v>
      </c>
      <c r="J346" s="32" t="s">
        <v>11</v>
      </c>
      <c r="K346" s="34">
        <v>293867.42</v>
      </c>
      <c r="L346" s="34">
        <v>244889.52</v>
      </c>
      <c r="M346" s="34">
        <v>48977.9</v>
      </c>
      <c r="N346" s="34">
        <v>0</v>
      </c>
      <c r="O346" s="34">
        <v>0</v>
      </c>
      <c r="P346" s="34">
        <v>293867.42</v>
      </c>
      <c r="Q346" s="34">
        <v>293867.42</v>
      </c>
      <c r="R346" s="34">
        <v>293867.42</v>
      </c>
      <c r="S346" s="34">
        <v>5765.2489003809897</v>
      </c>
      <c r="T346" s="34">
        <v>293867.42</v>
      </c>
      <c r="U346" s="35">
        <v>293867.42</v>
      </c>
      <c r="V346" s="35">
        <v>0</v>
      </c>
      <c r="W346" s="35">
        <v>0</v>
      </c>
      <c r="X346" s="35">
        <v>0</v>
      </c>
      <c r="Y346" s="35">
        <v>0</v>
      </c>
      <c r="Z346" s="35">
        <v>0</v>
      </c>
      <c r="AA346" s="35">
        <v>0</v>
      </c>
      <c r="AB346" s="35">
        <v>0</v>
      </c>
      <c r="AC346" s="35">
        <v>0</v>
      </c>
      <c r="AD346" s="35">
        <v>0</v>
      </c>
      <c r="AE346" s="35">
        <v>0</v>
      </c>
      <c r="AF346" s="35">
        <v>0</v>
      </c>
      <c r="AG346" s="35">
        <v>0</v>
      </c>
      <c r="AH346" s="35">
        <v>0</v>
      </c>
      <c r="AI346" s="36">
        <v>5765.2489003809897</v>
      </c>
      <c r="AJ346" s="36">
        <v>0</v>
      </c>
      <c r="AK346" s="36">
        <v>0</v>
      </c>
      <c r="AL346" s="36">
        <v>0</v>
      </c>
      <c r="AM346" s="36">
        <v>0</v>
      </c>
      <c r="AN346" s="36">
        <v>0</v>
      </c>
      <c r="AO346" s="36">
        <v>0</v>
      </c>
      <c r="AP346" s="36">
        <v>0</v>
      </c>
      <c r="AQ346" s="36">
        <v>0</v>
      </c>
      <c r="AR346" s="36">
        <v>0</v>
      </c>
      <c r="AS346" s="36">
        <v>0</v>
      </c>
      <c r="AT346" s="36">
        <v>0</v>
      </c>
      <c r="AU346" s="36">
        <v>0</v>
      </c>
      <c r="AV346" s="36">
        <v>0</v>
      </c>
      <c r="AW346" s="37">
        <v>293867.42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2" t="s">
        <v>12</v>
      </c>
      <c r="BL346" s="32" t="s">
        <v>13</v>
      </c>
      <c r="BM346" s="33">
        <v>46104.820567129631</v>
      </c>
      <c r="BN346" s="32" t="s">
        <v>28</v>
      </c>
      <c r="BO346" s="32" t="s">
        <v>29</v>
      </c>
      <c r="BP346" s="38">
        <v>-15</v>
      </c>
      <c r="BQ346" s="42"/>
      <c r="BR346" s="39">
        <v>-15</v>
      </c>
      <c r="BS346" s="4" t="s">
        <v>221</v>
      </c>
      <c r="BT346" s="4" t="str">
        <f t="shared" si="21"/>
        <v>120</v>
      </c>
      <c r="BU346" s="4" t="str">
        <f t="shared" si="21"/>
        <v>-15</v>
      </c>
      <c r="BV346" s="4">
        <f t="shared" si="22"/>
        <v>15</v>
      </c>
      <c r="BW346" s="29">
        <f t="shared" si="23"/>
        <v>-4408011.3</v>
      </c>
      <c r="BX346" s="4">
        <v>51.49</v>
      </c>
      <c r="BY346" s="29">
        <f t="shared" si="24"/>
        <v>-6218.3151188219181</v>
      </c>
    </row>
    <row r="347" spans="1:77" ht="15" hidden="1" customHeight="1" x14ac:dyDescent="0.35">
      <c r="A347" s="32" t="s">
        <v>217</v>
      </c>
      <c r="B347" s="32" t="s">
        <v>894</v>
      </c>
      <c r="C347" s="32" t="s">
        <v>38</v>
      </c>
      <c r="D347" s="32" t="s">
        <v>593</v>
      </c>
      <c r="E347" s="32" t="s">
        <v>62</v>
      </c>
      <c r="F347" s="32" t="s">
        <v>594</v>
      </c>
      <c r="G347" s="33">
        <v>46105</v>
      </c>
      <c r="H347" s="33">
        <v>46105</v>
      </c>
      <c r="I347" s="33">
        <v>46135</v>
      </c>
      <c r="J347" s="32" t="s">
        <v>11</v>
      </c>
      <c r="K347" s="34">
        <v>4585.62</v>
      </c>
      <c r="L347" s="34">
        <v>4495.71</v>
      </c>
      <c r="M347" s="34">
        <v>89.91</v>
      </c>
      <c r="N347" s="34">
        <v>0</v>
      </c>
      <c r="O347" s="34">
        <v>0</v>
      </c>
      <c r="P347" s="34">
        <v>4585.62</v>
      </c>
      <c r="Q347" s="34">
        <v>4585.62</v>
      </c>
      <c r="R347" s="34">
        <v>4585.62</v>
      </c>
      <c r="S347" s="34">
        <v>89.963156387207107</v>
      </c>
      <c r="T347" s="34">
        <v>4585.62</v>
      </c>
      <c r="U347" s="35">
        <v>0</v>
      </c>
      <c r="V347" s="35">
        <v>4585.62</v>
      </c>
      <c r="W347" s="35">
        <v>0</v>
      </c>
      <c r="X347" s="35">
        <v>0</v>
      </c>
      <c r="Y347" s="35">
        <v>0</v>
      </c>
      <c r="Z347" s="35">
        <v>0</v>
      </c>
      <c r="AA347" s="35">
        <v>0</v>
      </c>
      <c r="AB347" s="35">
        <v>0</v>
      </c>
      <c r="AC347" s="35">
        <v>0</v>
      </c>
      <c r="AD347" s="35">
        <v>0</v>
      </c>
      <c r="AE347" s="35">
        <v>0</v>
      </c>
      <c r="AF347" s="35">
        <v>0</v>
      </c>
      <c r="AG347" s="35">
        <v>0</v>
      </c>
      <c r="AH347" s="35">
        <v>0</v>
      </c>
      <c r="AI347" s="36">
        <v>0</v>
      </c>
      <c r="AJ347" s="36">
        <v>89.963156387207107</v>
      </c>
      <c r="AK347" s="36">
        <v>0</v>
      </c>
      <c r="AL347" s="36">
        <v>0</v>
      </c>
      <c r="AM347" s="36">
        <v>0</v>
      </c>
      <c r="AN347" s="36">
        <v>0</v>
      </c>
      <c r="AO347" s="36">
        <v>0</v>
      </c>
      <c r="AP347" s="36">
        <v>0</v>
      </c>
      <c r="AQ347" s="36">
        <v>0</v>
      </c>
      <c r="AR347" s="36">
        <v>0</v>
      </c>
      <c r="AS347" s="36">
        <v>0</v>
      </c>
      <c r="AT347" s="36">
        <v>0</v>
      </c>
      <c r="AU347" s="36">
        <v>0</v>
      </c>
      <c r="AV347" s="36">
        <v>0</v>
      </c>
      <c r="AW347" s="37">
        <v>0</v>
      </c>
      <c r="AX347" s="37">
        <v>4585.62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  <c r="BH347" s="37">
        <v>0</v>
      </c>
      <c r="BI347" s="37">
        <v>0</v>
      </c>
      <c r="BJ347" s="37">
        <v>0</v>
      </c>
      <c r="BK347" s="32" t="s">
        <v>12</v>
      </c>
      <c r="BL347" s="32" t="s">
        <v>13</v>
      </c>
      <c r="BM347" s="33">
        <v>46105.428854166668</v>
      </c>
      <c r="BN347" s="32" t="s">
        <v>595</v>
      </c>
      <c r="BO347" s="32" t="s">
        <v>15</v>
      </c>
      <c r="BP347" s="38">
        <v>-30</v>
      </c>
      <c r="BQ347" s="42"/>
      <c r="BR347" s="39">
        <v>-30</v>
      </c>
      <c r="BS347" s="4" t="s">
        <v>221</v>
      </c>
      <c r="BT347" s="4" t="str">
        <f t="shared" si="21"/>
        <v>120</v>
      </c>
      <c r="BU347" s="4" t="str">
        <f t="shared" si="21"/>
        <v>-30</v>
      </c>
      <c r="BV347" s="4">
        <f t="shared" si="22"/>
        <v>30</v>
      </c>
      <c r="BW347" s="29">
        <f t="shared" si="23"/>
        <v>-137568.6</v>
      </c>
      <c r="BX347" s="4">
        <v>51.49</v>
      </c>
      <c r="BY347" s="29">
        <f t="shared" si="24"/>
        <v>-194.06595106849318</v>
      </c>
    </row>
    <row r="348" spans="1:77" ht="15" hidden="1" customHeight="1" x14ac:dyDescent="0.35">
      <c r="A348" s="32" t="s">
        <v>217</v>
      </c>
      <c r="B348" s="32" t="s">
        <v>895</v>
      </c>
      <c r="C348" s="32" t="s">
        <v>35</v>
      </c>
      <c r="D348" s="32" t="s">
        <v>593</v>
      </c>
      <c r="E348" s="32" t="s">
        <v>62</v>
      </c>
      <c r="F348" s="32" t="s">
        <v>594</v>
      </c>
      <c r="G348" s="33">
        <v>46105</v>
      </c>
      <c r="H348" s="33">
        <v>46105</v>
      </c>
      <c r="I348" s="33">
        <v>46135</v>
      </c>
      <c r="J348" s="32" t="s">
        <v>11</v>
      </c>
      <c r="K348" s="34">
        <v>29181.24</v>
      </c>
      <c r="L348" s="34">
        <v>28609.06</v>
      </c>
      <c r="M348" s="34">
        <v>572.17999999999995</v>
      </c>
      <c r="N348" s="34">
        <v>0</v>
      </c>
      <c r="O348" s="34">
        <v>0</v>
      </c>
      <c r="P348" s="34">
        <v>29181.24</v>
      </c>
      <c r="Q348" s="34">
        <v>29181.24</v>
      </c>
      <c r="R348" s="34">
        <v>29181.24</v>
      </c>
      <c r="S348" s="34">
        <v>572.49324141394698</v>
      </c>
      <c r="T348" s="34">
        <v>29181.24</v>
      </c>
      <c r="U348" s="35">
        <v>0</v>
      </c>
      <c r="V348" s="35">
        <v>29181.24</v>
      </c>
      <c r="W348" s="35">
        <v>0</v>
      </c>
      <c r="X348" s="35">
        <v>0</v>
      </c>
      <c r="Y348" s="35">
        <v>0</v>
      </c>
      <c r="Z348" s="35">
        <v>0</v>
      </c>
      <c r="AA348" s="35">
        <v>0</v>
      </c>
      <c r="AB348" s="35">
        <v>0</v>
      </c>
      <c r="AC348" s="35">
        <v>0</v>
      </c>
      <c r="AD348" s="35">
        <v>0</v>
      </c>
      <c r="AE348" s="35">
        <v>0</v>
      </c>
      <c r="AF348" s="35">
        <v>0</v>
      </c>
      <c r="AG348" s="35">
        <v>0</v>
      </c>
      <c r="AH348" s="35">
        <v>0</v>
      </c>
      <c r="AI348" s="36">
        <v>0</v>
      </c>
      <c r="AJ348" s="36">
        <v>572.49324141394698</v>
      </c>
      <c r="AK348" s="36">
        <v>0</v>
      </c>
      <c r="AL348" s="36">
        <v>0</v>
      </c>
      <c r="AM348" s="36">
        <v>0</v>
      </c>
      <c r="AN348" s="36">
        <v>0</v>
      </c>
      <c r="AO348" s="36">
        <v>0</v>
      </c>
      <c r="AP348" s="36">
        <v>0</v>
      </c>
      <c r="AQ348" s="36">
        <v>0</v>
      </c>
      <c r="AR348" s="36">
        <v>0</v>
      </c>
      <c r="AS348" s="36">
        <v>0</v>
      </c>
      <c r="AT348" s="36">
        <v>0</v>
      </c>
      <c r="AU348" s="36">
        <v>0</v>
      </c>
      <c r="AV348" s="36">
        <v>0</v>
      </c>
      <c r="AW348" s="37">
        <v>0</v>
      </c>
      <c r="AX348" s="37">
        <v>29181.24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2" t="s">
        <v>12</v>
      </c>
      <c r="BL348" s="32" t="s">
        <v>13</v>
      </c>
      <c r="BM348" s="33">
        <v>46105.429062499999</v>
      </c>
      <c r="BN348" s="32" t="s">
        <v>595</v>
      </c>
      <c r="BO348" s="32" t="s">
        <v>15</v>
      </c>
      <c r="BP348" s="38">
        <v>-30</v>
      </c>
      <c r="BQ348" s="42"/>
      <c r="BR348" s="39">
        <v>-30</v>
      </c>
      <c r="BS348" s="4" t="s">
        <v>221</v>
      </c>
      <c r="BT348" s="4" t="str">
        <f t="shared" si="21"/>
        <v>120</v>
      </c>
      <c r="BU348" s="4" t="str">
        <f t="shared" si="21"/>
        <v>-30</v>
      </c>
      <c r="BV348" s="4">
        <f t="shared" si="22"/>
        <v>30</v>
      </c>
      <c r="BW348" s="29">
        <f t="shared" si="23"/>
        <v>-875437.20000000007</v>
      </c>
      <c r="BX348" s="4">
        <v>51.49</v>
      </c>
      <c r="BY348" s="29">
        <f t="shared" si="24"/>
        <v>-1234.9660665205481</v>
      </c>
    </row>
    <row r="349" spans="1:77" ht="15" hidden="1" customHeight="1" x14ac:dyDescent="0.35">
      <c r="A349" s="32" t="s">
        <v>217</v>
      </c>
      <c r="B349" s="32" t="s">
        <v>896</v>
      </c>
      <c r="C349" s="32" t="s">
        <v>897</v>
      </c>
      <c r="D349" s="32" t="s">
        <v>593</v>
      </c>
      <c r="E349" s="32" t="s">
        <v>62</v>
      </c>
      <c r="F349" s="32" t="s">
        <v>594</v>
      </c>
      <c r="G349" s="33">
        <v>46105</v>
      </c>
      <c r="H349" s="33">
        <v>46105</v>
      </c>
      <c r="I349" s="33">
        <v>46135</v>
      </c>
      <c r="J349" s="32" t="s">
        <v>37</v>
      </c>
      <c r="K349" s="34">
        <v>35</v>
      </c>
      <c r="L349" s="34">
        <v>35</v>
      </c>
      <c r="M349" s="34">
        <v>0</v>
      </c>
      <c r="N349" s="34">
        <v>0</v>
      </c>
      <c r="O349" s="34">
        <v>0</v>
      </c>
      <c r="P349" s="34">
        <v>35</v>
      </c>
      <c r="Q349" s="34">
        <v>35</v>
      </c>
      <c r="R349" s="34">
        <v>35</v>
      </c>
      <c r="S349" s="34">
        <v>35</v>
      </c>
      <c r="T349" s="34">
        <v>1784.027</v>
      </c>
      <c r="U349" s="35">
        <v>0</v>
      </c>
      <c r="V349" s="35">
        <v>35</v>
      </c>
      <c r="W349" s="35">
        <v>0</v>
      </c>
      <c r="X349" s="35">
        <v>0</v>
      </c>
      <c r="Y349" s="35">
        <v>0</v>
      </c>
      <c r="Z349" s="35">
        <v>0</v>
      </c>
      <c r="AA349" s="35">
        <v>0</v>
      </c>
      <c r="AB349" s="35">
        <v>0</v>
      </c>
      <c r="AC349" s="35">
        <v>0</v>
      </c>
      <c r="AD349" s="35">
        <v>0</v>
      </c>
      <c r="AE349" s="35">
        <v>0</v>
      </c>
      <c r="AF349" s="35">
        <v>0</v>
      </c>
      <c r="AG349" s="35">
        <v>0</v>
      </c>
      <c r="AH349" s="35">
        <v>0</v>
      </c>
      <c r="AI349" s="36">
        <v>0</v>
      </c>
      <c r="AJ349" s="36">
        <v>35</v>
      </c>
      <c r="AK349" s="36">
        <v>0</v>
      </c>
      <c r="AL349" s="36">
        <v>0</v>
      </c>
      <c r="AM349" s="36">
        <v>0</v>
      </c>
      <c r="AN349" s="36">
        <v>0</v>
      </c>
      <c r="AO349" s="36">
        <v>0</v>
      </c>
      <c r="AP349" s="36">
        <v>0</v>
      </c>
      <c r="AQ349" s="36">
        <v>0</v>
      </c>
      <c r="AR349" s="36">
        <v>0</v>
      </c>
      <c r="AS349" s="36">
        <v>0</v>
      </c>
      <c r="AT349" s="36">
        <v>0</v>
      </c>
      <c r="AU349" s="36">
        <v>0</v>
      </c>
      <c r="AV349" s="36">
        <v>0</v>
      </c>
      <c r="AW349" s="37">
        <v>0</v>
      </c>
      <c r="AX349" s="37">
        <v>1784.027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  <c r="BH349" s="37">
        <v>0</v>
      </c>
      <c r="BI349" s="37">
        <v>0</v>
      </c>
      <c r="BJ349" s="37">
        <v>0</v>
      </c>
      <c r="BK349" s="32" t="s">
        <v>12</v>
      </c>
      <c r="BL349" s="32" t="s">
        <v>13</v>
      </c>
      <c r="BM349" s="33">
        <v>46105.429270833331</v>
      </c>
      <c r="BN349" s="32" t="s">
        <v>595</v>
      </c>
      <c r="BO349" s="32" t="s">
        <v>15</v>
      </c>
      <c r="BP349" s="38">
        <v>-30</v>
      </c>
      <c r="BQ349" s="42"/>
      <c r="BR349" s="39">
        <v>-30</v>
      </c>
      <c r="BS349" s="4" t="s">
        <v>221</v>
      </c>
      <c r="BT349" s="4" t="str">
        <f t="shared" si="21"/>
        <v>120</v>
      </c>
      <c r="BU349" s="4" t="str">
        <f t="shared" si="21"/>
        <v>-30</v>
      </c>
      <c r="BV349" s="4">
        <f t="shared" si="22"/>
        <v>30</v>
      </c>
      <c r="BW349" s="29">
        <f t="shared" si="23"/>
        <v>-1050</v>
      </c>
      <c r="BX349" s="4">
        <v>51.49</v>
      </c>
      <c r="BY349" s="29">
        <f t="shared" si="24"/>
        <v>-1.4812191780821917</v>
      </c>
    </row>
    <row r="350" spans="1:77" ht="15" hidden="1" customHeight="1" x14ac:dyDescent="0.35">
      <c r="A350" s="32" t="s">
        <v>217</v>
      </c>
      <c r="B350" s="32" t="s">
        <v>898</v>
      </c>
      <c r="C350" s="32" t="s">
        <v>42</v>
      </c>
      <c r="D350" s="32" t="s">
        <v>593</v>
      </c>
      <c r="E350" s="32" t="s">
        <v>62</v>
      </c>
      <c r="F350" s="32" t="s">
        <v>594</v>
      </c>
      <c r="G350" s="33">
        <v>46105</v>
      </c>
      <c r="H350" s="33">
        <v>46105</v>
      </c>
      <c r="I350" s="33">
        <v>46135</v>
      </c>
      <c r="J350" s="32" t="s">
        <v>11</v>
      </c>
      <c r="K350" s="34">
        <v>62531.22</v>
      </c>
      <c r="L350" s="34">
        <v>61305.120000000003</v>
      </c>
      <c r="M350" s="34">
        <v>1226.0999999999999</v>
      </c>
      <c r="N350" s="34">
        <v>0</v>
      </c>
      <c r="O350" s="34">
        <v>0</v>
      </c>
      <c r="P350" s="34">
        <v>62531.22</v>
      </c>
      <c r="Q350" s="34">
        <v>62531.22</v>
      </c>
      <c r="R350" s="34">
        <v>62531.22</v>
      </c>
      <c r="S350" s="34">
        <v>1226.77106344242</v>
      </c>
      <c r="T350" s="34">
        <v>62531.22</v>
      </c>
      <c r="U350" s="35">
        <v>0</v>
      </c>
      <c r="V350" s="35">
        <v>62531.22</v>
      </c>
      <c r="W350" s="35">
        <v>0</v>
      </c>
      <c r="X350" s="35">
        <v>0</v>
      </c>
      <c r="Y350" s="35">
        <v>0</v>
      </c>
      <c r="Z350" s="35">
        <v>0</v>
      </c>
      <c r="AA350" s="35">
        <v>0</v>
      </c>
      <c r="AB350" s="35">
        <v>0</v>
      </c>
      <c r="AC350" s="35">
        <v>0</v>
      </c>
      <c r="AD350" s="35">
        <v>0</v>
      </c>
      <c r="AE350" s="35">
        <v>0</v>
      </c>
      <c r="AF350" s="35">
        <v>0</v>
      </c>
      <c r="AG350" s="35">
        <v>0</v>
      </c>
      <c r="AH350" s="35">
        <v>0</v>
      </c>
      <c r="AI350" s="36">
        <v>0</v>
      </c>
      <c r="AJ350" s="36">
        <v>1226.77106344242</v>
      </c>
      <c r="AK350" s="36">
        <v>0</v>
      </c>
      <c r="AL350" s="36">
        <v>0</v>
      </c>
      <c r="AM350" s="36">
        <v>0</v>
      </c>
      <c r="AN350" s="36">
        <v>0</v>
      </c>
      <c r="AO350" s="36">
        <v>0</v>
      </c>
      <c r="AP350" s="36">
        <v>0</v>
      </c>
      <c r="AQ350" s="36">
        <v>0</v>
      </c>
      <c r="AR350" s="36">
        <v>0</v>
      </c>
      <c r="AS350" s="36">
        <v>0</v>
      </c>
      <c r="AT350" s="36">
        <v>0</v>
      </c>
      <c r="AU350" s="36">
        <v>0</v>
      </c>
      <c r="AV350" s="36">
        <v>0</v>
      </c>
      <c r="AW350" s="37">
        <v>0</v>
      </c>
      <c r="AX350" s="37">
        <v>62531.22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2" t="s">
        <v>12</v>
      </c>
      <c r="BL350" s="32" t="s">
        <v>13</v>
      </c>
      <c r="BM350" s="33">
        <v>46105.429479166669</v>
      </c>
      <c r="BN350" s="32" t="s">
        <v>595</v>
      </c>
      <c r="BO350" s="32" t="s">
        <v>15</v>
      </c>
      <c r="BP350" s="38">
        <v>-30</v>
      </c>
      <c r="BQ350" s="42"/>
      <c r="BR350" s="39">
        <v>-30</v>
      </c>
      <c r="BS350" s="4" t="s">
        <v>221</v>
      </c>
      <c r="BT350" s="4" t="str">
        <f t="shared" si="21"/>
        <v>120</v>
      </c>
      <c r="BU350" s="4" t="str">
        <f t="shared" si="21"/>
        <v>-30</v>
      </c>
      <c r="BV350" s="4">
        <f t="shared" si="22"/>
        <v>30</v>
      </c>
      <c r="BW350" s="29">
        <f t="shared" si="23"/>
        <v>-1875936.6</v>
      </c>
      <c r="BX350" s="4">
        <v>51.49</v>
      </c>
      <c r="BY350" s="29">
        <f t="shared" si="24"/>
        <v>-2646.3554940821919</v>
      </c>
    </row>
    <row r="351" spans="1:77" ht="15" hidden="1" customHeight="1" x14ac:dyDescent="0.35">
      <c r="A351" s="32" t="s">
        <v>217</v>
      </c>
      <c r="B351" s="32" t="s">
        <v>899</v>
      </c>
      <c r="C351" s="32" t="s">
        <v>42</v>
      </c>
      <c r="D351" s="32" t="s">
        <v>593</v>
      </c>
      <c r="E351" s="32" t="s">
        <v>62</v>
      </c>
      <c r="F351" s="32" t="s">
        <v>594</v>
      </c>
      <c r="G351" s="33">
        <v>46105</v>
      </c>
      <c r="H351" s="33">
        <v>46105</v>
      </c>
      <c r="I351" s="33">
        <v>46135</v>
      </c>
      <c r="J351" s="32" t="s">
        <v>37</v>
      </c>
      <c r="K351" s="34">
        <v>10164</v>
      </c>
      <c r="L351" s="34">
        <v>10164</v>
      </c>
      <c r="M351" s="34">
        <v>0</v>
      </c>
      <c r="N351" s="34">
        <v>0</v>
      </c>
      <c r="O351" s="34">
        <v>0</v>
      </c>
      <c r="P351" s="34">
        <v>10164</v>
      </c>
      <c r="Q351" s="34">
        <v>10164</v>
      </c>
      <c r="R351" s="34">
        <v>10164</v>
      </c>
      <c r="S351" s="34">
        <v>10164</v>
      </c>
      <c r="T351" s="34">
        <v>518081.44079999998</v>
      </c>
      <c r="U351" s="35">
        <v>0</v>
      </c>
      <c r="V351" s="35">
        <v>10164</v>
      </c>
      <c r="W351" s="35">
        <v>0</v>
      </c>
      <c r="X351" s="35">
        <v>0</v>
      </c>
      <c r="Y351" s="35">
        <v>0</v>
      </c>
      <c r="Z351" s="35">
        <v>0</v>
      </c>
      <c r="AA351" s="35">
        <v>0</v>
      </c>
      <c r="AB351" s="35">
        <v>0</v>
      </c>
      <c r="AC351" s="35">
        <v>0</v>
      </c>
      <c r="AD351" s="35">
        <v>0</v>
      </c>
      <c r="AE351" s="35">
        <v>0</v>
      </c>
      <c r="AF351" s="35">
        <v>0</v>
      </c>
      <c r="AG351" s="35">
        <v>0</v>
      </c>
      <c r="AH351" s="35">
        <v>0</v>
      </c>
      <c r="AI351" s="36">
        <v>0</v>
      </c>
      <c r="AJ351" s="36">
        <v>10164</v>
      </c>
      <c r="AK351" s="36">
        <v>0</v>
      </c>
      <c r="AL351" s="36">
        <v>0</v>
      </c>
      <c r="AM351" s="36">
        <v>0</v>
      </c>
      <c r="AN351" s="36">
        <v>0</v>
      </c>
      <c r="AO351" s="36">
        <v>0</v>
      </c>
      <c r="AP351" s="36">
        <v>0</v>
      </c>
      <c r="AQ351" s="36">
        <v>0</v>
      </c>
      <c r="AR351" s="36">
        <v>0</v>
      </c>
      <c r="AS351" s="36">
        <v>0</v>
      </c>
      <c r="AT351" s="36">
        <v>0</v>
      </c>
      <c r="AU351" s="36">
        <v>0</v>
      </c>
      <c r="AV351" s="36">
        <v>0</v>
      </c>
      <c r="AW351" s="37">
        <v>0</v>
      </c>
      <c r="AX351" s="37">
        <v>518081.44079999998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  <c r="BH351" s="37">
        <v>0</v>
      </c>
      <c r="BI351" s="37">
        <v>0</v>
      </c>
      <c r="BJ351" s="37">
        <v>0</v>
      </c>
      <c r="BK351" s="32" t="s">
        <v>12</v>
      </c>
      <c r="BL351" s="32" t="s">
        <v>13</v>
      </c>
      <c r="BM351" s="33">
        <v>46105.4296875</v>
      </c>
      <c r="BN351" s="32" t="s">
        <v>595</v>
      </c>
      <c r="BO351" s="32" t="s">
        <v>15</v>
      </c>
      <c r="BP351" s="38">
        <v>-30</v>
      </c>
      <c r="BQ351" s="42"/>
      <c r="BR351" s="39">
        <v>-30</v>
      </c>
      <c r="BS351" s="4" t="s">
        <v>221</v>
      </c>
      <c r="BT351" s="4" t="str">
        <f t="shared" si="21"/>
        <v>120</v>
      </c>
      <c r="BU351" s="4" t="str">
        <f t="shared" si="21"/>
        <v>-30</v>
      </c>
      <c r="BV351" s="4">
        <f t="shared" si="22"/>
        <v>30</v>
      </c>
      <c r="BW351" s="29">
        <f t="shared" si="23"/>
        <v>-304920</v>
      </c>
      <c r="BX351" s="4">
        <v>51.49</v>
      </c>
      <c r="BY351" s="29">
        <f t="shared" si="24"/>
        <v>-430.14604931506852</v>
      </c>
    </row>
    <row r="352" spans="1:77" ht="15" hidden="1" customHeight="1" x14ac:dyDescent="0.35">
      <c r="A352" s="32" t="s">
        <v>217</v>
      </c>
      <c r="B352" s="32" t="s">
        <v>900</v>
      </c>
      <c r="C352" s="32" t="s">
        <v>30</v>
      </c>
      <c r="D352" s="32" t="s">
        <v>447</v>
      </c>
      <c r="E352" s="32" t="s">
        <v>136</v>
      </c>
      <c r="F352" s="32" t="s">
        <v>528</v>
      </c>
      <c r="G352" s="33">
        <v>46105</v>
      </c>
      <c r="H352" s="33">
        <v>46105</v>
      </c>
      <c r="I352" s="33">
        <v>46112</v>
      </c>
      <c r="J352" s="32" t="s">
        <v>11</v>
      </c>
      <c r="K352" s="34">
        <v>17585656.800000001</v>
      </c>
      <c r="L352" s="34">
        <v>17240840</v>
      </c>
      <c r="M352" s="34">
        <v>344816.8</v>
      </c>
      <c r="N352" s="34">
        <v>0</v>
      </c>
      <c r="O352" s="34">
        <v>0</v>
      </c>
      <c r="P352" s="34">
        <v>17585656.800000001</v>
      </c>
      <c r="Q352" s="34">
        <v>17585656.800000001</v>
      </c>
      <c r="R352" s="34">
        <v>17585656.800000001</v>
      </c>
      <c r="S352" s="34">
        <v>345004.86147350899</v>
      </c>
      <c r="T352" s="34">
        <v>17585656.800000001</v>
      </c>
      <c r="U352" s="35">
        <v>17585656.800000001</v>
      </c>
      <c r="V352" s="35">
        <v>0</v>
      </c>
      <c r="W352" s="35">
        <v>0</v>
      </c>
      <c r="X352" s="35">
        <v>0</v>
      </c>
      <c r="Y352" s="35">
        <v>0</v>
      </c>
      <c r="Z352" s="35">
        <v>0</v>
      </c>
      <c r="AA352" s="35">
        <v>0</v>
      </c>
      <c r="AB352" s="35">
        <v>0</v>
      </c>
      <c r="AC352" s="35">
        <v>0</v>
      </c>
      <c r="AD352" s="35">
        <v>0</v>
      </c>
      <c r="AE352" s="35">
        <v>0</v>
      </c>
      <c r="AF352" s="35">
        <v>0</v>
      </c>
      <c r="AG352" s="35">
        <v>0</v>
      </c>
      <c r="AH352" s="35">
        <v>0</v>
      </c>
      <c r="AI352" s="36">
        <v>345004.86147350899</v>
      </c>
      <c r="AJ352" s="36">
        <v>0</v>
      </c>
      <c r="AK352" s="36">
        <v>0</v>
      </c>
      <c r="AL352" s="36">
        <v>0</v>
      </c>
      <c r="AM352" s="36">
        <v>0</v>
      </c>
      <c r="AN352" s="36">
        <v>0</v>
      </c>
      <c r="AO352" s="36">
        <v>0</v>
      </c>
      <c r="AP352" s="36">
        <v>0</v>
      </c>
      <c r="AQ352" s="36">
        <v>0</v>
      </c>
      <c r="AR352" s="36">
        <v>0</v>
      </c>
      <c r="AS352" s="36">
        <v>0</v>
      </c>
      <c r="AT352" s="36">
        <v>0</v>
      </c>
      <c r="AU352" s="36">
        <v>0</v>
      </c>
      <c r="AV352" s="36">
        <v>0</v>
      </c>
      <c r="AW352" s="37">
        <v>17585656.800000001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2" t="s">
        <v>12</v>
      </c>
      <c r="BL352" s="32" t="s">
        <v>13</v>
      </c>
      <c r="BM352" s="33">
        <v>46105.441400462965</v>
      </c>
      <c r="BN352" s="32" t="s">
        <v>529</v>
      </c>
      <c r="BO352" s="32" t="s">
        <v>15</v>
      </c>
      <c r="BP352" s="38">
        <v>-7</v>
      </c>
      <c r="BQ352" s="42"/>
      <c r="BR352" s="39">
        <v>-7</v>
      </c>
      <c r="BS352" s="4" t="s">
        <v>221</v>
      </c>
      <c r="BT352" s="4" t="str">
        <f t="shared" si="21"/>
        <v>120</v>
      </c>
      <c r="BU352" s="4" t="str">
        <f t="shared" si="21"/>
        <v>-7</v>
      </c>
      <c r="BV352" s="4">
        <f t="shared" si="22"/>
        <v>7</v>
      </c>
      <c r="BW352" s="29">
        <f t="shared" si="23"/>
        <v>-123099597.60000001</v>
      </c>
      <c r="BX352" s="4">
        <v>51.49</v>
      </c>
      <c r="BY352" s="29">
        <f t="shared" si="24"/>
        <v>-173654.74740887672</v>
      </c>
    </row>
    <row r="353" spans="1:77" ht="15" hidden="1" customHeight="1" x14ac:dyDescent="0.35">
      <c r="A353" s="32" t="s">
        <v>217</v>
      </c>
      <c r="B353" s="32" t="s">
        <v>901</v>
      </c>
      <c r="C353" s="32" t="s">
        <v>30</v>
      </c>
      <c r="D353" s="32" t="s">
        <v>593</v>
      </c>
      <c r="E353" s="32" t="s">
        <v>62</v>
      </c>
      <c r="F353" s="32" t="s">
        <v>594</v>
      </c>
      <c r="G353" s="33">
        <v>46105</v>
      </c>
      <c r="H353" s="33">
        <v>46105</v>
      </c>
      <c r="I353" s="33">
        <v>46135</v>
      </c>
      <c r="J353" s="32" t="s">
        <v>11</v>
      </c>
      <c r="K353" s="34">
        <v>825138.55</v>
      </c>
      <c r="L353" s="34">
        <v>808959.36</v>
      </c>
      <c r="M353" s="34">
        <v>16179.19</v>
      </c>
      <c r="N353" s="34">
        <v>0</v>
      </c>
      <c r="O353" s="34">
        <v>0</v>
      </c>
      <c r="P353" s="34">
        <v>825138.55</v>
      </c>
      <c r="Q353" s="34">
        <v>825138.55</v>
      </c>
      <c r="R353" s="34">
        <v>825138.55</v>
      </c>
      <c r="S353" s="34">
        <v>16188.0113081248</v>
      </c>
      <c r="T353" s="34">
        <v>825138.55</v>
      </c>
      <c r="U353" s="35">
        <v>0</v>
      </c>
      <c r="V353" s="35">
        <v>825138.55</v>
      </c>
      <c r="W353" s="35">
        <v>0</v>
      </c>
      <c r="X353" s="35">
        <v>0</v>
      </c>
      <c r="Y353" s="35">
        <v>0</v>
      </c>
      <c r="Z353" s="35">
        <v>0</v>
      </c>
      <c r="AA353" s="35">
        <v>0</v>
      </c>
      <c r="AB353" s="35">
        <v>0</v>
      </c>
      <c r="AC353" s="35">
        <v>0</v>
      </c>
      <c r="AD353" s="35">
        <v>0</v>
      </c>
      <c r="AE353" s="35">
        <v>0</v>
      </c>
      <c r="AF353" s="35">
        <v>0</v>
      </c>
      <c r="AG353" s="35">
        <v>0</v>
      </c>
      <c r="AH353" s="35">
        <v>0</v>
      </c>
      <c r="AI353" s="36">
        <v>0</v>
      </c>
      <c r="AJ353" s="36">
        <v>16188.0113081248</v>
      </c>
      <c r="AK353" s="36">
        <v>0</v>
      </c>
      <c r="AL353" s="36">
        <v>0</v>
      </c>
      <c r="AM353" s="36">
        <v>0</v>
      </c>
      <c r="AN353" s="36">
        <v>0</v>
      </c>
      <c r="AO353" s="36">
        <v>0</v>
      </c>
      <c r="AP353" s="36">
        <v>0</v>
      </c>
      <c r="AQ353" s="36">
        <v>0</v>
      </c>
      <c r="AR353" s="36">
        <v>0</v>
      </c>
      <c r="AS353" s="36">
        <v>0</v>
      </c>
      <c r="AT353" s="36">
        <v>0</v>
      </c>
      <c r="AU353" s="36">
        <v>0</v>
      </c>
      <c r="AV353" s="36">
        <v>0</v>
      </c>
      <c r="AW353" s="37">
        <v>0</v>
      </c>
      <c r="AX353" s="37">
        <v>825138.55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  <c r="BH353" s="37">
        <v>0</v>
      </c>
      <c r="BI353" s="37">
        <v>0</v>
      </c>
      <c r="BJ353" s="37">
        <v>0</v>
      </c>
      <c r="BK353" s="32" t="s">
        <v>12</v>
      </c>
      <c r="BL353" s="32" t="s">
        <v>13</v>
      </c>
      <c r="BM353" s="33">
        <v>46105.441608796296</v>
      </c>
      <c r="BN353" s="32" t="s">
        <v>595</v>
      </c>
      <c r="BO353" s="32" t="s">
        <v>15</v>
      </c>
      <c r="BP353" s="38">
        <v>-30</v>
      </c>
      <c r="BQ353" s="42"/>
      <c r="BR353" s="39">
        <v>-30</v>
      </c>
      <c r="BS353" s="4" t="s">
        <v>221</v>
      </c>
      <c r="BT353" s="4" t="str">
        <f t="shared" si="21"/>
        <v>120</v>
      </c>
      <c r="BU353" s="4" t="str">
        <f t="shared" si="21"/>
        <v>-30</v>
      </c>
      <c r="BV353" s="4">
        <f t="shared" si="22"/>
        <v>30</v>
      </c>
      <c r="BW353" s="29">
        <f t="shared" si="23"/>
        <v>-24754156.5</v>
      </c>
      <c r="BX353" s="4">
        <v>51.49</v>
      </c>
      <c r="BY353" s="29">
        <f t="shared" si="24"/>
        <v>-34920.315566712328</v>
      </c>
    </row>
    <row r="354" spans="1:77" ht="15" customHeight="1" x14ac:dyDescent="0.35">
      <c r="A354" s="32" t="s">
        <v>217</v>
      </c>
      <c r="B354" s="32" t="s">
        <v>902</v>
      </c>
      <c r="C354" s="32" t="s">
        <v>38</v>
      </c>
      <c r="D354" s="32" t="s">
        <v>105</v>
      </c>
      <c r="E354" s="32" t="s">
        <v>106</v>
      </c>
      <c r="F354" s="32" t="s">
        <v>107</v>
      </c>
      <c r="G354" s="33">
        <v>46105</v>
      </c>
      <c r="H354" s="33">
        <v>46105</v>
      </c>
      <c r="I354" s="33">
        <v>46135</v>
      </c>
      <c r="J354" s="32" t="s">
        <v>37</v>
      </c>
      <c r="K354" s="34">
        <v>327</v>
      </c>
      <c r="L354" s="34">
        <v>272.5</v>
      </c>
      <c r="M354" s="34">
        <v>54.5</v>
      </c>
      <c r="N354" s="34">
        <v>0</v>
      </c>
      <c r="O354" s="34">
        <v>0</v>
      </c>
      <c r="P354" s="34">
        <v>327</v>
      </c>
      <c r="Q354" s="34">
        <v>327</v>
      </c>
      <c r="R354" s="34">
        <v>327</v>
      </c>
      <c r="S354" s="34">
        <v>327</v>
      </c>
      <c r="T354" s="34">
        <v>16667.9094</v>
      </c>
      <c r="U354" s="35">
        <v>0</v>
      </c>
      <c r="V354" s="35">
        <v>327</v>
      </c>
      <c r="W354" s="35">
        <v>0</v>
      </c>
      <c r="X354" s="35">
        <v>0</v>
      </c>
      <c r="Y354" s="35">
        <v>0</v>
      </c>
      <c r="Z354" s="35">
        <v>0</v>
      </c>
      <c r="AA354" s="35">
        <v>0</v>
      </c>
      <c r="AB354" s="35">
        <v>0</v>
      </c>
      <c r="AC354" s="35">
        <v>0</v>
      </c>
      <c r="AD354" s="35">
        <v>0</v>
      </c>
      <c r="AE354" s="35">
        <v>0</v>
      </c>
      <c r="AF354" s="35">
        <v>0</v>
      </c>
      <c r="AG354" s="35">
        <v>0</v>
      </c>
      <c r="AH354" s="35">
        <v>0</v>
      </c>
      <c r="AI354" s="36">
        <v>0</v>
      </c>
      <c r="AJ354" s="36">
        <v>327</v>
      </c>
      <c r="AK354" s="36">
        <v>0</v>
      </c>
      <c r="AL354" s="36">
        <v>0</v>
      </c>
      <c r="AM354" s="36">
        <v>0</v>
      </c>
      <c r="AN354" s="36">
        <v>0</v>
      </c>
      <c r="AO354" s="36">
        <v>0</v>
      </c>
      <c r="AP354" s="36">
        <v>0</v>
      </c>
      <c r="AQ354" s="36">
        <v>0</v>
      </c>
      <c r="AR354" s="36">
        <v>0</v>
      </c>
      <c r="AS354" s="36">
        <v>0</v>
      </c>
      <c r="AT354" s="36">
        <v>0</v>
      </c>
      <c r="AU354" s="36">
        <v>0</v>
      </c>
      <c r="AV354" s="36">
        <v>0</v>
      </c>
      <c r="AW354" s="37">
        <v>0</v>
      </c>
      <c r="AX354" s="37">
        <v>16667.9094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2" t="s">
        <v>12</v>
      </c>
      <c r="BL354" s="32" t="s">
        <v>13</v>
      </c>
      <c r="BM354" s="33">
        <v>46105.463055555556</v>
      </c>
      <c r="BN354" s="32" t="s">
        <v>28</v>
      </c>
      <c r="BO354" s="32" t="s">
        <v>29</v>
      </c>
      <c r="BP354" s="38">
        <v>-30</v>
      </c>
      <c r="BQ354" s="42"/>
      <c r="BR354" s="39">
        <v>-30</v>
      </c>
      <c r="BS354" s="4" t="s">
        <v>221</v>
      </c>
      <c r="BT354" s="4" t="str">
        <f t="shared" si="21"/>
        <v>120</v>
      </c>
      <c r="BU354" s="4" t="str">
        <f t="shared" si="21"/>
        <v>-30</v>
      </c>
      <c r="BV354" s="4">
        <f t="shared" si="22"/>
        <v>30</v>
      </c>
      <c r="BW354" s="29">
        <f t="shared" si="23"/>
        <v>-9810</v>
      </c>
      <c r="BX354" s="4">
        <v>51.49</v>
      </c>
      <c r="BY354" s="29">
        <f t="shared" si="24"/>
        <v>-13.838819178082192</v>
      </c>
    </row>
    <row r="355" spans="1:77" ht="15" hidden="1" customHeight="1" x14ac:dyDescent="0.35">
      <c r="A355" s="32" t="s">
        <v>217</v>
      </c>
      <c r="B355" s="32" t="s">
        <v>903</v>
      </c>
      <c r="C355" s="32" t="s">
        <v>38</v>
      </c>
      <c r="D355" s="32" t="s">
        <v>94</v>
      </c>
      <c r="E355" s="32" t="s">
        <v>95</v>
      </c>
      <c r="F355" s="32" t="s">
        <v>46</v>
      </c>
      <c r="G355" s="33">
        <v>46105</v>
      </c>
      <c r="H355" s="33">
        <v>46105</v>
      </c>
      <c r="I355" s="33">
        <v>46135</v>
      </c>
      <c r="J355" s="32" t="s">
        <v>37</v>
      </c>
      <c r="K355" s="34">
        <v>359.81</v>
      </c>
      <c r="L355" s="34">
        <v>299.83999999999997</v>
      </c>
      <c r="M355" s="34">
        <v>59.97</v>
      </c>
      <c r="N355" s="34">
        <v>0</v>
      </c>
      <c r="O355" s="34">
        <v>0</v>
      </c>
      <c r="P355" s="34">
        <v>359.81</v>
      </c>
      <c r="Q355" s="34">
        <v>359.81</v>
      </c>
      <c r="R355" s="34">
        <v>359.81</v>
      </c>
      <c r="S355" s="34">
        <v>359.81</v>
      </c>
      <c r="T355" s="34">
        <v>18340.307282000002</v>
      </c>
      <c r="U355" s="35">
        <v>0</v>
      </c>
      <c r="V355" s="35">
        <v>359.81</v>
      </c>
      <c r="W355" s="35">
        <v>0</v>
      </c>
      <c r="X355" s="35">
        <v>0</v>
      </c>
      <c r="Y355" s="35">
        <v>0</v>
      </c>
      <c r="Z355" s="35">
        <v>0</v>
      </c>
      <c r="AA355" s="35">
        <v>0</v>
      </c>
      <c r="AB355" s="35">
        <v>0</v>
      </c>
      <c r="AC355" s="35">
        <v>0</v>
      </c>
      <c r="AD355" s="35">
        <v>0</v>
      </c>
      <c r="AE355" s="35">
        <v>0</v>
      </c>
      <c r="AF355" s="35">
        <v>0</v>
      </c>
      <c r="AG355" s="35">
        <v>0</v>
      </c>
      <c r="AH355" s="35">
        <v>0</v>
      </c>
      <c r="AI355" s="36">
        <v>0</v>
      </c>
      <c r="AJ355" s="36">
        <v>359.81</v>
      </c>
      <c r="AK355" s="36">
        <v>0</v>
      </c>
      <c r="AL355" s="36">
        <v>0</v>
      </c>
      <c r="AM355" s="36">
        <v>0</v>
      </c>
      <c r="AN355" s="36">
        <v>0</v>
      </c>
      <c r="AO355" s="36">
        <v>0</v>
      </c>
      <c r="AP355" s="36">
        <v>0</v>
      </c>
      <c r="AQ355" s="36">
        <v>0</v>
      </c>
      <c r="AR355" s="36">
        <v>0</v>
      </c>
      <c r="AS355" s="36">
        <v>0</v>
      </c>
      <c r="AT355" s="36">
        <v>0</v>
      </c>
      <c r="AU355" s="36">
        <v>0</v>
      </c>
      <c r="AV355" s="36">
        <v>0</v>
      </c>
      <c r="AW355" s="37">
        <v>0</v>
      </c>
      <c r="AX355" s="37">
        <v>18340.307282000002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  <c r="BH355" s="37">
        <v>0</v>
      </c>
      <c r="BI355" s="37">
        <v>0</v>
      </c>
      <c r="BJ355" s="37">
        <v>0</v>
      </c>
      <c r="BK355" s="32" t="s">
        <v>12</v>
      </c>
      <c r="BL355" s="32" t="s">
        <v>13</v>
      </c>
      <c r="BM355" s="33">
        <v>46105.466736111113</v>
      </c>
      <c r="BN355" s="32" t="s">
        <v>28</v>
      </c>
      <c r="BO355" s="32" t="s">
        <v>29</v>
      </c>
      <c r="BP355" s="38">
        <v>-30</v>
      </c>
      <c r="BQ355" s="42"/>
      <c r="BR355" s="39">
        <v>-30</v>
      </c>
      <c r="BS355" s="4" t="s">
        <v>221</v>
      </c>
      <c r="BT355" s="4" t="str">
        <f t="shared" si="21"/>
        <v>120</v>
      </c>
      <c r="BU355" s="4" t="str">
        <f t="shared" si="21"/>
        <v>-30</v>
      </c>
      <c r="BV355" s="4">
        <f t="shared" si="22"/>
        <v>30</v>
      </c>
      <c r="BW355" s="29">
        <f t="shared" si="23"/>
        <v>-10794.3</v>
      </c>
      <c r="BX355" s="4">
        <v>51.49</v>
      </c>
      <c r="BY355" s="29">
        <f t="shared" si="24"/>
        <v>-15.227356356164384</v>
      </c>
    </row>
    <row r="356" spans="1:77" ht="15" customHeight="1" x14ac:dyDescent="0.35">
      <c r="A356" s="32" t="s">
        <v>217</v>
      </c>
      <c r="B356" s="32" t="s">
        <v>342</v>
      </c>
      <c r="C356" s="32" t="s">
        <v>38</v>
      </c>
      <c r="D356" s="32" t="s">
        <v>343</v>
      </c>
      <c r="E356" s="32" t="s">
        <v>344</v>
      </c>
      <c r="F356" s="32" t="s">
        <v>345</v>
      </c>
      <c r="G356" s="33">
        <v>45768</v>
      </c>
      <c r="H356" s="33">
        <v>45768</v>
      </c>
      <c r="I356" s="33">
        <v>45798</v>
      </c>
      <c r="J356" s="32" t="s">
        <v>37</v>
      </c>
      <c r="K356" s="34">
        <v>603.57000000000005</v>
      </c>
      <c r="L356" s="34">
        <v>603.57000000000005</v>
      </c>
      <c r="M356" s="34">
        <v>0</v>
      </c>
      <c r="N356" s="34">
        <v>415.1</v>
      </c>
      <c r="O356" s="34">
        <v>0</v>
      </c>
      <c r="P356" s="34">
        <v>188.47</v>
      </c>
      <c r="Q356" s="34">
        <v>0</v>
      </c>
      <c r="R356" s="34">
        <v>188.47</v>
      </c>
      <c r="S356" s="34">
        <v>188.47</v>
      </c>
      <c r="T356" s="34">
        <v>9606.7305340000003</v>
      </c>
      <c r="U356" s="35">
        <v>0</v>
      </c>
      <c r="V356" s="35">
        <v>0</v>
      </c>
      <c r="W356" s="35">
        <v>0</v>
      </c>
      <c r="X356" s="35">
        <v>0</v>
      </c>
      <c r="Y356" s="35">
        <v>0</v>
      </c>
      <c r="Z356" s="35">
        <v>0</v>
      </c>
      <c r="AA356" s="35">
        <v>0</v>
      </c>
      <c r="AB356" s="35">
        <v>0</v>
      </c>
      <c r="AC356" s="35">
        <v>0</v>
      </c>
      <c r="AD356" s="35">
        <v>0</v>
      </c>
      <c r="AE356" s="35">
        <v>0</v>
      </c>
      <c r="AF356" s="35">
        <v>0</v>
      </c>
      <c r="AG356" s="35">
        <v>188.47</v>
      </c>
      <c r="AH356" s="35">
        <v>0</v>
      </c>
      <c r="AI356" s="36">
        <v>0</v>
      </c>
      <c r="AJ356" s="36">
        <v>0</v>
      </c>
      <c r="AK356" s="36">
        <v>0</v>
      </c>
      <c r="AL356" s="36">
        <v>0</v>
      </c>
      <c r="AM356" s="36">
        <v>0</v>
      </c>
      <c r="AN356" s="36">
        <v>0</v>
      </c>
      <c r="AO356" s="36">
        <v>0</v>
      </c>
      <c r="AP356" s="36">
        <v>0</v>
      </c>
      <c r="AQ356" s="36">
        <v>0</v>
      </c>
      <c r="AR356" s="36">
        <v>0</v>
      </c>
      <c r="AS356" s="36">
        <v>0</v>
      </c>
      <c r="AT356" s="36">
        <v>0</v>
      </c>
      <c r="AU356" s="36">
        <v>188.47</v>
      </c>
      <c r="AV356" s="36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9606.7305340000003</v>
      </c>
      <c r="BJ356" s="37">
        <v>0</v>
      </c>
      <c r="BK356" s="32" t="s">
        <v>12</v>
      </c>
      <c r="BL356" s="32" t="s">
        <v>109</v>
      </c>
      <c r="BM356" s="33">
        <v>45765.647546296299</v>
      </c>
      <c r="BN356" s="32" t="s">
        <v>20</v>
      </c>
      <c r="BO356" s="32" t="s">
        <v>21</v>
      </c>
      <c r="BP356" s="38">
        <v>307</v>
      </c>
      <c r="BQ356" s="42"/>
      <c r="BR356" s="39">
        <v>307</v>
      </c>
      <c r="BS356" s="4" t="s">
        <v>220</v>
      </c>
      <c r="BT356" s="4" t="str">
        <f t="shared" si="21"/>
        <v>120</v>
      </c>
      <c r="BU356" s="4" t="str">
        <f t="shared" si="21"/>
        <v>307</v>
      </c>
      <c r="BV356" s="4">
        <f t="shared" si="22"/>
        <v>30</v>
      </c>
      <c r="BW356" s="29">
        <f t="shared" si="23"/>
        <v>57860.29</v>
      </c>
      <c r="BX356" s="4">
        <v>51.49</v>
      </c>
      <c r="BY356" s="29">
        <f t="shared" si="24"/>
        <v>81.622639235616447</v>
      </c>
    </row>
    <row r="357" spans="1:77" ht="15" customHeight="1" x14ac:dyDescent="0.35">
      <c r="A357" s="32" t="s">
        <v>217</v>
      </c>
      <c r="B357" s="32" t="s">
        <v>368</v>
      </c>
      <c r="C357" s="32" t="s">
        <v>16</v>
      </c>
      <c r="D357" s="32" t="s">
        <v>119</v>
      </c>
      <c r="E357" s="32" t="s">
        <v>120</v>
      </c>
      <c r="F357" s="32" t="s">
        <v>121</v>
      </c>
      <c r="G357" s="33">
        <v>45803</v>
      </c>
      <c r="H357" s="33">
        <v>45803</v>
      </c>
      <c r="I357" s="33">
        <v>45818</v>
      </c>
      <c r="J357" s="32" t="s">
        <v>11</v>
      </c>
      <c r="K357" s="34">
        <v>1208007</v>
      </c>
      <c r="L357" s="34">
        <v>1184320.5900000001</v>
      </c>
      <c r="M357" s="34">
        <v>23686.41</v>
      </c>
      <c r="N357" s="34">
        <v>1154150.01</v>
      </c>
      <c r="O357" s="34">
        <v>0</v>
      </c>
      <c r="P357" s="34">
        <v>53856.99</v>
      </c>
      <c r="Q357" s="34">
        <v>0</v>
      </c>
      <c r="R357" s="34">
        <v>53856.99</v>
      </c>
      <c r="S357" s="34">
        <v>1056.5953598235899</v>
      </c>
      <c r="T357" s="34">
        <v>53856.99</v>
      </c>
      <c r="U357" s="35">
        <v>0</v>
      </c>
      <c r="V357" s="35">
        <v>0</v>
      </c>
      <c r="W357" s="35">
        <v>0</v>
      </c>
      <c r="X357" s="35">
        <v>0</v>
      </c>
      <c r="Y357" s="35">
        <v>0</v>
      </c>
      <c r="Z357" s="35">
        <v>0</v>
      </c>
      <c r="AA357" s="35">
        <v>0</v>
      </c>
      <c r="AB357" s="35">
        <v>0</v>
      </c>
      <c r="AC357" s="35">
        <v>0</v>
      </c>
      <c r="AD357" s="35">
        <v>0</v>
      </c>
      <c r="AE357" s="35">
        <v>0</v>
      </c>
      <c r="AF357" s="35">
        <v>0</v>
      </c>
      <c r="AG357" s="35">
        <v>53856.99</v>
      </c>
      <c r="AH357" s="35">
        <v>0</v>
      </c>
      <c r="AI357" s="36">
        <v>0</v>
      </c>
      <c r="AJ357" s="36">
        <v>0</v>
      </c>
      <c r="AK357" s="36">
        <v>0</v>
      </c>
      <c r="AL357" s="36">
        <v>0</v>
      </c>
      <c r="AM357" s="36">
        <v>0</v>
      </c>
      <c r="AN357" s="36">
        <v>0</v>
      </c>
      <c r="AO357" s="36">
        <v>0</v>
      </c>
      <c r="AP357" s="36">
        <v>0</v>
      </c>
      <c r="AQ357" s="36">
        <v>0</v>
      </c>
      <c r="AR357" s="36">
        <v>0</v>
      </c>
      <c r="AS357" s="36">
        <v>0</v>
      </c>
      <c r="AT357" s="36">
        <v>0</v>
      </c>
      <c r="AU357" s="36">
        <v>1056.5953598235899</v>
      </c>
      <c r="AV357" s="36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  <c r="BH357" s="37">
        <v>0</v>
      </c>
      <c r="BI357" s="37">
        <v>53856.99</v>
      </c>
      <c r="BJ357" s="37">
        <v>0</v>
      </c>
      <c r="BK357" s="32" t="s">
        <v>12</v>
      </c>
      <c r="BL357" s="32" t="s">
        <v>13</v>
      </c>
      <c r="BM357" s="33">
        <v>45799.616886574076</v>
      </c>
      <c r="BN357" s="32" t="s">
        <v>28</v>
      </c>
      <c r="BO357" s="32" t="s">
        <v>29</v>
      </c>
      <c r="BP357" s="38">
        <v>287</v>
      </c>
      <c r="BQ357" s="42"/>
      <c r="BR357" s="39">
        <v>287</v>
      </c>
      <c r="BS357" s="4" t="s">
        <v>220</v>
      </c>
      <c r="BT357" s="4" t="str">
        <f t="shared" si="21"/>
        <v>120</v>
      </c>
      <c r="BU357" s="4" t="str">
        <f t="shared" si="21"/>
        <v>287</v>
      </c>
      <c r="BV357" s="4">
        <f t="shared" si="22"/>
        <v>15</v>
      </c>
      <c r="BW357" s="29">
        <f t="shared" si="23"/>
        <v>15456956.129999999</v>
      </c>
      <c r="BX357" s="4">
        <v>51.49</v>
      </c>
      <c r="BY357" s="29">
        <f t="shared" si="24"/>
        <v>21804.895099553425</v>
      </c>
    </row>
    <row r="358" spans="1:77" ht="15" customHeight="1" x14ac:dyDescent="0.35">
      <c r="A358" s="32" t="s">
        <v>217</v>
      </c>
      <c r="B358" s="32" t="s">
        <v>378</v>
      </c>
      <c r="C358" s="32" t="s">
        <v>55</v>
      </c>
      <c r="D358" s="32" t="s">
        <v>123</v>
      </c>
      <c r="E358" s="32" t="s">
        <v>124</v>
      </c>
      <c r="F358" s="32" t="s">
        <v>46</v>
      </c>
      <c r="G358" s="33">
        <v>45819</v>
      </c>
      <c r="H358" s="33">
        <v>45819</v>
      </c>
      <c r="I358" s="33">
        <v>45849</v>
      </c>
      <c r="J358" s="32" t="s">
        <v>11</v>
      </c>
      <c r="K358" s="34">
        <v>38376.199999999997</v>
      </c>
      <c r="L358" s="34">
        <v>38376.199999999997</v>
      </c>
      <c r="M358" s="34">
        <v>0</v>
      </c>
      <c r="N358" s="34">
        <v>0</v>
      </c>
      <c r="O358" s="34">
        <v>0</v>
      </c>
      <c r="P358" s="34">
        <v>38376.199999999997</v>
      </c>
      <c r="Q358" s="34">
        <v>0</v>
      </c>
      <c r="R358" s="34">
        <v>38376.199999999997</v>
      </c>
      <c r="S358" s="34">
        <v>752.88490588987702</v>
      </c>
      <c r="T358" s="34">
        <v>38376.199999999997</v>
      </c>
      <c r="U358" s="35">
        <v>0</v>
      </c>
      <c r="V358" s="35">
        <v>0</v>
      </c>
      <c r="W358" s="35">
        <v>0</v>
      </c>
      <c r="X358" s="35">
        <v>0</v>
      </c>
      <c r="Y358" s="35">
        <v>0</v>
      </c>
      <c r="Z358" s="35">
        <v>0</v>
      </c>
      <c r="AA358" s="35">
        <v>0</v>
      </c>
      <c r="AB358" s="35">
        <v>0</v>
      </c>
      <c r="AC358" s="35">
        <v>0</v>
      </c>
      <c r="AD358" s="35">
        <v>0</v>
      </c>
      <c r="AE358" s="35">
        <v>0</v>
      </c>
      <c r="AF358" s="35">
        <v>0</v>
      </c>
      <c r="AG358" s="35">
        <v>38376.199999999997</v>
      </c>
      <c r="AH358" s="35">
        <v>0</v>
      </c>
      <c r="AI358" s="36">
        <v>0</v>
      </c>
      <c r="AJ358" s="36">
        <v>0</v>
      </c>
      <c r="AK358" s="36">
        <v>0</v>
      </c>
      <c r="AL358" s="36">
        <v>0</v>
      </c>
      <c r="AM358" s="36">
        <v>0</v>
      </c>
      <c r="AN358" s="36">
        <v>0</v>
      </c>
      <c r="AO358" s="36">
        <v>0</v>
      </c>
      <c r="AP358" s="36">
        <v>0</v>
      </c>
      <c r="AQ358" s="36">
        <v>0</v>
      </c>
      <c r="AR358" s="36">
        <v>0</v>
      </c>
      <c r="AS358" s="36">
        <v>0</v>
      </c>
      <c r="AT358" s="36">
        <v>0</v>
      </c>
      <c r="AU358" s="36">
        <v>752.88490588987702</v>
      </c>
      <c r="AV358" s="36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38376.199999999997</v>
      </c>
      <c r="BJ358" s="37">
        <v>0</v>
      </c>
      <c r="BK358" s="32" t="s">
        <v>12</v>
      </c>
      <c r="BL358" s="32" t="s">
        <v>13</v>
      </c>
      <c r="BM358" s="33">
        <v>45819.32571759259</v>
      </c>
      <c r="BN358" s="32" t="s">
        <v>20</v>
      </c>
      <c r="BO358" s="32" t="s">
        <v>21</v>
      </c>
      <c r="BP358" s="38">
        <v>256</v>
      </c>
      <c r="BQ358" s="42"/>
      <c r="BR358" s="39">
        <v>256</v>
      </c>
      <c r="BS358" s="4" t="s">
        <v>220</v>
      </c>
      <c r="BT358" s="4" t="str">
        <f t="shared" si="21"/>
        <v>120</v>
      </c>
      <c r="BU358" s="4" t="str">
        <f t="shared" si="21"/>
        <v>256</v>
      </c>
      <c r="BV358" s="4">
        <f t="shared" si="22"/>
        <v>30</v>
      </c>
      <c r="BW358" s="29">
        <f t="shared" si="23"/>
        <v>9824307.1999999993</v>
      </c>
      <c r="BX358" s="4">
        <v>51.49</v>
      </c>
      <c r="BY358" s="29">
        <f t="shared" si="24"/>
        <v>13859.002129534247</v>
      </c>
    </row>
    <row r="359" spans="1:77" ht="15" customHeight="1" x14ac:dyDescent="0.35">
      <c r="A359" s="32" t="s">
        <v>217</v>
      </c>
      <c r="B359" s="32" t="s">
        <v>380</v>
      </c>
      <c r="C359" s="32" t="s">
        <v>7</v>
      </c>
      <c r="D359" s="32" t="s">
        <v>305</v>
      </c>
      <c r="E359" s="32" t="s">
        <v>148</v>
      </c>
      <c r="F359" s="32" t="s">
        <v>306</v>
      </c>
      <c r="G359" s="33">
        <v>45833</v>
      </c>
      <c r="H359" s="33">
        <v>45833</v>
      </c>
      <c r="I359" s="33">
        <v>45848</v>
      </c>
      <c r="J359" s="32" t="s">
        <v>11</v>
      </c>
      <c r="K359" s="34">
        <v>201862.12</v>
      </c>
      <c r="L359" s="34">
        <v>197904.04</v>
      </c>
      <c r="M359" s="34">
        <v>3958.08</v>
      </c>
      <c r="N359" s="34">
        <v>100000</v>
      </c>
      <c r="O359" s="34">
        <v>0</v>
      </c>
      <c r="P359" s="34">
        <v>101862.12</v>
      </c>
      <c r="Q359" s="34">
        <v>0</v>
      </c>
      <c r="R359" s="34">
        <v>101862.12</v>
      </c>
      <c r="S359" s="34">
        <v>1998.3857867622</v>
      </c>
      <c r="T359" s="34">
        <v>101862.12</v>
      </c>
      <c r="U359" s="35">
        <v>0</v>
      </c>
      <c r="V359" s="35">
        <v>0</v>
      </c>
      <c r="W359" s="35">
        <v>0</v>
      </c>
      <c r="X359" s="35">
        <v>0</v>
      </c>
      <c r="Y359" s="35">
        <v>0</v>
      </c>
      <c r="Z359" s="35">
        <v>0</v>
      </c>
      <c r="AA359" s="35">
        <v>0</v>
      </c>
      <c r="AB359" s="35">
        <v>0</v>
      </c>
      <c r="AC359" s="35">
        <v>0</v>
      </c>
      <c r="AD359" s="35">
        <v>0</v>
      </c>
      <c r="AE359" s="35">
        <v>0</v>
      </c>
      <c r="AF359" s="35">
        <v>0</v>
      </c>
      <c r="AG359" s="35">
        <v>101862.12</v>
      </c>
      <c r="AH359" s="35">
        <v>0</v>
      </c>
      <c r="AI359" s="36">
        <v>0</v>
      </c>
      <c r="AJ359" s="36">
        <v>0</v>
      </c>
      <c r="AK359" s="36">
        <v>0</v>
      </c>
      <c r="AL359" s="36">
        <v>0</v>
      </c>
      <c r="AM359" s="36">
        <v>0</v>
      </c>
      <c r="AN359" s="36">
        <v>0</v>
      </c>
      <c r="AO359" s="36">
        <v>0</v>
      </c>
      <c r="AP359" s="36">
        <v>0</v>
      </c>
      <c r="AQ359" s="36">
        <v>0</v>
      </c>
      <c r="AR359" s="36">
        <v>0</v>
      </c>
      <c r="AS359" s="36">
        <v>0</v>
      </c>
      <c r="AT359" s="36">
        <v>0</v>
      </c>
      <c r="AU359" s="36">
        <v>1998.3857867622</v>
      </c>
      <c r="AV359" s="36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  <c r="BH359" s="37">
        <v>0</v>
      </c>
      <c r="BI359" s="37">
        <v>101862.12</v>
      </c>
      <c r="BJ359" s="37">
        <v>0</v>
      </c>
      <c r="BK359" s="32" t="s">
        <v>12</v>
      </c>
      <c r="BL359" s="32" t="s">
        <v>13</v>
      </c>
      <c r="BM359" s="33">
        <v>45832.669062499997</v>
      </c>
      <c r="BN359" s="32" t="s">
        <v>28</v>
      </c>
      <c r="BO359" s="32" t="s">
        <v>29</v>
      </c>
      <c r="BP359" s="38">
        <v>257</v>
      </c>
      <c r="BQ359" s="42"/>
      <c r="BR359" s="39">
        <v>257</v>
      </c>
      <c r="BS359" s="4" t="s">
        <v>220</v>
      </c>
      <c r="BT359" s="4" t="str">
        <f t="shared" si="21"/>
        <v>120</v>
      </c>
      <c r="BU359" s="4" t="str">
        <f t="shared" si="21"/>
        <v>257</v>
      </c>
      <c r="BV359" s="4">
        <f t="shared" si="22"/>
        <v>15</v>
      </c>
      <c r="BW359" s="29">
        <f t="shared" si="23"/>
        <v>26178564.84</v>
      </c>
      <c r="BX359" s="4">
        <v>51.49</v>
      </c>
      <c r="BY359" s="29">
        <f t="shared" si="24"/>
        <v>36929.706948263018</v>
      </c>
    </row>
    <row r="360" spans="1:77" ht="15" hidden="1" customHeight="1" x14ac:dyDescent="0.35">
      <c r="A360" s="32" t="s">
        <v>217</v>
      </c>
      <c r="B360" s="32" t="s">
        <v>389</v>
      </c>
      <c r="C360" s="32" t="s">
        <v>7</v>
      </c>
      <c r="D360" s="32" t="s">
        <v>311</v>
      </c>
      <c r="E360" s="32" t="s">
        <v>312</v>
      </c>
      <c r="F360" s="32" t="s">
        <v>104</v>
      </c>
      <c r="G360" s="33">
        <v>45868</v>
      </c>
      <c r="H360" s="33">
        <v>45868</v>
      </c>
      <c r="I360" s="33">
        <v>45883</v>
      </c>
      <c r="J360" s="32" t="s">
        <v>11</v>
      </c>
      <c r="K360" s="34">
        <v>209860.4</v>
      </c>
      <c r="L360" s="34">
        <v>205745.49</v>
      </c>
      <c r="M360" s="34">
        <v>4114.91</v>
      </c>
      <c r="N360" s="34">
        <v>209859.78</v>
      </c>
      <c r="O360" s="34">
        <v>0</v>
      </c>
      <c r="P360" s="34">
        <v>0.62</v>
      </c>
      <c r="Q360" s="34">
        <v>0</v>
      </c>
      <c r="R360" s="34">
        <v>0.62</v>
      </c>
      <c r="S360" s="34">
        <v>1.21634930413049E-2</v>
      </c>
      <c r="T360" s="34">
        <v>0.62</v>
      </c>
      <c r="U360" s="35">
        <v>0</v>
      </c>
      <c r="V360" s="35">
        <v>0</v>
      </c>
      <c r="W360" s="35">
        <v>0</v>
      </c>
      <c r="X360" s="35">
        <v>0</v>
      </c>
      <c r="Y360" s="35">
        <v>0</v>
      </c>
      <c r="Z360" s="35">
        <v>0</v>
      </c>
      <c r="AA360" s="35">
        <v>0</v>
      </c>
      <c r="AB360" s="35">
        <v>0</v>
      </c>
      <c r="AC360" s="35">
        <v>0</v>
      </c>
      <c r="AD360" s="35">
        <v>0</v>
      </c>
      <c r="AE360" s="35">
        <v>0</v>
      </c>
      <c r="AF360" s="35">
        <v>0</v>
      </c>
      <c r="AG360" s="35">
        <v>0.62</v>
      </c>
      <c r="AH360" s="35">
        <v>0</v>
      </c>
      <c r="AI360" s="36">
        <v>0</v>
      </c>
      <c r="AJ360" s="36">
        <v>0</v>
      </c>
      <c r="AK360" s="36">
        <v>0</v>
      </c>
      <c r="AL360" s="36">
        <v>0</v>
      </c>
      <c r="AM360" s="36">
        <v>0</v>
      </c>
      <c r="AN360" s="36">
        <v>0</v>
      </c>
      <c r="AO360" s="36">
        <v>0</v>
      </c>
      <c r="AP360" s="36">
        <v>0</v>
      </c>
      <c r="AQ360" s="36">
        <v>0</v>
      </c>
      <c r="AR360" s="36">
        <v>0</v>
      </c>
      <c r="AS360" s="36">
        <v>0</v>
      </c>
      <c r="AT360" s="36">
        <v>0</v>
      </c>
      <c r="AU360" s="36">
        <v>1.21634930413049E-2</v>
      </c>
      <c r="AV360" s="36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0.62</v>
      </c>
      <c r="BJ360" s="37">
        <v>0</v>
      </c>
      <c r="BK360" s="32" t="s">
        <v>12</v>
      </c>
      <c r="BL360" s="32" t="s">
        <v>13</v>
      </c>
      <c r="BM360" s="33">
        <v>45866.758981481478</v>
      </c>
      <c r="BN360" s="32" t="s">
        <v>356</v>
      </c>
      <c r="BO360" s="32" t="s">
        <v>15</v>
      </c>
      <c r="BP360" s="38">
        <v>222</v>
      </c>
      <c r="BQ360" s="42"/>
      <c r="BR360" s="39">
        <v>222</v>
      </c>
      <c r="BS360" s="4" t="s">
        <v>220</v>
      </c>
      <c r="BT360" s="4" t="str">
        <f t="shared" si="21"/>
        <v>120</v>
      </c>
      <c r="BU360" s="4" t="str">
        <f t="shared" si="21"/>
        <v>222</v>
      </c>
      <c r="BV360" s="4">
        <f t="shared" si="22"/>
        <v>15</v>
      </c>
      <c r="BW360" s="29">
        <f t="shared" si="23"/>
        <v>137.63999999999999</v>
      </c>
      <c r="BX360" s="4">
        <v>51.49</v>
      </c>
      <c r="BY360" s="29">
        <f t="shared" si="24"/>
        <v>0.19416667397260273</v>
      </c>
    </row>
    <row r="361" spans="1:77" ht="15" hidden="1" customHeight="1" x14ac:dyDescent="0.35">
      <c r="A361" s="32" t="s">
        <v>217</v>
      </c>
      <c r="B361" s="32" t="s">
        <v>392</v>
      </c>
      <c r="C361" s="32" t="s">
        <v>7</v>
      </c>
      <c r="D361" s="32" t="s">
        <v>231</v>
      </c>
      <c r="E361" s="32" t="s">
        <v>232</v>
      </c>
      <c r="F361" s="32" t="s">
        <v>104</v>
      </c>
      <c r="G361" s="33">
        <v>45869</v>
      </c>
      <c r="H361" s="33">
        <v>45869</v>
      </c>
      <c r="I361" s="33">
        <v>45884</v>
      </c>
      <c r="J361" s="32" t="s">
        <v>11</v>
      </c>
      <c r="K361" s="34">
        <v>440023.25</v>
      </c>
      <c r="L361" s="34">
        <v>431395.34</v>
      </c>
      <c r="M361" s="34">
        <v>8627.91</v>
      </c>
      <c r="N361" s="34">
        <v>339276.95</v>
      </c>
      <c r="O361" s="34">
        <v>0</v>
      </c>
      <c r="P361" s="34">
        <v>100746.3</v>
      </c>
      <c r="Q361" s="34">
        <v>0</v>
      </c>
      <c r="R361" s="34">
        <v>100746.3</v>
      </c>
      <c r="S361" s="34">
        <v>1976.49503062454</v>
      </c>
      <c r="T361" s="34">
        <v>100746.3</v>
      </c>
      <c r="U361" s="35">
        <v>0</v>
      </c>
      <c r="V361" s="35">
        <v>0</v>
      </c>
      <c r="W361" s="35">
        <v>0</v>
      </c>
      <c r="X361" s="35">
        <v>0</v>
      </c>
      <c r="Y361" s="35">
        <v>0</v>
      </c>
      <c r="Z361" s="35">
        <v>0</v>
      </c>
      <c r="AA361" s="35">
        <v>0</v>
      </c>
      <c r="AB361" s="35">
        <v>0</v>
      </c>
      <c r="AC361" s="35">
        <v>0</v>
      </c>
      <c r="AD361" s="35">
        <v>0</v>
      </c>
      <c r="AE361" s="35">
        <v>0</v>
      </c>
      <c r="AF361" s="35">
        <v>0</v>
      </c>
      <c r="AG361" s="35">
        <v>100746.3</v>
      </c>
      <c r="AH361" s="35">
        <v>0</v>
      </c>
      <c r="AI361" s="36">
        <v>0</v>
      </c>
      <c r="AJ361" s="36">
        <v>0</v>
      </c>
      <c r="AK361" s="36">
        <v>0</v>
      </c>
      <c r="AL361" s="36">
        <v>0</v>
      </c>
      <c r="AM361" s="36">
        <v>0</v>
      </c>
      <c r="AN361" s="36">
        <v>0</v>
      </c>
      <c r="AO361" s="36">
        <v>0</v>
      </c>
      <c r="AP361" s="36">
        <v>0</v>
      </c>
      <c r="AQ361" s="36">
        <v>0</v>
      </c>
      <c r="AR361" s="36">
        <v>0</v>
      </c>
      <c r="AS361" s="36">
        <v>0</v>
      </c>
      <c r="AT361" s="36">
        <v>0</v>
      </c>
      <c r="AU361" s="36">
        <v>1976.49503062454</v>
      </c>
      <c r="AV361" s="36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  <c r="BH361" s="37">
        <v>0</v>
      </c>
      <c r="BI361" s="37">
        <v>100746.3</v>
      </c>
      <c r="BJ361" s="37">
        <v>0</v>
      </c>
      <c r="BK361" s="32" t="s">
        <v>12</v>
      </c>
      <c r="BL361" s="32" t="s">
        <v>13</v>
      </c>
      <c r="BM361" s="33">
        <v>45866.783194444448</v>
      </c>
      <c r="BN361" s="32" t="s">
        <v>28</v>
      </c>
      <c r="BO361" s="32" t="s">
        <v>29</v>
      </c>
      <c r="BP361" s="38">
        <v>221</v>
      </c>
      <c r="BQ361" s="42"/>
      <c r="BR361" s="39">
        <v>221</v>
      </c>
      <c r="BS361" s="4" t="s">
        <v>220</v>
      </c>
      <c r="BT361" s="4" t="str">
        <f t="shared" si="21"/>
        <v>120</v>
      </c>
      <c r="BU361" s="4" t="str">
        <f t="shared" si="21"/>
        <v>221</v>
      </c>
      <c r="BV361" s="4">
        <f t="shared" si="22"/>
        <v>15</v>
      </c>
      <c r="BW361" s="29">
        <f t="shared" si="23"/>
        <v>22264932.300000001</v>
      </c>
      <c r="BX361" s="4">
        <v>51.49</v>
      </c>
      <c r="BY361" s="29">
        <f t="shared" si="24"/>
        <v>31408.804496630139</v>
      </c>
    </row>
    <row r="362" spans="1:77" ht="15" customHeight="1" x14ac:dyDescent="0.35">
      <c r="A362" s="32" t="s">
        <v>217</v>
      </c>
      <c r="B362" s="32" t="s">
        <v>395</v>
      </c>
      <c r="C362" s="32" t="s">
        <v>7</v>
      </c>
      <c r="D362" s="32" t="s">
        <v>305</v>
      </c>
      <c r="E362" s="32" t="s">
        <v>148</v>
      </c>
      <c r="F362" s="32" t="s">
        <v>306</v>
      </c>
      <c r="G362" s="33">
        <v>45869</v>
      </c>
      <c r="H362" s="33">
        <v>45869</v>
      </c>
      <c r="I362" s="33">
        <v>45884</v>
      </c>
      <c r="J362" s="32" t="s">
        <v>11</v>
      </c>
      <c r="K362" s="34">
        <v>201862.12</v>
      </c>
      <c r="L362" s="34">
        <v>197904.04</v>
      </c>
      <c r="M362" s="34">
        <v>3958.08</v>
      </c>
      <c r="N362" s="34">
        <v>0</v>
      </c>
      <c r="O362" s="34">
        <v>0</v>
      </c>
      <c r="P362" s="34">
        <v>201862.12</v>
      </c>
      <c r="Q362" s="34">
        <v>0</v>
      </c>
      <c r="R362" s="34">
        <v>201862.12</v>
      </c>
      <c r="S362" s="34">
        <v>3960.2395031016899</v>
      </c>
      <c r="T362" s="34">
        <v>201862.12</v>
      </c>
      <c r="U362" s="35">
        <v>0</v>
      </c>
      <c r="V362" s="35">
        <v>0</v>
      </c>
      <c r="W362" s="35">
        <v>0</v>
      </c>
      <c r="X362" s="35">
        <v>0</v>
      </c>
      <c r="Y362" s="35">
        <v>0</v>
      </c>
      <c r="Z362" s="35">
        <v>0</v>
      </c>
      <c r="AA362" s="35">
        <v>0</v>
      </c>
      <c r="AB362" s="35">
        <v>0</v>
      </c>
      <c r="AC362" s="35">
        <v>0</v>
      </c>
      <c r="AD362" s="35">
        <v>0</v>
      </c>
      <c r="AE362" s="35">
        <v>0</v>
      </c>
      <c r="AF362" s="35">
        <v>0</v>
      </c>
      <c r="AG362" s="35">
        <v>201862.12</v>
      </c>
      <c r="AH362" s="35">
        <v>0</v>
      </c>
      <c r="AI362" s="36">
        <v>0</v>
      </c>
      <c r="AJ362" s="36">
        <v>0</v>
      </c>
      <c r="AK362" s="36">
        <v>0</v>
      </c>
      <c r="AL362" s="36">
        <v>0</v>
      </c>
      <c r="AM362" s="36">
        <v>0</v>
      </c>
      <c r="AN362" s="36">
        <v>0</v>
      </c>
      <c r="AO362" s="36">
        <v>0</v>
      </c>
      <c r="AP362" s="36">
        <v>0</v>
      </c>
      <c r="AQ362" s="36">
        <v>0</v>
      </c>
      <c r="AR362" s="36">
        <v>0</v>
      </c>
      <c r="AS362" s="36">
        <v>0</v>
      </c>
      <c r="AT362" s="36">
        <v>0</v>
      </c>
      <c r="AU362" s="36">
        <v>3960.2395031016899</v>
      </c>
      <c r="AV362" s="36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201862.12</v>
      </c>
      <c r="BJ362" s="37">
        <v>0</v>
      </c>
      <c r="BK362" s="32" t="s">
        <v>12</v>
      </c>
      <c r="BL362" s="32" t="s">
        <v>13</v>
      </c>
      <c r="BM362" s="33">
        <v>45867.382326388892</v>
      </c>
      <c r="BN362" s="32" t="s">
        <v>28</v>
      </c>
      <c r="BO362" s="32" t="s">
        <v>29</v>
      </c>
      <c r="BP362" s="38">
        <v>221</v>
      </c>
      <c r="BQ362" s="42"/>
      <c r="BR362" s="39">
        <v>221</v>
      </c>
      <c r="BS362" s="4" t="s">
        <v>220</v>
      </c>
      <c r="BT362" s="4" t="str">
        <f t="shared" si="21"/>
        <v>120</v>
      </c>
      <c r="BU362" s="4" t="str">
        <f t="shared" si="21"/>
        <v>221</v>
      </c>
      <c r="BV362" s="4">
        <f t="shared" si="22"/>
        <v>15</v>
      </c>
      <c r="BW362" s="29">
        <f t="shared" si="23"/>
        <v>44611528.519999996</v>
      </c>
      <c r="BX362" s="4">
        <v>51.49</v>
      </c>
      <c r="BY362" s="29">
        <f t="shared" si="24"/>
        <v>62932.811054652055</v>
      </c>
    </row>
    <row r="363" spans="1:77" ht="15" hidden="1" customHeight="1" x14ac:dyDescent="0.35">
      <c r="A363" s="32" t="s">
        <v>217</v>
      </c>
      <c r="B363" s="32" t="s">
        <v>904</v>
      </c>
      <c r="C363" s="32" t="s">
        <v>799</v>
      </c>
      <c r="D363" s="32" t="s">
        <v>110</v>
      </c>
      <c r="E363" s="32" t="s">
        <v>111</v>
      </c>
      <c r="F363" s="32" t="s">
        <v>46</v>
      </c>
      <c r="G363" s="33">
        <v>46104</v>
      </c>
      <c r="H363" s="33">
        <v>46104</v>
      </c>
      <c r="I363" s="33">
        <v>46134</v>
      </c>
      <c r="J363" s="32" t="s">
        <v>11</v>
      </c>
      <c r="K363" s="34">
        <v>168018.57</v>
      </c>
      <c r="L363" s="34">
        <v>168018.57</v>
      </c>
      <c r="M363" s="34">
        <v>0</v>
      </c>
      <c r="N363" s="34">
        <v>0</v>
      </c>
      <c r="O363" s="34">
        <v>0</v>
      </c>
      <c r="P363" s="34">
        <v>168018.57</v>
      </c>
      <c r="Q363" s="34">
        <v>168018.57</v>
      </c>
      <c r="R363" s="34">
        <v>168018.57</v>
      </c>
      <c r="S363" s="34">
        <v>3296.2785596854801</v>
      </c>
      <c r="T363" s="34">
        <v>168018.57</v>
      </c>
      <c r="U363" s="35">
        <v>0</v>
      </c>
      <c r="V363" s="35">
        <v>168018.57</v>
      </c>
      <c r="W363" s="35">
        <v>0</v>
      </c>
      <c r="X363" s="35">
        <v>0</v>
      </c>
      <c r="Y363" s="35">
        <v>0</v>
      </c>
      <c r="Z363" s="35">
        <v>0</v>
      </c>
      <c r="AA363" s="35">
        <v>0</v>
      </c>
      <c r="AB363" s="35">
        <v>0</v>
      </c>
      <c r="AC363" s="35">
        <v>0</v>
      </c>
      <c r="AD363" s="35">
        <v>0</v>
      </c>
      <c r="AE363" s="35">
        <v>0</v>
      </c>
      <c r="AF363" s="35">
        <v>0</v>
      </c>
      <c r="AG363" s="35">
        <v>0</v>
      </c>
      <c r="AH363" s="35">
        <v>0</v>
      </c>
      <c r="AI363" s="36">
        <v>0</v>
      </c>
      <c r="AJ363" s="36">
        <v>3296.2785596854801</v>
      </c>
      <c r="AK363" s="36">
        <v>0</v>
      </c>
      <c r="AL363" s="36">
        <v>0</v>
      </c>
      <c r="AM363" s="36">
        <v>0</v>
      </c>
      <c r="AN363" s="36">
        <v>0</v>
      </c>
      <c r="AO363" s="36">
        <v>0</v>
      </c>
      <c r="AP363" s="36">
        <v>0</v>
      </c>
      <c r="AQ363" s="36">
        <v>0</v>
      </c>
      <c r="AR363" s="36">
        <v>0</v>
      </c>
      <c r="AS363" s="36">
        <v>0</v>
      </c>
      <c r="AT363" s="36">
        <v>0</v>
      </c>
      <c r="AU363" s="36">
        <v>0</v>
      </c>
      <c r="AV363" s="36">
        <v>0</v>
      </c>
      <c r="AW363" s="37">
        <v>0</v>
      </c>
      <c r="AX363" s="37">
        <v>168018.57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  <c r="BH363" s="37">
        <v>0</v>
      </c>
      <c r="BI363" s="37">
        <v>0</v>
      </c>
      <c r="BJ363" s="37">
        <v>0</v>
      </c>
      <c r="BK363" s="32" t="s">
        <v>12</v>
      </c>
      <c r="BL363" s="32" t="s">
        <v>801</v>
      </c>
      <c r="BM363" s="33">
        <v>46104.446585648147</v>
      </c>
      <c r="BN363" s="32" t="s">
        <v>905</v>
      </c>
      <c r="BO363" s="32" t="s">
        <v>15</v>
      </c>
      <c r="BP363" s="38">
        <v>-29</v>
      </c>
      <c r="BQ363" s="42"/>
      <c r="BR363" s="39">
        <v>-29</v>
      </c>
      <c r="BS363" s="4" t="s">
        <v>221</v>
      </c>
      <c r="BT363" s="4" t="str">
        <f t="shared" si="21"/>
        <v>120</v>
      </c>
      <c r="BU363" s="4" t="str">
        <f t="shared" si="21"/>
        <v>-29</v>
      </c>
      <c r="BV363" s="4">
        <f t="shared" si="22"/>
        <v>30</v>
      </c>
      <c r="BW363" s="29">
        <f t="shared" si="23"/>
        <v>-4872538.53</v>
      </c>
      <c r="BX363" s="4">
        <v>51.49</v>
      </c>
      <c r="BY363" s="29">
        <f t="shared" si="24"/>
        <v>-6873.6166824575348</v>
      </c>
    </row>
    <row r="364" spans="1:77" ht="15" customHeight="1" x14ac:dyDescent="0.35">
      <c r="A364" s="32" t="s">
        <v>217</v>
      </c>
      <c r="B364" s="32" t="s">
        <v>299</v>
      </c>
      <c r="C364" s="32" t="s">
        <v>127</v>
      </c>
      <c r="D364" s="32" t="s">
        <v>300</v>
      </c>
      <c r="E364" s="32" t="s">
        <v>129</v>
      </c>
      <c r="F364" s="32" t="s">
        <v>301</v>
      </c>
      <c r="G364" s="33">
        <v>43637</v>
      </c>
      <c r="H364" s="33">
        <v>44561</v>
      </c>
      <c r="I364" s="33">
        <v>43637</v>
      </c>
      <c r="J364" s="32" t="s">
        <v>11</v>
      </c>
      <c r="K364" s="34">
        <v>14320</v>
      </c>
      <c r="L364" s="34">
        <v>14320</v>
      </c>
      <c r="M364" s="34">
        <v>0</v>
      </c>
      <c r="N364" s="34">
        <v>0</v>
      </c>
      <c r="O364" s="34">
        <v>0</v>
      </c>
      <c r="P364" s="34">
        <v>14320</v>
      </c>
      <c r="Q364" s="34">
        <v>0</v>
      </c>
      <c r="R364" s="34">
        <v>14320</v>
      </c>
      <c r="S364" s="34">
        <v>280.93745217981598</v>
      </c>
      <c r="T364" s="34">
        <v>14320</v>
      </c>
      <c r="U364" s="35">
        <v>0</v>
      </c>
      <c r="V364" s="35">
        <v>0</v>
      </c>
      <c r="W364" s="35">
        <v>0</v>
      </c>
      <c r="X364" s="35">
        <v>0</v>
      </c>
      <c r="Y364" s="35">
        <v>0</v>
      </c>
      <c r="Z364" s="35">
        <v>0</v>
      </c>
      <c r="AA364" s="35">
        <v>0</v>
      </c>
      <c r="AB364" s="35">
        <v>0</v>
      </c>
      <c r="AC364" s="35">
        <v>0</v>
      </c>
      <c r="AD364" s="35">
        <v>0</v>
      </c>
      <c r="AE364" s="35">
        <v>0</v>
      </c>
      <c r="AF364" s="35">
        <v>0</v>
      </c>
      <c r="AG364" s="35">
        <v>0</v>
      </c>
      <c r="AH364" s="35">
        <v>14320</v>
      </c>
      <c r="AI364" s="36">
        <v>0</v>
      </c>
      <c r="AJ364" s="36">
        <v>0</v>
      </c>
      <c r="AK364" s="36">
        <v>0</v>
      </c>
      <c r="AL364" s="36">
        <v>0</v>
      </c>
      <c r="AM364" s="36">
        <v>0</v>
      </c>
      <c r="AN364" s="36">
        <v>0</v>
      </c>
      <c r="AO364" s="36">
        <v>0</v>
      </c>
      <c r="AP364" s="36">
        <v>0</v>
      </c>
      <c r="AQ364" s="36">
        <v>0</v>
      </c>
      <c r="AR364" s="36">
        <v>0</v>
      </c>
      <c r="AS364" s="36">
        <v>0</v>
      </c>
      <c r="AT364" s="36">
        <v>0</v>
      </c>
      <c r="AU364" s="36">
        <v>0</v>
      </c>
      <c r="AV364" s="36">
        <v>280.93745217981598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14320</v>
      </c>
      <c r="BK364" s="32" t="s">
        <v>12</v>
      </c>
      <c r="BL364" s="32" t="s">
        <v>128</v>
      </c>
      <c r="BM364" s="33">
        <v>44579.807719907411</v>
      </c>
      <c r="BN364" s="32" t="s">
        <v>28</v>
      </c>
      <c r="BO364" s="32" t="s">
        <v>29</v>
      </c>
      <c r="BP364" s="38">
        <v>2468</v>
      </c>
      <c r="BQ364" s="42"/>
      <c r="BR364" s="39">
        <v>2468</v>
      </c>
      <c r="BS364" s="4" t="s">
        <v>220</v>
      </c>
      <c r="BT364" s="4" t="str">
        <f t="shared" si="21"/>
        <v>120</v>
      </c>
      <c r="BU364" s="4" t="str">
        <f t="shared" si="21"/>
        <v>246</v>
      </c>
      <c r="BV364" s="4">
        <f t="shared" si="22"/>
        <v>-924</v>
      </c>
      <c r="BW364" s="29">
        <f t="shared" si="23"/>
        <v>35341760</v>
      </c>
      <c r="BX364" s="4">
        <v>51.49</v>
      </c>
      <c r="BY364" s="29">
        <f t="shared" si="24"/>
        <v>49856.088284931509</v>
      </c>
    </row>
    <row r="365" spans="1:77" ht="15" customHeight="1" x14ac:dyDescent="0.35">
      <c r="A365" s="32" t="s">
        <v>217</v>
      </c>
      <c r="B365" s="32" t="s">
        <v>131</v>
      </c>
      <c r="C365" s="32" t="s">
        <v>55</v>
      </c>
      <c r="D365" s="32" t="s">
        <v>123</v>
      </c>
      <c r="E365" s="32" t="s">
        <v>124</v>
      </c>
      <c r="F365" s="32" t="s">
        <v>46</v>
      </c>
      <c r="G365" s="33">
        <v>45199</v>
      </c>
      <c r="H365" s="33">
        <v>45199</v>
      </c>
      <c r="I365" s="33">
        <v>45229</v>
      </c>
      <c r="J365" s="32" t="s">
        <v>11</v>
      </c>
      <c r="K365" s="34">
        <v>728.16</v>
      </c>
      <c r="L365" s="34">
        <v>728.16</v>
      </c>
      <c r="M365" s="34">
        <v>0</v>
      </c>
      <c r="N365" s="34">
        <v>0</v>
      </c>
      <c r="O365" s="34">
        <v>0</v>
      </c>
      <c r="P365" s="34">
        <v>728.16</v>
      </c>
      <c r="Q365" s="34">
        <v>0</v>
      </c>
      <c r="R365" s="34">
        <v>728.16</v>
      </c>
      <c r="S365" s="34">
        <v>14.2854340208977</v>
      </c>
      <c r="T365" s="34">
        <v>728.16</v>
      </c>
      <c r="U365" s="35">
        <v>0</v>
      </c>
      <c r="V365" s="35">
        <v>0</v>
      </c>
      <c r="W365" s="35">
        <v>0</v>
      </c>
      <c r="X365" s="35">
        <v>0</v>
      </c>
      <c r="Y365" s="35">
        <v>0</v>
      </c>
      <c r="Z365" s="35">
        <v>0</v>
      </c>
      <c r="AA365" s="35">
        <v>0</v>
      </c>
      <c r="AB365" s="35">
        <v>0</v>
      </c>
      <c r="AC365" s="35">
        <v>0</v>
      </c>
      <c r="AD365" s="35">
        <v>0</v>
      </c>
      <c r="AE365" s="35">
        <v>0</v>
      </c>
      <c r="AF365" s="35">
        <v>0</v>
      </c>
      <c r="AG365" s="35">
        <v>0</v>
      </c>
      <c r="AH365" s="35">
        <v>728.16</v>
      </c>
      <c r="AI365" s="36">
        <v>0</v>
      </c>
      <c r="AJ365" s="36">
        <v>0</v>
      </c>
      <c r="AK365" s="36">
        <v>0</v>
      </c>
      <c r="AL365" s="36">
        <v>0</v>
      </c>
      <c r="AM365" s="36">
        <v>0</v>
      </c>
      <c r="AN365" s="36">
        <v>0</v>
      </c>
      <c r="AO365" s="36">
        <v>0</v>
      </c>
      <c r="AP365" s="36">
        <v>0</v>
      </c>
      <c r="AQ365" s="36">
        <v>0</v>
      </c>
      <c r="AR365" s="36">
        <v>0</v>
      </c>
      <c r="AS365" s="36">
        <v>0</v>
      </c>
      <c r="AT365" s="36">
        <v>0</v>
      </c>
      <c r="AU365" s="36">
        <v>0</v>
      </c>
      <c r="AV365" s="36">
        <v>14.2854340208977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  <c r="BH365" s="37">
        <v>0</v>
      </c>
      <c r="BI365" s="37">
        <v>0</v>
      </c>
      <c r="BJ365" s="37">
        <v>728.16</v>
      </c>
      <c r="BK365" s="32" t="s">
        <v>12</v>
      </c>
      <c r="BL365" s="32" t="s">
        <v>13</v>
      </c>
      <c r="BM365" s="33">
        <v>45201.674490740741</v>
      </c>
      <c r="BN365" s="32" t="s">
        <v>20</v>
      </c>
      <c r="BO365" s="32" t="s">
        <v>21</v>
      </c>
      <c r="BP365" s="38">
        <v>876</v>
      </c>
      <c r="BQ365" s="42"/>
      <c r="BR365" s="39">
        <v>876</v>
      </c>
      <c r="BS365" s="4" t="s">
        <v>220</v>
      </c>
      <c r="BT365" s="4" t="str">
        <f t="shared" si="21"/>
        <v>120</v>
      </c>
      <c r="BU365" s="4" t="str">
        <f t="shared" si="21"/>
        <v>876</v>
      </c>
      <c r="BV365" s="4">
        <f t="shared" si="22"/>
        <v>30</v>
      </c>
      <c r="BW365" s="29">
        <f t="shared" si="23"/>
        <v>637868.15999999992</v>
      </c>
      <c r="BX365" s="4">
        <v>51.49</v>
      </c>
      <c r="BY365" s="29">
        <f t="shared" si="24"/>
        <v>899.83100159999992</v>
      </c>
    </row>
    <row r="366" spans="1:77" ht="15" customHeight="1" x14ac:dyDescent="0.35">
      <c r="A366" s="32" t="s">
        <v>217</v>
      </c>
      <c r="B366" s="32" t="s">
        <v>132</v>
      </c>
      <c r="C366" s="32" t="s">
        <v>55</v>
      </c>
      <c r="D366" s="32" t="s">
        <v>123</v>
      </c>
      <c r="E366" s="32" t="s">
        <v>124</v>
      </c>
      <c r="F366" s="32" t="s">
        <v>46</v>
      </c>
      <c r="G366" s="33">
        <v>44895</v>
      </c>
      <c r="H366" s="33">
        <v>44895</v>
      </c>
      <c r="I366" s="33">
        <v>44925</v>
      </c>
      <c r="J366" s="32" t="s">
        <v>11</v>
      </c>
      <c r="K366" s="34">
        <v>570.72</v>
      </c>
      <c r="L366" s="34">
        <v>483.66</v>
      </c>
      <c r="M366" s="34">
        <v>87.06</v>
      </c>
      <c r="N366" s="34">
        <v>0</v>
      </c>
      <c r="O366" s="34">
        <v>0</v>
      </c>
      <c r="P366" s="34">
        <v>570.72</v>
      </c>
      <c r="Q366" s="34">
        <v>0</v>
      </c>
      <c r="R366" s="34">
        <v>570.72</v>
      </c>
      <c r="S366" s="34">
        <v>11.196691529892799</v>
      </c>
      <c r="T366" s="34">
        <v>570.72</v>
      </c>
      <c r="U366" s="35">
        <v>0</v>
      </c>
      <c r="V366" s="35">
        <v>0</v>
      </c>
      <c r="W366" s="35">
        <v>0</v>
      </c>
      <c r="X366" s="35">
        <v>0</v>
      </c>
      <c r="Y366" s="35">
        <v>0</v>
      </c>
      <c r="Z366" s="35">
        <v>0</v>
      </c>
      <c r="AA366" s="35">
        <v>0</v>
      </c>
      <c r="AB366" s="35">
        <v>0</v>
      </c>
      <c r="AC366" s="35">
        <v>0</v>
      </c>
      <c r="AD366" s="35">
        <v>0</v>
      </c>
      <c r="AE366" s="35">
        <v>0</v>
      </c>
      <c r="AF366" s="35">
        <v>0</v>
      </c>
      <c r="AG366" s="35">
        <v>0</v>
      </c>
      <c r="AH366" s="35">
        <v>570.72</v>
      </c>
      <c r="AI366" s="36">
        <v>0</v>
      </c>
      <c r="AJ366" s="36">
        <v>0</v>
      </c>
      <c r="AK366" s="36">
        <v>0</v>
      </c>
      <c r="AL366" s="36">
        <v>0</v>
      </c>
      <c r="AM366" s="36">
        <v>0</v>
      </c>
      <c r="AN366" s="36">
        <v>0</v>
      </c>
      <c r="AO366" s="36">
        <v>0</v>
      </c>
      <c r="AP366" s="36">
        <v>0</v>
      </c>
      <c r="AQ366" s="36">
        <v>0</v>
      </c>
      <c r="AR366" s="36">
        <v>0</v>
      </c>
      <c r="AS366" s="36">
        <v>0</v>
      </c>
      <c r="AT366" s="36">
        <v>0</v>
      </c>
      <c r="AU366" s="36">
        <v>0</v>
      </c>
      <c r="AV366" s="36">
        <v>11.196691529892799</v>
      </c>
      <c r="AW366" s="37">
        <v>0</v>
      </c>
      <c r="AX366" s="37">
        <v>0</v>
      </c>
      <c r="AY366" s="37"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570.72</v>
      </c>
      <c r="BK366" s="32" t="s">
        <v>12</v>
      </c>
      <c r="BL366" s="32" t="s">
        <v>13</v>
      </c>
      <c r="BM366" s="33">
        <v>44896.493564814817</v>
      </c>
      <c r="BN366" s="32" t="s">
        <v>20</v>
      </c>
      <c r="BO366" s="32" t="s">
        <v>21</v>
      </c>
      <c r="BP366" s="38">
        <v>1180</v>
      </c>
      <c r="BQ366" s="42"/>
      <c r="BR366" s="39">
        <v>1180</v>
      </c>
      <c r="BS366" s="4" t="s">
        <v>220</v>
      </c>
      <c r="BT366" s="4" t="str">
        <f t="shared" si="21"/>
        <v>120</v>
      </c>
      <c r="BU366" s="4" t="str">
        <f t="shared" si="21"/>
        <v>118</v>
      </c>
      <c r="BV366" s="4">
        <f t="shared" si="22"/>
        <v>30</v>
      </c>
      <c r="BW366" s="29">
        <f t="shared" si="23"/>
        <v>673449.6</v>
      </c>
      <c r="BX366" s="4">
        <v>51.49</v>
      </c>
      <c r="BY366" s="29">
        <f t="shared" si="24"/>
        <v>950.02520284931506</v>
      </c>
    </row>
    <row r="367" spans="1:77" ht="15" customHeight="1" x14ac:dyDescent="0.35">
      <c r="A367" s="32" t="s">
        <v>217</v>
      </c>
      <c r="B367" s="32" t="s">
        <v>135</v>
      </c>
      <c r="C367" s="32" t="s">
        <v>55</v>
      </c>
      <c r="D367" s="32" t="s">
        <v>123</v>
      </c>
      <c r="E367" s="32" t="s">
        <v>124</v>
      </c>
      <c r="F367" s="32" t="s">
        <v>46</v>
      </c>
      <c r="G367" s="33">
        <v>44985</v>
      </c>
      <c r="H367" s="33">
        <v>44985</v>
      </c>
      <c r="I367" s="33">
        <v>45015</v>
      </c>
      <c r="J367" s="32" t="s">
        <v>11</v>
      </c>
      <c r="K367" s="34">
        <v>592.08000000000004</v>
      </c>
      <c r="L367" s="34">
        <v>501.76</v>
      </c>
      <c r="M367" s="34">
        <v>90.32</v>
      </c>
      <c r="N367" s="34">
        <v>0</v>
      </c>
      <c r="O367" s="34">
        <v>0</v>
      </c>
      <c r="P367" s="34">
        <v>592.08000000000004</v>
      </c>
      <c r="Q367" s="34">
        <v>0</v>
      </c>
      <c r="R367" s="34">
        <v>592.08000000000004</v>
      </c>
      <c r="S367" s="34">
        <v>11.6157434837029</v>
      </c>
      <c r="T367" s="34">
        <v>592.08000000000004</v>
      </c>
      <c r="U367" s="35">
        <v>0</v>
      </c>
      <c r="V367" s="35">
        <v>0</v>
      </c>
      <c r="W367" s="35">
        <v>0</v>
      </c>
      <c r="X367" s="35">
        <v>0</v>
      </c>
      <c r="Y367" s="35">
        <v>0</v>
      </c>
      <c r="Z367" s="35">
        <v>0</v>
      </c>
      <c r="AA367" s="35">
        <v>0</v>
      </c>
      <c r="AB367" s="35">
        <v>0</v>
      </c>
      <c r="AC367" s="35">
        <v>0</v>
      </c>
      <c r="AD367" s="35">
        <v>0</v>
      </c>
      <c r="AE367" s="35">
        <v>0</v>
      </c>
      <c r="AF367" s="35">
        <v>0</v>
      </c>
      <c r="AG367" s="35">
        <v>0</v>
      </c>
      <c r="AH367" s="35">
        <v>592.08000000000004</v>
      </c>
      <c r="AI367" s="36">
        <v>0</v>
      </c>
      <c r="AJ367" s="36">
        <v>0</v>
      </c>
      <c r="AK367" s="36">
        <v>0</v>
      </c>
      <c r="AL367" s="36">
        <v>0</v>
      </c>
      <c r="AM367" s="36">
        <v>0</v>
      </c>
      <c r="AN367" s="36">
        <v>0</v>
      </c>
      <c r="AO367" s="36">
        <v>0</v>
      </c>
      <c r="AP367" s="36">
        <v>0</v>
      </c>
      <c r="AQ367" s="36">
        <v>0</v>
      </c>
      <c r="AR367" s="36">
        <v>0</v>
      </c>
      <c r="AS367" s="36">
        <v>0</v>
      </c>
      <c r="AT367" s="36">
        <v>0</v>
      </c>
      <c r="AU367" s="36">
        <v>0</v>
      </c>
      <c r="AV367" s="36">
        <v>11.6157434837029</v>
      </c>
      <c r="AW367" s="37">
        <v>0</v>
      </c>
      <c r="AX367" s="37">
        <v>0</v>
      </c>
      <c r="AY367" s="37">
        <v>0</v>
      </c>
      <c r="AZ367" s="37">
        <v>0</v>
      </c>
      <c r="BA367" s="37">
        <v>0</v>
      </c>
      <c r="BB367" s="37">
        <v>0</v>
      </c>
      <c r="BC367" s="37">
        <v>0</v>
      </c>
      <c r="BD367" s="37">
        <v>0</v>
      </c>
      <c r="BE367" s="37">
        <v>0</v>
      </c>
      <c r="BF367" s="37">
        <v>0</v>
      </c>
      <c r="BG367" s="37">
        <v>0</v>
      </c>
      <c r="BH367" s="37">
        <v>0</v>
      </c>
      <c r="BI367" s="37">
        <v>0</v>
      </c>
      <c r="BJ367" s="37">
        <v>592.08000000000004</v>
      </c>
      <c r="BK367" s="32" t="s">
        <v>12</v>
      </c>
      <c r="BL367" s="32" t="s">
        <v>13</v>
      </c>
      <c r="BM367" s="33">
        <v>44986.486539351848</v>
      </c>
      <c r="BN367" s="32" t="s">
        <v>20</v>
      </c>
      <c r="BO367" s="32" t="s">
        <v>21</v>
      </c>
      <c r="BP367" s="38">
        <v>1090</v>
      </c>
      <c r="BQ367" s="42"/>
      <c r="BR367" s="39">
        <v>1090</v>
      </c>
      <c r="BS367" s="4" t="s">
        <v>220</v>
      </c>
      <c r="BT367" s="4" t="str">
        <f t="shared" si="21"/>
        <v>120</v>
      </c>
      <c r="BU367" s="4" t="str">
        <f t="shared" si="21"/>
        <v>109</v>
      </c>
      <c r="BV367" s="4">
        <f t="shared" si="22"/>
        <v>30</v>
      </c>
      <c r="BW367" s="29">
        <f t="shared" si="23"/>
        <v>645367.20000000007</v>
      </c>
      <c r="BX367" s="4">
        <v>51.49</v>
      </c>
      <c r="BY367" s="29">
        <f t="shared" si="24"/>
        <v>910.40978432876727</v>
      </c>
    </row>
    <row r="368" spans="1:77" ht="15" hidden="1" customHeight="1" x14ac:dyDescent="0.35">
      <c r="A368" s="32" t="s">
        <v>217</v>
      </c>
      <c r="B368" s="32" t="s">
        <v>798</v>
      </c>
      <c r="C368" s="32" t="s">
        <v>799</v>
      </c>
      <c r="D368" s="32" t="s">
        <v>447</v>
      </c>
      <c r="E368" s="32" t="s">
        <v>136</v>
      </c>
      <c r="F368" s="32" t="s">
        <v>800</v>
      </c>
      <c r="G368" s="33">
        <v>46082</v>
      </c>
      <c r="H368" s="33">
        <v>46082</v>
      </c>
      <c r="I368" s="33">
        <v>46089</v>
      </c>
      <c r="J368" s="32" t="s">
        <v>11</v>
      </c>
      <c r="K368" s="34">
        <v>88200</v>
      </c>
      <c r="L368" s="34">
        <v>88200</v>
      </c>
      <c r="M368" s="34">
        <v>0</v>
      </c>
      <c r="N368" s="34">
        <v>0</v>
      </c>
      <c r="O368" s="34">
        <v>0</v>
      </c>
      <c r="P368" s="34">
        <v>88200</v>
      </c>
      <c r="Q368" s="34">
        <v>0</v>
      </c>
      <c r="R368" s="34">
        <v>88200</v>
      </c>
      <c r="S368" s="34">
        <v>1730.35497781143</v>
      </c>
      <c r="T368" s="34">
        <v>88200</v>
      </c>
      <c r="U368" s="35">
        <v>0</v>
      </c>
      <c r="V368" s="35">
        <v>0</v>
      </c>
      <c r="W368" s="35">
        <v>0</v>
      </c>
      <c r="X368" s="35">
        <v>0</v>
      </c>
      <c r="Y368" s="35">
        <v>0</v>
      </c>
      <c r="Z368" s="35">
        <v>0</v>
      </c>
      <c r="AA368" s="35">
        <v>0</v>
      </c>
      <c r="AB368" s="35">
        <v>0</v>
      </c>
      <c r="AC368" s="35">
        <v>88200</v>
      </c>
      <c r="AD368" s="35">
        <v>0</v>
      </c>
      <c r="AE368" s="35">
        <v>0</v>
      </c>
      <c r="AF368" s="35">
        <v>0</v>
      </c>
      <c r="AG368" s="35">
        <v>0</v>
      </c>
      <c r="AH368" s="35">
        <v>0</v>
      </c>
      <c r="AI368" s="36">
        <v>0</v>
      </c>
      <c r="AJ368" s="36">
        <v>0</v>
      </c>
      <c r="AK368" s="36">
        <v>0</v>
      </c>
      <c r="AL368" s="36">
        <v>0</v>
      </c>
      <c r="AM368" s="36">
        <v>0</v>
      </c>
      <c r="AN368" s="36">
        <v>0</v>
      </c>
      <c r="AO368" s="36">
        <v>0</v>
      </c>
      <c r="AP368" s="36">
        <v>0</v>
      </c>
      <c r="AQ368" s="36">
        <v>1730.35497781143</v>
      </c>
      <c r="AR368" s="36">
        <v>0</v>
      </c>
      <c r="AS368" s="36">
        <v>0</v>
      </c>
      <c r="AT368" s="36">
        <v>0</v>
      </c>
      <c r="AU368" s="36">
        <v>0</v>
      </c>
      <c r="AV368" s="36">
        <v>0</v>
      </c>
      <c r="AW368" s="37">
        <v>0</v>
      </c>
      <c r="AX368" s="37">
        <v>0</v>
      </c>
      <c r="AY368" s="37"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88200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2" t="s">
        <v>12</v>
      </c>
      <c r="BL368" s="32" t="s">
        <v>801</v>
      </c>
      <c r="BM368" s="33">
        <v>46092.607569444444</v>
      </c>
      <c r="BN368" s="32" t="s">
        <v>802</v>
      </c>
      <c r="BO368" s="32" t="s">
        <v>803</v>
      </c>
      <c r="BP368" s="38">
        <v>16</v>
      </c>
      <c r="BQ368" s="42"/>
      <c r="BR368" s="39">
        <v>16</v>
      </c>
      <c r="BS368" s="4" t="s">
        <v>220</v>
      </c>
      <c r="BT368" s="4" t="str">
        <f t="shared" si="21"/>
        <v>136</v>
      </c>
      <c r="BU368" s="4" t="str">
        <f t="shared" si="21"/>
        <v>16</v>
      </c>
      <c r="BV368" s="4">
        <f t="shared" si="22"/>
        <v>7</v>
      </c>
      <c r="BW368" s="29">
        <f t="shared" si="23"/>
        <v>1411200</v>
      </c>
      <c r="BX368" s="4">
        <v>51.49</v>
      </c>
      <c r="BY368" s="29">
        <f t="shared" si="24"/>
        <v>1990.7585753424657</v>
      </c>
    </row>
    <row r="369" spans="1:77" ht="15" customHeight="1" x14ac:dyDescent="0.35">
      <c r="A369" s="32" t="s">
        <v>217</v>
      </c>
      <c r="B369" s="32" t="s">
        <v>137</v>
      </c>
      <c r="C369" s="32" t="s">
        <v>127</v>
      </c>
      <c r="D369" s="32" t="s">
        <v>138</v>
      </c>
      <c r="E369" s="32" t="s">
        <v>139</v>
      </c>
      <c r="F369" s="32" t="s">
        <v>140</v>
      </c>
      <c r="G369" s="33">
        <v>44043</v>
      </c>
      <c r="H369" s="33">
        <v>44561</v>
      </c>
      <c r="I369" s="33">
        <v>44058</v>
      </c>
      <c r="J369" s="32" t="s">
        <v>11</v>
      </c>
      <c r="K369" s="34">
        <v>22271.63</v>
      </c>
      <c r="L369" s="34">
        <v>21877.83</v>
      </c>
      <c r="M369" s="34">
        <v>393.8</v>
      </c>
      <c r="N369" s="34">
        <v>21384.85</v>
      </c>
      <c r="O369" s="34">
        <v>0</v>
      </c>
      <c r="P369" s="34">
        <v>886.78</v>
      </c>
      <c r="Q369" s="34">
        <v>0</v>
      </c>
      <c r="R369" s="34">
        <v>886.78</v>
      </c>
      <c r="S369" s="34">
        <v>17.397326385755399</v>
      </c>
      <c r="T369" s="34">
        <v>886.78</v>
      </c>
      <c r="U369" s="35">
        <v>0</v>
      </c>
      <c r="V369" s="35">
        <v>0</v>
      </c>
      <c r="W369" s="35">
        <v>0</v>
      </c>
      <c r="X369" s="35">
        <v>0</v>
      </c>
      <c r="Y369" s="35">
        <v>0</v>
      </c>
      <c r="Z369" s="35">
        <v>0</v>
      </c>
      <c r="AA369" s="35">
        <v>0</v>
      </c>
      <c r="AB369" s="35">
        <v>0</v>
      </c>
      <c r="AC369" s="35">
        <v>0</v>
      </c>
      <c r="AD369" s="35">
        <v>0</v>
      </c>
      <c r="AE369" s="35">
        <v>0</v>
      </c>
      <c r="AF369" s="35">
        <v>0</v>
      </c>
      <c r="AG369" s="35">
        <v>0</v>
      </c>
      <c r="AH369" s="35">
        <v>886.78</v>
      </c>
      <c r="AI369" s="36">
        <v>0</v>
      </c>
      <c r="AJ369" s="36">
        <v>0</v>
      </c>
      <c r="AK369" s="36">
        <v>0</v>
      </c>
      <c r="AL369" s="36">
        <v>0</v>
      </c>
      <c r="AM369" s="36">
        <v>0</v>
      </c>
      <c r="AN369" s="36">
        <v>0</v>
      </c>
      <c r="AO369" s="36">
        <v>0</v>
      </c>
      <c r="AP369" s="36">
        <v>0</v>
      </c>
      <c r="AQ369" s="36">
        <v>0</v>
      </c>
      <c r="AR369" s="36">
        <v>0</v>
      </c>
      <c r="AS369" s="36">
        <v>0</v>
      </c>
      <c r="AT369" s="36">
        <v>0</v>
      </c>
      <c r="AU369" s="36">
        <v>0</v>
      </c>
      <c r="AV369" s="36">
        <v>17.397326385755399</v>
      </c>
      <c r="AW369" s="37">
        <v>0</v>
      </c>
      <c r="AX369" s="37">
        <v>0</v>
      </c>
      <c r="AY369" s="37">
        <v>0</v>
      </c>
      <c r="AZ369" s="37">
        <v>0</v>
      </c>
      <c r="BA369" s="37">
        <v>0</v>
      </c>
      <c r="BB369" s="37">
        <v>0</v>
      </c>
      <c r="BC369" s="37">
        <v>0</v>
      </c>
      <c r="BD369" s="37">
        <v>0</v>
      </c>
      <c r="BE369" s="37">
        <v>0</v>
      </c>
      <c r="BF369" s="37">
        <v>0</v>
      </c>
      <c r="BG369" s="37">
        <v>0</v>
      </c>
      <c r="BH369" s="37">
        <v>0</v>
      </c>
      <c r="BI369" s="37">
        <v>0</v>
      </c>
      <c r="BJ369" s="37">
        <v>886.78</v>
      </c>
      <c r="BK369" s="32" t="s">
        <v>12</v>
      </c>
      <c r="BL369" s="32" t="s">
        <v>128</v>
      </c>
      <c r="BM369" s="33">
        <v>44588.058125000003</v>
      </c>
      <c r="BN369" s="32" t="s">
        <v>28</v>
      </c>
      <c r="BO369" s="32" t="s">
        <v>29</v>
      </c>
      <c r="BP369" s="38">
        <v>2047</v>
      </c>
      <c r="BQ369" s="42"/>
      <c r="BR369" s="39">
        <v>2047</v>
      </c>
      <c r="BS369" s="4" t="s">
        <v>220</v>
      </c>
      <c r="BT369" s="4" t="str">
        <f t="shared" si="21"/>
        <v>120</v>
      </c>
      <c r="BU369" s="4" t="str">
        <f t="shared" si="21"/>
        <v>204</v>
      </c>
      <c r="BV369" s="4">
        <f t="shared" si="22"/>
        <v>-503</v>
      </c>
      <c r="BW369" s="29">
        <f t="shared" si="23"/>
        <v>1815238.66</v>
      </c>
      <c r="BX369" s="4">
        <v>51.49</v>
      </c>
      <c r="BY369" s="29">
        <f t="shared" si="24"/>
        <v>2560.7298247506847</v>
      </c>
    </row>
    <row r="370" spans="1:77" ht="15" hidden="1" customHeight="1" x14ac:dyDescent="0.35">
      <c r="A370" s="40" t="s">
        <v>150</v>
      </c>
      <c r="B370" s="18"/>
      <c r="C370" s="18"/>
      <c r="D370" s="18"/>
      <c r="E370" s="18"/>
      <c r="F370" s="18"/>
      <c r="G370" s="19"/>
      <c r="H370" s="19"/>
      <c r="I370" s="19"/>
      <c r="J370" s="18"/>
      <c r="K370" s="20"/>
      <c r="L370" s="20"/>
      <c r="M370" s="41">
        <v>10522186.02</v>
      </c>
      <c r="N370" s="41">
        <v>19478589.960000001</v>
      </c>
      <c r="O370" s="41">
        <v>0</v>
      </c>
      <c r="P370" s="41">
        <v>423613527.25</v>
      </c>
      <c r="Q370" s="41">
        <v>182870184.49000001</v>
      </c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B370" s="20"/>
      <c r="BC370" s="20"/>
      <c r="BD370" s="20"/>
      <c r="BE370" s="20"/>
      <c r="BF370" s="20"/>
      <c r="BG370" s="20"/>
      <c r="BH370" s="20"/>
      <c r="BI370" s="20"/>
      <c r="BJ370" s="20"/>
      <c r="BK370" s="18"/>
      <c r="BL370" s="18"/>
      <c r="BM370" s="19"/>
      <c r="BN370" s="18"/>
      <c r="BO370" s="18"/>
      <c r="BP370" s="20"/>
      <c r="BQ370" s="18"/>
      <c r="BR370" s="21"/>
    </row>
  </sheetData>
  <autoFilter ref="A1:BY370" xr:uid="{890AC918-1A68-4A37-835D-96BFA03B64E3}">
    <filterColumn colId="4">
      <filters>
        <filter val="5K YÜZEY TEKNOLOJİLERİ ORMAN ÜRÜNLERİ MOB.SAN.VE TİC.A.Ş."/>
        <filter val="ANTALYA TAV SERA ADİ ORTAKLIĞI"/>
        <filter val="ASTAŞ YAPI VE YAPI ADİ ORTAKLIĞI"/>
        <filter val="ATLASJET HAVACILIK A.Ş."/>
        <filter val="GÖKSU DAMLA TEKSTİL KONFEKSİYON SAN.VE TİC.LTD.ŞTİ."/>
        <filter val="INTERGLOBE AVIATION LTD.JANPATH/NEW DELHI"/>
        <filter val="ÖZEL ATAKENT KOLEJ EĞİTİM YAYIN BASIM HİZ.TİC.VE SAN.A.Ş."/>
        <filter val="PEGASUS HAVA TAŞIMACILIĞI A.Ş."/>
        <filter val="POTAS AKDENİZ AKARYAKIT DAĞITIM A.Ş."/>
        <filter val="TAV GAZİPAŞA ALANYA HAVALİMANI İŞLETMECİLİĞİ A.Ş."/>
        <filter val="TRANSAVIA HOLLAND B.V."/>
      </filters>
    </filterColumn>
  </autoFilter>
  <conditionalFormatting sqref="B1:B199">
    <cfRule type="duplicateValues" dxfId="1" priority="92"/>
    <cfRule type="duplicateValues" dxfId="0" priority="93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OZET</vt:lpstr>
      <vt:lpstr>DETAY-yaslandırma</vt:lpstr>
      <vt:lpstr>DETAY</vt:lpstr>
      <vt:lpstr>Sheet1</vt:lpstr>
      <vt:lpstr>ham_data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Tanyel Emre Boz</dc:creator>
  <cp:lastModifiedBy>Tanyel Emre Boz</cp:lastModifiedBy>
  <cp:lastPrinted>2024-10-14T06:24:13Z</cp:lastPrinted>
  <dcterms:created xsi:type="dcterms:W3CDTF">2015-06-05T18:19:34Z</dcterms:created>
  <dcterms:modified xsi:type="dcterms:W3CDTF">2026-03-24T11:23:10Z</dcterms:modified>
</cp:coreProperties>
</file>